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61693386-1593-8642-948B-7A6475417785}" xr6:coauthVersionLast="47" xr6:coauthVersionMax="47" xr10:uidLastSave="{00000000-0000-0000-0000-000000000000}"/>
  <bookViews>
    <workbookView xWindow="0" yWindow="660" windowWidth="30240" windowHeight="17400" activeTab="3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  <sheet name="CFE" sheetId="5" r:id="rId5"/>
    <sheet name="CFE + both" sheetId="6" r:id="rId6"/>
  </sheets>
  <definedNames>
    <definedName name="_xlnm._FilterDatabase" localSheetId="3" hidden="1">Both!$A$1:$N$41</definedName>
    <definedName name="_xlnm._FilterDatabase" localSheetId="4" hidden="1">CFE!$A$1:$N$32</definedName>
    <definedName name="_xlnm._FilterDatabase" localSheetId="5" hidden="1">'CFE + both'!$A$1:$N$32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6" l="1"/>
  <c r="J37" i="6"/>
  <c r="L37" i="6"/>
  <c r="M37" i="6"/>
  <c r="N37" i="6"/>
  <c r="J38" i="6"/>
  <c r="J39" i="6"/>
  <c r="C42" i="6"/>
  <c r="C41" i="6"/>
  <c r="C40" i="6"/>
  <c r="C42" i="4"/>
  <c r="C42" i="2"/>
  <c r="C42" i="1"/>
  <c r="C42" i="3"/>
  <c r="C39" i="5"/>
  <c r="C38" i="5"/>
  <c r="C37" i="5"/>
  <c r="C36" i="5"/>
  <c r="J35" i="5"/>
  <c r="J34" i="5"/>
  <c r="N33" i="5"/>
  <c r="M33" i="5"/>
  <c r="L33" i="5"/>
  <c r="J33" i="5"/>
  <c r="J37" i="3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<sst xmlns="http://schemas.openxmlformats.org/spreadsheetml/2006/main" count="458" uniqueCount="63">
  <si>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</si>
  <si>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</si>
  <si>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</si>
  <si>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</si>
  <si>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</si>
  <si>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</si>
  <si>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</si>
  <si>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</si>
  <si>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</si>
  <si>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</si>
  <si>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</si>
  <si>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</si>
  <si>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</si>
  <si>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</si>
  <si>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</si>
  <si>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</si>
  <si>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</si>
  <si>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</si>
  <si>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</si>
  <si>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</si>
  <si>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</si>
  <si>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</si>
  <si>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</si>
  <si>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</si>
  <si>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</si>
  <si>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</si>
  <si>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</si>
  <si>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</si>
  <si>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</si>
  <si>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</si>
  <si>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</si>
  <si>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</si>
  <si>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</si>
  <si>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</si>
  <si>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</si>
  <si>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</si>
  <si>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</si>
  <si>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</si>
  <si>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</si>
  <si>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</si>
  <si>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</si>
  <si>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</si>
  <si>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</si>
  <si>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</si>
  <si>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</si>
  <si>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</si>
  <si>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</si>
  <si>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</si>
  <si>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</si>
  <si>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</si>
  <si>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</si>
  <si>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</si>
  <si>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</si>
  <si>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</si>
  <si>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</si>
  <si>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</si>
  <si>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</si>
  <si>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</si>
  <si>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</si>
  <si>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</si>
  <si>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>Data Centre Cost:</t>
  </si>
  <si>
    <t xml:space="preserve">Optimal objective 8.187527603e+07 </t>
  </si>
  <si>
    <t>INFO:gurobipy:Optimal objective 8.187527603e+07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</si>
</sst>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11" fontId="1" fillId="0" borderId="0" xfId="0" applyNumberFormat="1" applyFont="1" applyBorder="1" applyAlignment="1">
      <alignment vertical="center" wrapText="1"/>
    </xf>
    <xf numFmtId="11" fontId="1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2"/>
  <sheetViews>
    <sheetView topLeftCell="A20" workbookViewId="0">
      <selection activeCell="D48" sqref="D48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3571751</v>
      </c>
      <c r="F7" s="3">
        <v>0</v>
      </c>
      <c r="G7" s="3">
        <v>3571751</v>
      </c>
      <c r="H7" s="3">
        <v>0</v>
      </c>
      <c r="I7" s="4">
        <v>0.119362</v>
      </c>
      <c r="J7" s="3">
        <v>26351820</v>
      </c>
      <c r="K7" s="4">
        <v>0</v>
      </c>
      <c r="L7" s="3">
        <v>40697210</v>
      </c>
      <c r="M7" s="3">
        <v>40697210</v>
      </c>
      <c r="N7" s="4">
        <v>11.394189000000001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4643.509</v>
      </c>
      <c r="F9" s="3">
        <v>0</v>
      </c>
      <c r="G9" s="3">
        <v>4643.509</v>
      </c>
      <c r="H9" s="3">
        <v>0</v>
      </c>
      <c r="I9" s="4">
        <v>0.19319800000000001</v>
      </c>
      <c r="J9" s="3">
        <v>19391.490000000002</v>
      </c>
      <c r="K9" s="4">
        <v>0</v>
      </c>
      <c r="L9" s="3">
        <v>57858.12</v>
      </c>
      <c r="M9" s="3">
        <v>99256.85</v>
      </c>
      <c r="N9" s="4">
        <v>21.375356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1327.7829999999999</v>
      </c>
      <c r="F10" s="3">
        <v>0</v>
      </c>
      <c r="G10" s="3">
        <v>1327.7829999999999</v>
      </c>
      <c r="H10" s="3">
        <v>0</v>
      </c>
      <c r="I10" s="4">
        <v>7.2800000000000002E-4</v>
      </c>
      <c r="J10" s="3">
        <v>1822079</v>
      </c>
      <c r="K10" s="4">
        <v>0</v>
      </c>
      <c r="L10" s="3">
        <v>71700.3</v>
      </c>
      <c r="M10" s="3">
        <v>71876.929999999993</v>
      </c>
      <c r="N10" s="4">
        <v>54.133128999999997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1417072</v>
      </c>
      <c r="F11" s="3">
        <v>0</v>
      </c>
      <c r="G11" s="3">
        <v>1417072</v>
      </c>
      <c r="H11" s="3">
        <v>0</v>
      </c>
      <c r="I11" s="4">
        <v>0.34182600000000002</v>
      </c>
      <c r="J11" s="3">
        <v>241164.7</v>
      </c>
      <c r="K11" s="4">
        <v>0</v>
      </c>
      <c r="L11" s="3">
        <v>0</v>
      </c>
      <c r="M11" s="3">
        <v>9471836</v>
      </c>
      <c r="N11" s="4">
        <v>6.6840890000000002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238579.7</v>
      </c>
      <c r="F13" s="3">
        <v>0</v>
      </c>
      <c r="G13" s="3">
        <v>238579.7</v>
      </c>
      <c r="H13" s="3">
        <v>0</v>
      </c>
      <c r="I13" s="4">
        <v>0.42927599999999999</v>
      </c>
      <c r="J13" s="3">
        <v>35189.86</v>
      </c>
      <c r="K13" s="4">
        <v>0</v>
      </c>
      <c r="L13" s="3">
        <v>0</v>
      </c>
      <c r="M13" s="3">
        <v>2000389</v>
      </c>
      <c r="N13" s="4">
        <v>8.3845720000000004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4061356</v>
      </c>
      <c r="F14" s="3">
        <v>0</v>
      </c>
      <c r="G14" s="3">
        <v>4061356</v>
      </c>
      <c r="H14" s="3">
        <v>0</v>
      </c>
      <c r="I14" s="4">
        <v>0.40672700000000001</v>
      </c>
      <c r="J14" s="3">
        <v>5924094</v>
      </c>
      <c r="K14" s="4">
        <v>0</v>
      </c>
      <c r="L14" s="3">
        <v>40613560</v>
      </c>
      <c r="M14" s="3">
        <v>68047740</v>
      </c>
      <c r="N14" s="4">
        <v>16.754933000000001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25472810</v>
      </c>
      <c r="F15" s="3">
        <v>0</v>
      </c>
      <c r="G15" s="3">
        <v>25472810</v>
      </c>
      <c r="H15" s="3">
        <v>0</v>
      </c>
      <c r="I15" s="4">
        <v>0.217727</v>
      </c>
      <c r="J15" s="3">
        <v>6642041</v>
      </c>
      <c r="K15" s="4">
        <v>0</v>
      </c>
      <c r="L15" s="3">
        <v>0</v>
      </c>
      <c r="M15" s="3">
        <v>102405100</v>
      </c>
      <c r="N15" s="4">
        <v>4.0201739999999999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11189390</v>
      </c>
      <c r="F17" s="3">
        <v>0</v>
      </c>
      <c r="G17" s="3">
        <v>11189390</v>
      </c>
      <c r="H17" s="3">
        <v>0</v>
      </c>
      <c r="I17" s="4">
        <v>0.18778400000000001</v>
      </c>
      <c r="J17" s="3">
        <v>3145740</v>
      </c>
      <c r="K17" s="4">
        <v>0</v>
      </c>
      <c r="L17" s="3">
        <v>0</v>
      </c>
      <c r="M17" s="3">
        <v>42150350</v>
      </c>
      <c r="N17" s="4">
        <v>3.7669920000000001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13217460</v>
      </c>
      <c r="F20" s="3">
        <v>0</v>
      </c>
      <c r="G20" s="3">
        <v>13217460</v>
      </c>
      <c r="H20" s="3">
        <v>0</v>
      </c>
      <c r="I20" s="4">
        <v>0.14947199999999999</v>
      </c>
      <c r="J20" s="3">
        <v>1348080</v>
      </c>
      <c r="K20" s="4">
        <v>0</v>
      </c>
      <c r="L20" s="3">
        <v>0</v>
      </c>
      <c r="M20" s="3">
        <v>90278670</v>
      </c>
      <c r="N20" s="4">
        <v>6.8302579999999997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35023140</v>
      </c>
      <c r="F22" s="3">
        <v>21829910</v>
      </c>
      <c r="G22" s="3">
        <v>13193230</v>
      </c>
      <c r="H22" s="3">
        <v>-13193230</v>
      </c>
      <c r="I22" s="4">
        <v>0.112737</v>
      </c>
      <c r="J22" s="3">
        <v>0</v>
      </c>
      <c r="K22" s="4">
        <v>0</v>
      </c>
      <c r="L22" s="3">
        <v>0</v>
      </c>
      <c r="M22" s="3">
        <v>135731500</v>
      </c>
      <c r="N22" s="4">
        <v>2.38741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9549085</v>
      </c>
      <c r="F23" s="3">
        <v>5885750</v>
      </c>
      <c r="G23" s="3">
        <v>3663335</v>
      </c>
      <c r="H23" s="3">
        <v>-3663335</v>
      </c>
      <c r="I23" s="4">
        <v>0.56738900000000003</v>
      </c>
      <c r="J23" s="3">
        <v>30866580</v>
      </c>
      <c r="K23" s="4">
        <v>0</v>
      </c>
      <c r="L23" s="3">
        <v>0</v>
      </c>
      <c r="M23" s="3">
        <v>70784100</v>
      </c>
      <c r="N23" s="4">
        <v>4.5859969999999999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134827.9</v>
      </c>
      <c r="G24" s="3">
        <v>-134827.9</v>
      </c>
      <c r="H24" s="3">
        <v>0</v>
      </c>
      <c r="I24" s="4">
        <v>1.6891E-2</v>
      </c>
      <c r="J24" s="3">
        <v>7847184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86990.56</v>
      </c>
      <c r="G25" s="3">
        <v>-86990.56</v>
      </c>
      <c r="H25" s="3">
        <v>0</v>
      </c>
      <c r="I25" s="4">
        <v>0.143015</v>
      </c>
      <c r="J25" s="3">
        <v>521271.9</v>
      </c>
      <c r="K25" s="4">
        <v>0</v>
      </c>
      <c r="L25" s="3">
        <v>434952.8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1877543</v>
      </c>
      <c r="G26" s="3">
        <v>-1877543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-14118940</v>
      </c>
      <c r="N26" s="4">
        <v>-7.5199040000000004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52178340</v>
      </c>
      <c r="G27" s="3">
        <v>-52178340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-411891500</v>
      </c>
      <c r="N27" s="4">
        <v>-7.8939170000000001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2729198</v>
      </c>
      <c r="F28" s="3">
        <v>6114821</v>
      </c>
      <c r="G28" s="3">
        <v>-3385623</v>
      </c>
      <c r="H28" s="3">
        <v>0</v>
      </c>
      <c r="I28" s="4">
        <v>0.15290200000000001</v>
      </c>
      <c r="J28" s="3">
        <v>61226880</v>
      </c>
      <c r="K28" s="4">
        <v>0</v>
      </c>
      <c r="L28" s="3">
        <v>0</v>
      </c>
      <c r="M28" s="3">
        <v>16741690</v>
      </c>
      <c r="N28" s="4">
        <v>1.8929959999999999</v>
      </c>
    </row>
    <row r="29" spans="1:14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142784.79999999999</v>
      </c>
      <c r="F29" s="3">
        <v>270758.7</v>
      </c>
      <c r="G29" s="3">
        <v>-127974</v>
      </c>
      <c r="H29" s="3">
        <v>0</v>
      </c>
      <c r="I29" s="4">
        <v>0.220663</v>
      </c>
      <c r="J29" s="3">
        <v>2002066</v>
      </c>
      <c r="K29" s="4">
        <v>0</v>
      </c>
      <c r="L29" s="3">
        <v>0</v>
      </c>
      <c r="M29" s="3">
        <v>548921.5</v>
      </c>
      <c r="N29" s="4">
        <v>1.327361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31042.26</v>
      </c>
      <c r="F30" s="3">
        <v>250613</v>
      </c>
      <c r="G30" s="3">
        <v>-219570.7</v>
      </c>
      <c r="H30" s="3">
        <v>0</v>
      </c>
      <c r="I30" s="4">
        <v>0.28145300000000001</v>
      </c>
      <c r="J30" s="3">
        <v>1220288</v>
      </c>
      <c r="K30" s="4">
        <v>0</v>
      </c>
      <c r="L30" s="3">
        <v>0</v>
      </c>
      <c r="M30" s="3">
        <v>549749.4</v>
      </c>
      <c r="N30" s="4">
        <v>1.9518519999999999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846578.6</v>
      </c>
      <c r="F31" s="3">
        <v>2232174</v>
      </c>
      <c r="G31" s="3">
        <v>-1385595</v>
      </c>
      <c r="H31" s="3">
        <v>0</v>
      </c>
      <c r="I31" s="4">
        <v>0.26585700000000001</v>
      </c>
      <c r="J31" s="3">
        <v>12966100</v>
      </c>
      <c r="K31" s="4">
        <v>0</v>
      </c>
      <c r="L31" s="3">
        <v>0</v>
      </c>
      <c r="M31" s="3">
        <v>10545950</v>
      </c>
      <c r="N31" s="4">
        <v>3.4253960000000001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86120.38</v>
      </c>
      <c r="F32" s="3">
        <v>93509.37</v>
      </c>
      <c r="G32" s="3">
        <v>-7388.9840000000004</v>
      </c>
      <c r="H32" s="3">
        <v>0</v>
      </c>
      <c r="I32" s="4">
        <v>0.72307699999999997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312453256.65000004</v>
      </c>
      <c r="K33" s="5" t="s">
        <v>45</v>
      </c>
      <c r="L33" s="2">
        <f>SUM(L1:L30)</f>
        <v>81875281.219999984</v>
      </c>
      <c r="M33" s="2">
        <f>SUM(M1:M30)</f>
        <v>153567949.67999998</v>
      </c>
      <c r="N33" s="2">
        <f>SUM(N1:N30)</f>
        <v>130.07548699999998</v>
      </c>
    </row>
    <row r="34" spans="1:14" x14ac:dyDescent="0.2">
      <c r="I34" s="8" t="s">
        <v>43</v>
      </c>
      <c r="J34" s="2">
        <f>SUM(J15,J17)</f>
        <v>9787781</v>
      </c>
    </row>
    <row r="35" spans="1:14" x14ac:dyDescent="0.2">
      <c r="I35" s="8" t="s">
        <v>44</v>
      </c>
      <c r="J35" s="2">
        <f>SUM(J20)</f>
        <v>1348080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11257826.4</v>
      </c>
    </row>
    <row r="41" spans="1:14" x14ac:dyDescent="0.2">
      <c r="A41" t="s">
        <v>48</v>
      </c>
      <c r="C41" s="2">
        <f>SUMIFS($J$2:$J$34,$B$2:$B$34, "Offshore Wind")+SUMIFS($J$2:$J$34,$B$2:$B$34, "Onshore Wind")</f>
        <v>9787781</v>
      </c>
    </row>
    <row r="42" spans="1:14" x14ac:dyDescent="0.2">
      <c r="A42" t="s">
        <v>60</v>
      </c>
      <c r="C42" s="2">
        <f>-$M$26</f>
        <v>14118940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2"/>
  <sheetViews>
    <sheetView topLeftCell="A16" workbookViewId="0">
      <selection activeCell="D43" sqref="D43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3544252</v>
      </c>
      <c r="F7" s="3">
        <v>0</v>
      </c>
      <c r="G7" s="3">
        <v>3544252</v>
      </c>
      <c r="H7" s="3">
        <v>0</v>
      </c>
      <c r="I7" s="4">
        <v>0.11844300000000001</v>
      </c>
      <c r="J7" s="3">
        <v>26379320</v>
      </c>
      <c r="K7" s="4">
        <v>0</v>
      </c>
      <c r="L7" s="3">
        <v>40348850</v>
      </c>
      <c r="M7" s="3">
        <v>40348850</v>
      </c>
      <c r="N7" s="4">
        <v>11.384308000000001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4559.6049999999996</v>
      </c>
      <c r="F9" s="3">
        <v>0</v>
      </c>
      <c r="G9" s="3">
        <v>4559.6049999999996</v>
      </c>
      <c r="H9" s="3">
        <v>0</v>
      </c>
      <c r="I9" s="4">
        <v>0.18970699999999999</v>
      </c>
      <c r="J9" s="3">
        <v>19475.39</v>
      </c>
      <c r="K9" s="4">
        <v>0</v>
      </c>
      <c r="L9" s="3">
        <v>56812.68</v>
      </c>
      <c r="M9" s="3">
        <v>97821.15</v>
      </c>
      <c r="N9" s="4">
        <v>21.453818999999999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985.98009999999999</v>
      </c>
      <c r="F10" s="3">
        <v>0</v>
      </c>
      <c r="G10" s="3">
        <v>985.98009999999999</v>
      </c>
      <c r="H10" s="3">
        <v>0</v>
      </c>
      <c r="I10" s="4">
        <v>5.4100000000000003E-4</v>
      </c>
      <c r="J10" s="3">
        <v>1822421</v>
      </c>
      <c r="K10" s="4">
        <v>0</v>
      </c>
      <c r="L10" s="3">
        <v>53242.93</v>
      </c>
      <c r="M10" s="3">
        <v>53415.83</v>
      </c>
      <c r="N10" s="4">
        <v>54.175313000000003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1416387</v>
      </c>
      <c r="F11" s="3">
        <v>0</v>
      </c>
      <c r="G11" s="3">
        <v>1416387</v>
      </c>
      <c r="H11" s="3">
        <v>0</v>
      </c>
      <c r="I11" s="4">
        <v>0.34166099999999999</v>
      </c>
      <c r="J11" s="3">
        <v>241849.9</v>
      </c>
      <c r="K11" s="4">
        <v>0</v>
      </c>
      <c r="L11" s="3">
        <v>0</v>
      </c>
      <c r="M11" s="3">
        <v>9439016</v>
      </c>
      <c r="N11" s="4">
        <v>6.6641510000000004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237103</v>
      </c>
      <c r="F13" s="3">
        <v>0</v>
      </c>
      <c r="G13" s="3">
        <v>237103</v>
      </c>
      <c r="H13" s="3">
        <v>0</v>
      </c>
      <c r="I13" s="4">
        <v>0.42661900000000003</v>
      </c>
      <c r="J13" s="3">
        <v>36666.589999999997</v>
      </c>
      <c r="K13" s="4">
        <v>0</v>
      </c>
      <c r="L13" s="3">
        <v>0</v>
      </c>
      <c r="M13" s="3">
        <v>1996544</v>
      </c>
      <c r="N13" s="4">
        <v>8.4205780000000008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4060086</v>
      </c>
      <c r="F14" s="3">
        <v>0</v>
      </c>
      <c r="G14" s="3">
        <v>4060086</v>
      </c>
      <c r="H14" s="3">
        <v>0</v>
      </c>
      <c r="I14" s="4">
        <v>0.40660000000000002</v>
      </c>
      <c r="J14" s="3">
        <v>5925364</v>
      </c>
      <c r="K14" s="4">
        <v>0</v>
      </c>
      <c r="L14" s="3">
        <v>40600860</v>
      </c>
      <c r="M14" s="3">
        <v>67848500</v>
      </c>
      <c r="N14" s="4">
        <v>16.711099999999998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25499370</v>
      </c>
      <c r="F15" s="3">
        <v>0</v>
      </c>
      <c r="G15" s="3">
        <v>25499370</v>
      </c>
      <c r="H15" s="3">
        <v>0</v>
      </c>
      <c r="I15" s="4">
        <v>0.21795400000000001</v>
      </c>
      <c r="J15" s="3">
        <v>6615477</v>
      </c>
      <c r="K15" s="4">
        <v>0</v>
      </c>
      <c r="L15" s="3">
        <v>0</v>
      </c>
      <c r="M15" s="3">
        <v>102437800</v>
      </c>
      <c r="N15" s="4">
        <v>4.0172679999999996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11414740</v>
      </c>
      <c r="F17" s="3">
        <v>0</v>
      </c>
      <c r="G17" s="3">
        <v>11414740</v>
      </c>
      <c r="H17" s="3">
        <v>0</v>
      </c>
      <c r="I17" s="4">
        <v>0.19156599999999999</v>
      </c>
      <c r="J17" s="3">
        <v>2920392</v>
      </c>
      <c r="K17" s="4">
        <v>0</v>
      </c>
      <c r="L17" s="3">
        <v>0</v>
      </c>
      <c r="M17" s="3">
        <v>42126150</v>
      </c>
      <c r="N17" s="4">
        <v>3.6905039999999998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12995040</v>
      </c>
      <c r="F20" s="3">
        <v>0</v>
      </c>
      <c r="G20" s="3">
        <v>12995040</v>
      </c>
      <c r="H20" s="3">
        <v>0</v>
      </c>
      <c r="I20" s="4">
        <v>0.146956</v>
      </c>
      <c r="J20" s="3">
        <v>1570499</v>
      </c>
      <c r="K20" s="4">
        <v>0</v>
      </c>
      <c r="L20" s="3">
        <v>0</v>
      </c>
      <c r="M20" s="3">
        <v>90210550</v>
      </c>
      <c r="N20" s="4">
        <v>6.9419209999999998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35364110</v>
      </c>
      <c r="F22" s="3">
        <v>21540860</v>
      </c>
      <c r="G22" s="3">
        <v>13823250</v>
      </c>
      <c r="H22" s="3">
        <v>-13823250</v>
      </c>
      <c r="I22" s="4">
        <v>0.11284</v>
      </c>
      <c r="J22" s="3">
        <v>0</v>
      </c>
      <c r="K22" s="4">
        <v>0</v>
      </c>
      <c r="L22" s="3">
        <v>0</v>
      </c>
      <c r="M22" s="3">
        <v>133319500</v>
      </c>
      <c r="N22" s="4">
        <v>2.3428450000000001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9582992</v>
      </c>
      <c r="F23" s="3">
        <v>5947862</v>
      </c>
      <c r="G23" s="3">
        <v>3635130</v>
      </c>
      <c r="H23" s="3">
        <v>-3635130</v>
      </c>
      <c r="I23" s="4">
        <v>0.57091899999999995</v>
      </c>
      <c r="J23" s="3">
        <v>30838380</v>
      </c>
      <c r="K23" s="4">
        <v>0</v>
      </c>
      <c r="L23" s="3">
        <v>0</v>
      </c>
      <c r="M23" s="3">
        <v>70335700</v>
      </c>
      <c r="N23" s="4">
        <v>4.528772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109235.3</v>
      </c>
      <c r="G24" s="3">
        <v>-109235.3</v>
      </c>
      <c r="H24" s="3">
        <v>0</v>
      </c>
      <c r="I24" s="4">
        <v>1.9999999999999999E-6</v>
      </c>
      <c r="J24" s="3">
        <v>56809890000</v>
      </c>
      <c r="K24" s="4">
        <v>0</v>
      </c>
      <c r="L24" s="3">
        <v>1.0923499999999999</v>
      </c>
      <c r="M24" s="3">
        <v>-882868.5</v>
      </c>
      <c r="N24" s="4">
        <v>-8.0822660000000006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131416.1</v>
      </c>
      <c r="G25" s="3">
        <v>-131416.1</v>
      </c>
      <c r="H25" s="3">
        <v>0</v>
      </c>
      <c r="I25" s="4">
        <v>1.6463999999999999E-2</v>
      </c>
      <c r="J25" s="3">
        <v>7850596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88302.75</v>
      </c>
      <c r="G26" s="3">
        <v>-88302.75</v>
      </c>
      <c r="H26" s="3">
        <v>0</v>
      </c>
      <c r="I26" s="4">
        <v>0.145172</v>
      </c>
      <c r="J26" s="3">
        <v>519959.7</v>
      </c>
      <c r="K26" s="4">
        <v>0</v>
      </c>
      <c r="L26" s="3">
        <v>441513.7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1877543</v>
      </c>
      <c r="G27" s="3">
        <v>-1877543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-14097900</v>
      </c>
      <c r="N27" s="4">
        <v>-7.5086969999999997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-411303000</v>
      </c>
      <c r="N28" s="4">
        <v>-7.8826400000000003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2741421</v>
      </c>
      <c r="F29" s="3">
        <v>6133689</v>
      </c>
      <c r="G29" s="3">
        <v>-3392268</v>
      </c>
      <c r="H29" s="3">
        <v>0</v>
      </c>
      <c r="I29" s="4">
        <v>0.15343899999999999</v>
      </c>
      <c r="J29" s="3">
        <v>61233530</v>
      </c>
      <c r="K29" s="4">
        <v>0</v>
      </c>
      <c r="L29" s="3">
        <v>0</v>
      </c>
      <c r="M29" s="3">
        <v>16580990</v>
      </c>
      <c r="N29" s="4">
        <v>1.8682570000000001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143178.5</v>
      </c>
      <c r="F30" s="3">
        <v>273329.3</v>
      </c>
      <c r="G30" s="3">
        <v>-130150.8</v>
      </c>
      <c r="H30" s="3">
        <v>0</v>
      </c>
      <c r="I30" s="4">
        <v>0.222245</v>
      </c>
      <c r="J30" s="3">
        <v>2004243</v>
      </c>
      <c r="K30" s="4">
        <v>0</v>
      </c>
      <c r="L30" s="3">
        <v>0</v>
      </c>
      <c r="M30" s="3">
        <v>543694.1</v>
      </c>
      <c r="N30" s="4">
        <v>1.305364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31291.71</v>
      </c>
      <c r="F31" s="3">
        <v>253075.20000000001</v>
      </c>
      <c r="G31" s="3">
        <v>-221783.5</v>
      </c>
      <c r="H31" s="3">
        <v>0</v>
      </c>
      <c r="I31" s="4">
        <v>0.284163</v>
      </c>
      <c r="J31" s="3">
        <v>1222500</v>
      </c>
      <c r="K31" s="4">
        <v>0</v>
      </c>
      <c r="L31" s="3">
        <v>0</v>
      </c>
      <c r="M31" s="3">
        <v>544677.80000000005</v>
      </c>
      <c r="N31" s="4">
        <v>1.915405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863060.3</v>
      </c>
      <c r="F32" s="3">
        <v>2239119</v>
      </c>
      <c r="G32" s="3">
        <v>-1376059</v>
      </c>
      <c r="H32" s="3">
        <v>0</v>
      </c>
      <c r="I32" s="4">
        <v>0.26788000000000001</v>
      </c>
      <c r="J32" s="3">
        <v>12956560</v>
      </c>
      <c r="K32" s="4">
        <v>0</v>
      </c>
      <c r="L32" s="3">
        <v>0</v>
      </c>
      <c r="M32" s="3">
        <v>10420020</v>
      </c>
      <c r="N32" s="4">
        <v>3.3589359999999999</v>
      </c>
    </row>
    <row r="33" spans="1:14" x14ac:dyDescent="0.2">
      <c r="A33" s="10" t="s">
        <v>41</v>
      </c>
      <c r="B33" s="1" t="s">
        <v>40</v>
      </c>
      <c r="C33" s="3">
        <v>13000000</v>
      </c>
      <c r="D33" s="3">
        <v>13000000</v>
      </c>
      <c r="E33" s="3">
        <v>54617.63</v>
      </c>
      <c r="F33" s="3">
        <v>54617.63</v>
      </c>
      <c r="G33" s="3">
        <v>0</v>
      </c>
      <c r="H33" s="3">
        <v>0</v>
      </c>
      <c r="I33" s="4">
        <v>0.99992599999999998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86530.8</v>
      </c>
      <c r="F34" s="3">
        <v>90219.3</v>
      </c>
      <c r="G34" s="3">
        <v>-3688.498</v>
      </c>
      <c r="H34" s="3">
        <v>0</v>
      </c>
      <c r="I34" s="4">
        <v>0.360952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57135286620.279999</v>
      </c>
      <c r="K35" s="5" t="s">
        <v>45</v>
      </c>
      <c r="L35" s="2">
        <f>SUM(L3:L32)</f>
        <v>81501280.402350008</v>
      </c>
      <c r="M35" s="2">
        <f>SUM(M3:M32)</f>
        <v>160019460.38000003</v>
      </c>
      <c r="N35" s="2">
        <f>SUM(N3:N32)</f>
        <v>125.30493800000004</v>
      </c>
    </row>
    <row r="36" spans="1:14" x14ac:dyDescent="0.2">
      <c r="I36" s="8" t="s">
        <v>43</v>
      </c>
      <c r="J36" s="2">
        <f>SUM(J15,J17)</f>
        <v>9535869</v>
      </c>
    </row>
    <row r="37" spans="1:14" x14ac:dyDescent="0.2">
      <c r="I37" s="8" t="s">
        <v>44</v>
      </c>
      <c r="J37" s="2">
        <f>SUM(J20)</f>
        <v>1570499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11228333.4</v>
      </c>
    </row>
    <row r="41" spans="1:14" x14ac:dyDescent="0.2">
      <c r="A41" t="s">
        <v>48</v>
      </c>
      <c r="C41" s="2">
        <f>SUMIFS($J$2:$J$32,$B$2:$B$32, "Offshore Wind")+SUMIFS($J$2:$J$32,$B$2:$B$32, "Onshore Wind")</f>
        <v>9535869</v>
      </c>
    </row>
    <row r="42" spans="1:14" x14ac:dyDescent="0.2">
      <c r="A42" t="s">
        <v>60</v>
      </c>
      <c r="C42" s="2">
        <f>-$M$27</f>
        <v>14097900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2"/>
  <sheetViews>
    <sheetView topLeftCell="A17" workbookViewId="0">
      <selection activeCell="F41" sqref="F41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3541053</v>
      </c>
      <c r="F7" s="3">
        <v>0</v>
      </c>
      <c r="G7" s="3">
        <v>3541053</v>
      </c>
      <c r="H7" s="3">
        <v>0</v>
      </c>
      <c r="I7" s="3">
        <v>0.1183365</v>
      </c>
      <c r="J7" s="3">
        <v>26382520</v>
      </c>
      <c r="K7" s="4">
        <v>0</v>
      </c>
      <c r="L7" s="3">
        <v>40561730</v>
      </c>
      <c r="M7" s="3">
        <v>40561730</v>
      </c>
      <c r="N7" s="4">
        <v>11.454711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4643.509</v>
      </c>
      <c r="F9" s="3">
        <v>0</v>
      </c>
      <c r="G9" s="3">
        <v>4643.509</v>
      </c>
      <c r="H9" s="3">
        <v>0</v>
      </c>
      <c r="I9" s="3">
        <v>0.19319819999999999</v>
      </c>
      <c r="J9" s="3">
        <v>19391.490000000002</v>
      </c>
      <c r="K9" s="4">
        <v>0</v>
      </c>
      <c r="L9" s="3">
        <v>57858.12</v>
      </c>
      <c r="M9" s="3">
        <v>99417.85</v>
      </c>
      <c r="N9" s="4">
        <v>21.410025999999998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1373.6420000000001</v>
      </c>
      <c r="F10" s="3">
        <v>0</v>
      </c>
      <c r="G10" s="3">
        <v>1373.6420000000001</v>
      </c>
      <c r="H10" s="3">
        <v>0</v>
      </c>
      <c r="I10" s="3">
        <v>7.533393E-4</v>
      </c>
      <c r="J10" s="3">
        <v>1822033</v>
      </c>
      <c r="K10" s="4">
        <v>0</v>
      </c>
      <c r="L10" s="3">
        <v>74176.66</v>
      </c>
      <c r="M10" s="3">
        <v>74347.88</v>
      </c>
      <c r="N10" s="4">
        <v>54.124564999999997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1399606</v>
      </c>
      <c r="F11" s="3">
        <v>0</v>
      </c>
      <c r="G11" s="3">
        <v>1399606</v>
      </c>
      <c r="H11" s="3">
        <v>0</v>
      </c>
      <c r="I11" s="3">
        <v>0.3376132</v>
      </c>
      <c r="J11" s="3">
        <v>258630.3</v>
      </c>
      <c r="K11" s="4">
        <v>0</v>
      </c>
      <c r="L11" s="3">
        <v>0</v>
      </c>
      <c r="M11" s="3">
        <v>9528779</v>
      </c>
      <c r="N11" s="4">
        <v>6.8081849999999999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240007.2</v>
      </c>
      <c r="F13" s="3">
        <v>0</v>
      </c>
      <c r="G13" s="3">
        <v>240007.2</v>
      </c>
      <c r="H13" s="3">
        <v>0</v>
      </c>
      <c r="I13" s="3">
        <v>0.43184440000000002</v>
      </c>
      <c r="J13" s="3">
        <v>33762.400000000001</v>
      </c>
      <c r="K13" s="4">
        <v>0</v>
      </c>
      <c r="L13" s="3">
        <v>0</v>
      </c>
      <c r="M13" s="3">
        <v>2004213</v>
      </c>
      <c r="N13" s="4">
        <v>8.3506409999999995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4053639</v>
      </c>
      <c r="F14" s="3">
        <v>0</v>
      </c>
      <c r="G14" s="3">
        <v>4053639</v>
      </c>
      <c r="H14" s="3">
        <v>0</v>
      </c>
      <c r="I14" s="3">
        <v>0.4059545</v>
      </c>
      <c r="J14" s="3">
        <v>5931811</v>
      </c>
      <c r="K14" s="4">
        <v>0</v>
      </c>
      <c r="L14" s="3">
        <v>40536390</v>
      </c>
      <c r="M14" s="3">
        <v>67962270</v>
      </c>
      <c r="N14" s="4">
        <v>16.765744999999999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25184070</v>
      </c>
      <c r="F15" s="3">
        <v>0</v>
      </c>
      <c r="G15" s="3">
        <v>25184070</v>
      </c>
      <c r="H15" s="3">
        <v>0</v>
      </c>
      <c r="I15" s="3">
        <v>0.21525939999999999</v>
      </c>
      <c r="J15" s="3">
        <v>6930775</v>
      </c>
      <c r="K15" s="4">
        <v>0</v>
      </c>
      <c r="L15" s="3">
        <v>0</v>
      </c>
      <c r="M15" s="3">
        <v>102429300</v>
      </c>
      <c r="N15" s="4">
        <v>4.0672249999999996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11270940</v>
      </c>
      <c r="F17" s="3">
        <v>0</v>
      </c>
      <c r="G17" s="3">
        <v>11270940</v>
      </c>
      <c r="H17" s="3">
        <v>0</v>
      </c>
      <c r="I17" s="3">
        <v>0.1891523</v>
      </c>
      <c r="J17" s="3">
        <v>3064199</v>
      </c>
      <c r="K17" s="4">
        <v>0</v>
      </c>
      <c r="L17" s="3">
        <v>0</v>
      </c>
      <c r="M17" s="3">
        <v>42266950</v>
      </c>
      <c r="N17" s="4">
        <v>3.7500840000000002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13221380</v>
      </c>
      <c r="F20" s="3">
        <v>0</v>
      </c>
      <c r="G20" s="3">
        <v>13221380</v>
      </c>
      <c r="H20" s="3">
        <v>0</v>
      </c>
      <c r="I20" s="3">
        <v>0.14951600000000001</v>
      </c>
      <c r="J20" s="3">
        <v>1344158</v>
      </c>
      <c r="K20" s="4">
        <v>0</v>
      </c>
      <c r="L20" s="3">
        <v>0</v>
      </c>
      <c r="M20" s="3">
        <v>90280280</v>
      </c>
      <c r="N20" s="4">
        <v>6.828354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34790030</v>
      </c>
      <c r="F22" s="3">
        <v>21544090</v>
      </c>
      <c r="G22" s="3">
        <v>13245940</v>
      </c>
      <c r="H22" s="3">
        <v>-13245940</v>
      </c>
      <c r="I22" s="3">
        <v>0.111708</v>
      </c>
      <c r="J22" s="3">
        <v>0</v>
      </c>
      <c r="K22" s="4">
        <v>0</v>
      </c>
      <c r="L22" s="3">
        <v>0</v>
      </c>
      <c r="M22" s="3">
        <v>133333100</v>
      </c>
      <c r="N22" s="4">
        <v>2.3668269999999998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9526165</v>
      </c>
      <c r="F23" s="3">
        <v>5894316</v>
      </c>
      <c r="G23" s="3">
        <v>3631849</v>
      </c>
      <c r="H23" s="3">
        <v>-3631849</v>
      </c>
      <c r="I23" s="3">
        <v>0.56686170000000002</v>
      </c>
      <c r="J23" s="3">
        <v>30835100</v>
      </c>
      <c r="K23" s="4">
        <v>0</v>
      </c>
      <c r="L23" s="3">
        <v>0</v>
      </c>
      <c r="M23" s="3">
        <v>70623860</v>
      </c>
      <c r="N23" s="4">
        <v>4.5798740000000002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137504.4</v>
      </c>
      <c r="G24" s="3">
        <v>-137504.4</v>
      </c>
      <c r="H24" s="3">
        <v>0</v>
      </c>
      <c r="I24" s="3">
        <v>1.7226789999999999E-2</v>
      </c>
      <c r="J24" s="3">
        <v>7844508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92166.44</v>
      </c>
      <c r="G25" s="3">
        <v>-92166.44</v>
      </c>
      <c r="H25" s="3">
        <v>0</v>
      </c>
      <c r="I25" s="3">
        <v>0.15152409999999999</v>
      </c>
      <c r="J25" s="3">
        <v>516096</v>
      </c>
      <c r="K25" s="4">
        <v>0</v>
      </c>
      <c r="L25" s="3">
        <v>460832.2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156000000</v>
      </c>
      <c r="D26" s="3">
        <v>156000000</v>
      </c>
      <c r="E26" s="3">
        <v>0</v>
      </c>
      <c r="F26" s="3">
        <v>16445.91</v>
      </c>
      <c r="G26" s="3">
        <v>-16445.91</v>
      </c>
      <c r="H26" s="3">
        <v>16445.91</v>
      </c>
      <c r="I26" s="3">
        <v>4.8248270000000003E-8</v>
      </c>
      <c r="J26" s="3">
        <v>340860000000</v>
      </c>
      <c r="K26" s="4">
        <v>0</v>
      </c>
      <c r="L26" s="3">
        <v>0.16446</v>
      </c>
      <c r="M26" s="3">
        <v>-86144.25</v>
      </c>
      <c r="N26" s="4">
        <v>-5.2380370000000003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1877543</v>
      </c>
      <c r="G27" s="3">
        <v>-1877543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-14124690</v>
      </c>
      <c r="N27" s="4">
        <v>-7.5229660000000003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-411818900</v>
      </c>
      <c r="N28" s="4">
        <v>-7.8925270000000003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3422228</v>
      </c>
      <c r="F29" s="3">
        <v>6657994</v>
      </c>
      <c r="G29" s="3">
        <v>-3235766</v>
      </c>
      <c r="H29" s="3">
        <v>0</v>
      </c>
      <c r="I29" s="3">
        <v>0.17427390000000001</v>
      </c>
      <c r="J29" s="3">
        <v>61077030</v>
      </c>
      <c r="K29" s="4">
        <v>0</v>
      </c>
      <c r="L29" s="3">
        <v>0</v>
      </c>
      <c r="M29" s="3">
        <v>16733650</v>
      </c>
      <c r="N29" s="4">
        <v>1.660048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178312</v>
      </c>
      <c r="F30" s="3">
        <v>299158.8</v>
      </c>
      <c r="G30" s="3">
        <v>-120846.8</v>
      </c>
      <c r="H30" s="3">
        <v>0</v>
      </c>
      <c r="I30" s="3">
        <v>0.25477450000000001</v>
      </c>
      <c r="J30" s="3">
        <v>1994939</v>
      </c>
      <c r="K30" s="4">
        <v>0</v>
      </c>
      <c r="L30" s="3">
        <v>0</v>
      </c>
      <c r="M30" s="3">
        <v>548845.80000000005</v>
      </c>
      <c r="N30" s="4">
        <v>1.149486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32601.86</v>
      </c>
      <c r="F31" s="3">
        <v>245888.6</v>
      </c>
      <c r="G31" s="3">
        <v>-213286.7</v>
      </c>
      <c r="H31" s="3">
        <v>0</v>
      </c>
      <c r="I31" s="3">
        <v>0.27829090000000001</v>
      </c>
      <c r="J31" s="3">
        <v>1214004</v>
      </c>
      <c r="K31" s="4">
        <v>0</v>
      </c>
      <c r="L31" s="3">
        <v>0</v>
      </c>
      <c r="M31" s="3">
        <v>549093.30000000005</v>
      </c>
      <c r="N31" s="4">
        <v>1.971678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997080.9</v>
      </c>
      <c r="F32" s="3">
        <v>2287389</v>
      </c>
      <c r="G32" s="3">
        <v>-1290308</v>
      </c>
      <c r="H32" s="3">
        <v>0</v>
      </c>
      <c r="I32" s="3">
        <v>0.28362080000000001</v>
      </c>
      <c r="J32" s="3">
        <v>12870810</v>
      </c>
      <c r="K32" s="4">
        <v>0</v>
      </c>
      <c r="L32" s="3">
        <v>0</v>
      </c>
      <c r="M32" s="3">
        <v>10511430</v>
      </c>
      <c r="N32" s="4">
        <v>3.2003430000000002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90821.73</v>
      </c>
      <c r="F33" s="3">
        <v>94908.4</v>
      </c>
      <c r="G33" s="3">
        <v>-4086.6709999999998</v>
      </c>
      <c r="H33" s="3">
        <v>0</v>
      </c>
      <c r="I33" s="3">
        <v>0.39991650000000001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341172508343.89001</v>
      </c>
      <c r="K34" s="5" t="s">
        <v>45</v>
      </c>
      <c r="L34" s="2">
        <f>SUM(L2:L31)</f>
        <v>81690987.144460008</v>
      </c>
      <c r="M34" s="2">
        <f>SUM(M2:M31)</f>
        <v>150966102.58000004</v>
      </c>
      <c r="N34" s="2">
        <f>SUM(N2:N31)</f>
        <v>124.63391899999998</v>
      </c>
    </row>
    <row r="35" spans="1:14" x14ac:dyDescent="0.2">
      <c r="I35" s="8" t="s">
        <v>43</v>
      </c>
      <c r="J35" s="2">
        <f>SUM(J15,J17)</f>
        <v>9994974</v>
      </c>
    </row>
    <row r="36" spans="1:14" x14ac:dyDescent="0.2">
      <c r="I36" s="8" t="s">
        <v>44</v>
      </c>
      <c r="J36" s="2">
        <f>SUM(J20)</f>
        <v>1344158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11461097.4</v>
      </c>
    </row>
    <row r="41" spans="1:14" x14ac:dyDescent="0.2">
      <c r="A41" t="s">
        <v>48</v>
      </c>
      <c r="C41" s="2">
        <f>SUMIFS($J$2:$J$34,$B$2:$B$34, "Offshore Wind")+SUMIFS($J$2:$J$34,$B$2:$B$34, "Onshore Wind")</f>
        <v>9994974</v>
      </c>
    </row>
    <row r="42" spans="1:14" x14ac:dyDescent="0.2">
      <c r="A42" t="s">
        <v>60</v>
      </c>
      <c r="C42" s="2">
        <f>-$M$27</f>
        <v>14124690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5"/>
  <sheetViews>
    <sheetView tabSelected="1" topLeftCell="A23" workbookViewId="0">
      <selection activeCell="C49" sqref="C49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3522451</v>
      </c>
      <c r="F7" s="3">
        <v>0</v>
      </c>
      <c r="G7" s="3">
        <v>3522451</v>
      </c>
      <c r="H7" s="3">
        <v>0</v>
      </c>
      <c r="I7" s="3">
        <v>0.1177149</v>
      </c>
      <c r="J7" s="3">
        <v>26401120</v>
      </c>
      <c r="K7" s="4">
        <v>0</v>
      </c>
      <c r="L7" s="3">
        <v>40227900</v>
      </c>
      <c r="M7" s="3">
        <v>40227900</v>
      </c>
      <c r="N7" s="4">
        <v>11.420431000000001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4564.6790000000001</v>
      </c>
      <c r="F9" s="3">
        <v>0</v>
      </c>
      <c r="G9" s="3">
        <v>4564.6790000000001</v>
      </c>
      <c r="H9" s="3">
        <v>0</v>
      </c>
      <c r="I9" s="3">
        <v>0.18991820000000001</v>
      </c>
      <c r="J9" s="3">
        <v>19470.32</v>
      </c>
      <c r="K9" s="4">
        <v>0</v>
      </c>
      <c r="L9" s="3">
        <v>56875.9</v>
      </c>
      <c r="M9" s="3">
        <v>97976.78</v>
      </c>
      <c r="N9" s="4">
        <v>21.464089999999999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939.55420000000004</v>
      </c>
      <c r="F10" s="3">
        <v>0</v>
      </c>
      <c r="G10" s="3">
        <v>939.55420000000004</v>
      </c>
      <c r="H10" s="3">
        <v>0</v>
      </c>
      <c r="I10" s="3">
        <v>5.1527180000000004E-4</v>
      </c>
      <c r="J10" s="3">
        <v>1822467</v>
      </c>
      <c r="K10" s="4">
        <v>0</v>
      </c>
      <c r="L10" s="3">
        <v>50735.92</v>
      </c>
      <c r="M10" s="3">
        <v>50908.45</v>
      </c>
      <c r="N10" s="4">
        <v>54.183860000000003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1385678</v>
      </c>
      <c r="F11" s="3">
        <v>0</v>
      </c>
      <c r="G11" s="3">
        <v>1385678</v>
      </c>
      <c r="H11" s="3">
        <v>0</v>
      </c>
      <c r="I11" s="3">
        <v>0.33425339999999998</v>
      </c>
      <c r="J11" s="3">
        <v>272558.8</v>
      </c>
      <c r="K11" s="4">
        <v>0</v>
      </c>
      <c r="L11" s="3">
        <v>0</v>
      </c>
      <c r="M11" s="3">
        <v>9492907</v>
      </c>
      <c r="N11" s="4">
        <v>6.8507309999999997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239212.9</v>
      </c>
      <c r="F13" s="3">
        <v>0</v>
      </c>
      <c r="G13" s="3">
        <v>239212.9</v>
      </c>
      <c r="H13" s="3">
        <v>0</v>
      </c>
      <c r="I13" s="3">
        <v>0.4304153</v>
      </c>
      <c r="J13" s="3">
        <v>34556.69</v>
      </c>
      <c r="K13" s="4">
        <v>0</v>
      </c>
      <c r="L13" s="3">
        <v>0</v>
      </c>
      <c r="M13" s="3">
        <v>1997884</v>
      </c>
      <c r="N13" s="4">
        <v>8.3519100000000002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4052395</v>
      </c>
      <c r="F14" s="3">
        <v>0</v>
      </c>
      <c r="G14" s="3">
        <v>4052395</v>
      </c>
      <c r="H14" s="3">
        <v>0</v>
      </c>
      <c r="I14" s="3">
        <v>0.40583000000000002</v>
      </c>
      <c r="J14" s="3">
        <v>5933055</v>
      </c>
      <c r="K14" s="4">
        <v>0</v>
      </c>
      <c r="L14" s="3">
        <v>40523950</v>
      </c>
      <c r="M14" s="3">
        <v>67645010</v>
      </c>
      <c r="N14" s="4">
        <v>16.692602000000001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25297990</v>
      </c>
      <c r="F15" s="3">
        <v>0</v>
      </c>
      <c r="G15" s="3">
        <v>25297990</v>
      </c>
      <c r="H15" s="3">
        <v>0</v>
      </c>
      <c r="I15" s="3">
        <v>0.21623310000000001</v>
      </c>
      <c r="J15" s="3">
        <v>6816858</v>
      </c>
      <c r="K15" s="4">
        <v>0</v>
      </c>
      <c r="L15" s="3">
        <v>0</v>
      </c>
      <c r="M15" s="3">
        <v>102337400</v>
      </c>
      <c r="N15" s="4">
        <v>4.0452769999999996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11166210</v>
      </c>
      <c r="F17" s="3">
        <v>0</v>
      </c>
      <c r="G17" s="3">
        <v>11166210</v>
      </c>
      <c r="H17" s="3">
        <v>0</v>
      </c>
      <c r="I17" s="3">
        <v>0.1873947</v>
      </c>
      <c r="J17" s="3">
        <v>3168929</v>
      </c>
      <c r="K17" s="4">
        <v>0</v>
      </c>
      <c r="L17" s="3">
        <v>0</v>
      </c>
      <c r="M17" s="3">
        <v>42204570</v>
      </c>
      <c r="N17" s="4">
        <v>3.7796690000000002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13153100</v>
      </c>
      <c r="F20" s="3">
        <v>0</v>
      </c>
      <c r="G20" s="3">
        <v>13153100</v>
      </c>
      <c r="H20" s="3">
        <v>0</v>
      </c>
      <c r="I20" s="3">
        <v>0.14874380000000001</v>
      </c>
      <c r="J20" s="3">
        <v>1412444</v>
      </c>
      <c r="K20" s="4">
        <v>0</v>
      </c>
      <c r="L20" s="3">
        <v>0</v>
      </c>
      <c r="M20" s="3">
        <v>90049560</v>
      </c>
      <c r="N20" s="4">
        <v>6.8462630000000004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34980080</v>
      </c>
      <c r="F22" s="3">
        <v>21402270</v>
      </c>
      <c r="G22" s="3">
        <v>13577810</v>
      </c>
      <c r="H22" s="3">
        <v>-13577810</v>
      </c>
      <c r="I22" s="3">
        <v>0.1118036</v>
      </c>
      <c r="J22" s="3">
        <v>0</v>
      </c>
      <c r="K22" s="4">
        <v>0</v>
      </c>
      <c r="L22" s="3">
        <v>0</v>
      </c>
      <c r="M22" s="3">
        <v>132119300</v>
      </c>
      <c r="N22" s="4">
        <v>2.3432750000000002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9507955</v>
      </c>
      <c r="F23" s="3">
        <v>5895185</v>
      </c>
      <c r="G23" s="3">
        <v>3612770</v>
      </c>
      <c r="H23" s="3">
        <v>-3612770</v>
      </c>
      <c r="I23" s="3">
        <v>0.56622430000000001</v>
      </c>
      <c r="J23" s="3">
        <v>30816020</v>
      </c>
      <c r="K23" s="4">
        <v>0</v>
      </c>
      <c r="L23" s="3">
        <v>0</v>
      </c>
      <c r="M23" s="3">
        <v>70048000</v>
      </c>
      <c r="N23" s="4">
        <v>4.547644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109040.9</v>
      </c>
      <c r="G24" s="3">
        <v>-109040.9</v>
      </c>
      <c r="H24" s="3">
        <v>0</v>
      </c>
      <c r="I24" s="3">
        <v>1.9193969999999999E-6</v>
      </c>
      <c r="J24" s="3">
        <v>56809890000</v>
      </c>
      <c r="K24" s="4">
        <v>0</v>
      </c>
      <c r="L24" s="3">
        <v>1.0904100000000001</v>
      </c>
      <c r="M24" s="3">
        <v>-807885.7</v>
      </c>
      <c r="N24" s="4">
        <v>-7.409014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136478.5</v>
      </c>
      <c r="G25" s="3">
        <v>-136478.5</v>
      </c>
      <c r="H25" s="3">
        <v>0</v>
      </c>
      <c r="I25" s="3">
        <v>1.7098260000000001E-2</v>
      </c>
      <c r="J25" s="3">
        <v>7845534</v>
      </c>
      <c r="K25" s="4">
        <v>0</v>
      </c>
      <c r="L25" s="3">
        <v>0</v>
      </c>
      <c r="M25" s="3">
        <v>0</v>
      </c>
      <c r="N25" s="4" t="s">
        <v>21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91497.84</v>
      </c>
      <c r="G26" s="3">
        <v>-91497.84</v>
      </c>
      <c r="H26" s="3">
        <v>0</v>
      </c>
      <c r="I26" s="3">
        <v>0.1504249</v>
      </c>
      <c r="J26" s="3">
        <v>516764.6</v>
      </c>
      <c r="K26" s="4">
        <v>0</v>
      </c>
      <c r="L26" s="3">
        <v>457489.2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156000000</v>
      </c>
      <c r="D27" s="3">
        <v>156000000</v>
      </c>
      <c r="E27" s="3">
        <v>0</v>
      </c>
      <c r="F27" s="3">
        <v>16643.259999999998</v>
      </c>
      <c r="G27" s="3">
        <v>-16643.259999999998</v>
      </c>
      <c r="H27" s="3">
        <v>16643.259999999998</v>
      </c>
      <c r="I27" s="3">
        <v>4.8827240000000001E-8</v>
      </c>
      <c r="J27" s="3">
        <v>340860000000</v>
      </c>
      <c r="K27" s="4">
        <v>0</v>
      </c>
      <c r="L27" s="3">
        <v>0.16642999999999999</v>
      </c>
      <c r="M27" s="3">
        <v>-90369.41</v>
      </c>
      <c r="N27" s="4">
        <v>-5.429792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1877543</v>
      </c>
      <c r="G28" s="3">
        <v>-1877543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-14080300</v>
      </c>
      <c r="N28" s="4">
        <v>-7.4993230000000004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52178340</v>
      </c>
      <c r="G29" s="3">
        <v>-52178340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-410518000</v>
      </c>
      <c r="N29" s="4">
        <v>-7.8675949999999997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3617944</v>
      </c>
      <c r="F30" s="3">
        <v>6804928</v>
      </c>
      <c r="G30" s="3">
        <v>-3186985</v>
      </c>
      <c r="H30" s="3">
        <v>0</v>
      </c>
      <c r="I30" s="3">
        <v>0.18019789999999999</v>
      </c>
      <c r="J30" s="3">
        <v>61028250</v>
      </c>
      <c r="K30" s="4">
        <v>0</v>
      </c>
      <c r="L30" s="3">
        <v>0</v>
      </c>
      <c r="M30" s="3">
        <v>16528890</v>
      </c>
      <c r="N30" s="4">
        <v>1.5858289999999999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182298.6</v>
      </c>
      <c r="F31" s="3">
        <v>300876.40000000002</v>
      </c>
      <c r="G31" s="3">
        <v>-118577.9</v>
      </c>
      <c r="H31" s="3">
        <v>0</v>
      </c>
      <c r="I31" s="3">
        <v>0.2578182</v>
      </c>
      <c r="J31" s="3">
        <v>1992670</v>
      </c>
      <c r="K31" s="4">
        <v>0</v>
      </c>
      <c r="L31" s="3">
        <v>0</v>
      </c>
      <c r="M31" s="3">
        <v>542221.30000000005</v>
      </c>
      <c r="N31" s="4">
        <v>1.1222049999999999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33421.78</v>
      </c>
      <c r="F32" s="3">
        <v>239437.1</v>
      </c>
      <c r="G32" s="3">
        <v>-206015.3</v>
      </c>
      <c r="H32" s="3">
        <v>0</v>
      </c>
      <c r="I32" s="3">
        <v>0.2726634</v>
      </c>
      <c r="J32" s="3">
        <v>1206732</v>
      </c>
      <c r="K32" s="4">
        <v>0</v>
      </c>
      <c r="L32" s="3">
        <v>0</v>
      </c>
      <c r="M32" s="3">
        <v>543258.30000000005</v>
      </c>
      <c r="N32" s="4">
        <v>1.9909859999999999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1068761</v>
      </c>
      <c r="F33" s="3">
        <v>2323427</v>
      </c>
      <c r="G33" s="3">
        <v>-1254666</v>
      </c>
      <c r="H33" s="3">
        <v>0</v>
      </c>
      <c r="I33" s="3">
        <v>0.29292240000000003</v>
      </c>
      <c r="J33" s="3">
        <v>12835170</v>
      </c>
      <c r="K33" s="4">
        <v>0</v>
      </c>
      <c r="L33" s="3">
        <v>0</v>
      </c>
      <c r="M33" s="3">
        <v>10364760</v>
      </c>
      <c r="N33" s="4">
        <v>3.0554800000000002</v>
      </c>
    </row>
    <row r="34" spans="1:14" x14ac:dyDescent="0.2">
      <c r="A34" s="10" t="s">
        <v>41</v>
      </c>
      <c r="B34" s="1" t="s">
        <v>40</v>
      </c>
      <c r="C34" s="3">
        <v>13000000</v>
      </c>
      <c r="D34" s="3">
        <v>13000000</v>
      </c>
      <c r="E34" s="3">
        <v>54520.46</v>
      </c>
      <c r="F34" s="3">
        <v>54520.46</v>
      </c>
      <c r="G34" s="3">
        <v>0</v>
      </c>
      <c r="H34" s="3">
        <v>0</v>
      </c>
      <c r="I34" s="3">
        <v>0.99992650000000005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90325.05</v>
      </c>
      <c r="F35" s="3">
        <v>94362.16</v>
      </c>
      <c r="G35" s="3">
        <v>-4037.1089999999999</v>
      </c>
      <c r="H35" s="3">
        <v>0</v>
      </c>
      <c r="I35" s="3">
        <v>0.39506649999999999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397994438206.31</v>
      </c>
      <c r="K36" s="5" t="s">
        <v>45</v>
      </c>
      <c r="L36" s="2">
        <f>SUM(L4:L33)</f>
        <v>81316952.276839986</v>
      </c>
      <c r="M36" s="2">
        <f>SUM(M4:M33)</f>
        <v>158753990.72000003</v>
      </c>
      <c r="N36" s="2">
        <f>SUM(N4:N33)</f>
        <v>120.074528</v>
      </c>
    </row>
    <row r="37" spans="1:14" x14ac:dyDescent="0.2">
      <c r="I37" s="8" t="s">
        <v>43</v>
      </c>
      <c r="J37" s="2">
        <f>SUM(J15,J17)</f>
        <v>9985787</v>
      </c>
    </row>
    <row r="38" spans="1:14" x14ac:dyDescent="0.2">
      <c r="A38" t="s">
        <v>46</v>
      </c>
      <c r="I38" s="8" t="s">
        <v>44</v>
      </c>
      <c r="J38" s="2">
        <f>SUM(J20)</f>
        <v>1412444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11520196.4</v>
      </c>
    </row>
    <row r="41" spans="1:14" x14ac:dyDescent="0.2">
      <c r="A41" t="s">
        <v>48</v>
      </c>
      <c r="C41" s="2">
        <f>SUMIFS($J$2:$J$32,$B$2:$B$32, "Offshore Wind")+SUMIFS($J$2:$J$32,$B$2:$B$32, "Onshore Wind")</f>
        <v>9985787</v>
      </c>
    </row>
    <row r="42" spans="1:14" x14ac:dyDescent="0.2">
      <c r="A42" t="s">
        <v>60</v>
      </c>
      <c r="C42" s="2">
        <f>-$M$28</f>
        <v>14080300</v>
      </c>
    </row>
    <row r="44" spans="1:14" ht="17" customHeight="1" x14ac:dyDescent="0.2">
      <c r="A44" t="s">
        <v>61</v>
      </c>
    </row>
    <row r="45" spans="1:14" x14ac:dyDescent="0.2">
      <c r="A45" t="s">
        <v>62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364B-95F3-6542-9C15-C4F497796E61}">
  <dimension ref="A1:N39"/>
  <sheetViews>
    <sheetView topLeftCell="A21" workbookViewId="0">
      <selection activeCell="D44" sqref="D44"/>
    </sheetView>
  </sheetViews>
  <sheetFormatPr baseColWidth="10" defaultColWidth="17" defaultRowHeight="16" x14ac:dyDescent="0.2"/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30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45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ht="30" x14ac:dyDescent="0.2">
      <c r="A7" s="11"/>
      <c r="B7" s="1" t="s">
        <v>17</v>
      </c>
      <c r="C7" s="4">
        <v>13695</v>
      </c>
      <c r="D7" s="4">
        <v>13695</v>
      </c>
      <c r="E7" s="3">
        <v>3567759</v>
      </c>
      <c r="F7" s="3">
        <v>0</v>
      </c>
      <c r="G7" s="3">
        <v>3567759</v>
      </c>
      <c r="H7" s="3">
        <v>0</v>
      </c>
      <c r="I7" s="4">
        <v>0.119229</v>
      </c>
      <c r="J7" s="3">
        <v>26355820</v>
      </c>
      <c r="K7" s="4">
        <v>0</v>
      </c>
      <c r="L7" s="3">
        <v>40697210</v>
      </c>
      <c r="M7" s="3">
        <v>40697210</v>
      </c>
      <c r="N7" s="4">
        <v>11.406941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4643.509</v>
      </c>
      <c r="F9" s="3">
        <v>0</v>
      </c>
      <c r="G9" s="3">
        <v>4643.509</v>
      </c>
      <c r="H9" s="3">
        <v>0</v>
      </c>
      <c r="I9" s="4">
        <v>0.19319800000000001</v>
      </c>
      <c r="J9" s="3">
        <v>19391.490000000002</v>
      </c>
      <c r="K9" s="4">
        <v>0</v>
      </c>
      <c r="L9" s="3">
        <v>57858.12</v>
      </c>
      <c r="M9" s="3">
        <v>99256.85</v>
      </c>
      <c r="N9" s="4">
        <v>21.375356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1327.7829999999999</v>
      </c>
      <c r="F10" s="3">
        <v>0</v>
      </c>
      <c r="G10" s="3">
        <v>1327.7829999999999</v>
      </c>
      <c r="H10" s="3">
        <v>0</v>
      </c>
      <c r="I10" s="4">
        <v>7.2800000000000002E-4</v>
      </c>
      <c r="J10" s="3">
        <v>1822079</v>
      </c>
      <c r="K10" s="4">
        <v>0</v>
      </c>
      <c r="L10" s="3">
        <v>71700.3</v>
      </c>
      <c r="M10" s="3">
        <v>71876.929999999993</v>
      </c>
      <c r="N10" s="4">
        <v>54.133128999999997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1410729</v>
      </c>
      <c r="F11" s="3">
        <v>0</v>
      </c>
      <c r="G11" s="3">
        <v>1410729</v>
      </c>
      <c r="H11" s="3">
        <v>0</v>
      </c>
      <c r="I11" s="4">
        <v>0.34029599999999999</v>
      </c>
      <c r="J11" s="3">
        <v>247507.3</v>
      </c>
      <c r="K11" s="4">
        <v>0</v>
      </c>
      <c r="L11" s="3">
        <v>0</v>
      </c>
      <c r="M11" s="3">
        <v>9471836</v>
      </c>
      <c r="N11" s="4">
        <v>6.7141409999999997</v>
      </c>
    </row>
    <row r="12" spans="1:14" ht="30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238897.2</v>
      </c>
      <c r="F13" s="3">
        <v>0</v>
      </c>
      <c r="G13" s="3">
        <v>238897.2</v>
      </c>
      <c r="H13" s="3">
        <v>0</v>
      </c>
      <c r="I13" s="4">
        <v>0.42984699999999998</v>
      </c>
      <c r="J13" s="3">
        <v>34872.370000000003</v>
      </c>
      <c r="K13" s="4">
        <v>0</v>
      </c>
      <c r="L13" s="3">
        <v>0</v>
      </c>
      <c r="M13" s="3">
        <v>2000389</v>
      </c>
      <c r="N13" s="4">
        <v>8.3734300000000008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4061245</v>
      </c>
      <c r="F14" s="3">
        <v>0</v>
      </c>
      <c r="G14" s="3">
        <v>4061245</v>
      </c>
      <c r="H14" s="3">
        <v>0</v>
      </c>
      <c r="I14" s="4">
        <v>0.40671600000000002</v>
      </c>
      <c r="J14" s="3">
        <v>5924205</v>
      </c>
      <c r="K14" s="4">
        <v>0</v>
      </c>
      <c r="L14" s="3">
        <v>40612450</v>
      </c>
      <c r="M14" s="3">
        <v>68046630</v>
      </c>
      <c r="N14" s="4">
        <v>16.755116999999998</v>
      </c>
    </row>
    <row r="15" spans="1:14" ht="30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25483100</v>
      </c>
      <c r="F15" s="3">
        <v>0</v>
      </c>
      <c r="G15" s="3">
        <v>25483100</v>
      </c>
      <c r="H15" s="3">
        <v>0</v>
      </c>
      <c r="I15" s="4">
        <v>0.21781500000000001</v>
      </c>
      <c r="J15" s="3">
        <v>6631744</v>
      </c>
      <c r="K15" s="4">
        <v>0</v>
      </c>
      <c r="L15" s="3">
        <v>0</v>
      </c>
      <c r="M15" s="3">
        <v>102405100</v>
      </c>
      <c r="N15" s="4">
        <v>4.0185490000000001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11319050</v>
      </c>
      <c r="F17" s="3">
        <v>0</v>
      </c>
      <c r="G17" s="3">
        <v>11319050</v>
      </c>
      <c r="H17" s="3">
        <v>0</v>
      </c>
      <c r="I17" s="4">
        <v>0.18995999999999999</v>
      </c>
      <c r="J17" s="3">
        <v>3016082</v>
      </c>
      <c r="K17" s="4">
        <v>0</v>
      </c>
      <c r="L17" s="3">
        <v>0</v>
      </c>
      <c r="M17" s="3">
        <v>42150350</v>
      </c>
      <c r="N17" s="4">
        <v>3.7238410000000002</v>
      </c>
    </row>
    <row r="18" spans="1:14" ht="30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13150640</v>
      </c>
      <c r="F20" s="3">
        <v>0</v>
      </c>
      <c r="G20" s="3">
        <v>13150640</v>
      </c>
      <c r="H20" s="3">
        <v>0</v>
      </c>
      <c r="I20" s="4">
        <v>0.14871599999999999</v>
      </c>
      <c r="J20" s="3">
        <v>1414899</v>
      </c>
      <c r="K20" s="4">
        <v>0</v>
      </c>
      <c r="L20" s="3">
        <v>0</v>
      </c>
      <c r="M20" s="3">
        <v>90278670</v>
      </c>
      <c r="N20" s="4">
        <v>6.8649630000000004</v>
      </c>
    </row>
    <row r="21" spans="1:14" ht="30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35388420</v>
      </c>
      <c r="F22" s="3">
        <v>21320510</v>
      </c>
      <c r="G22" s="3">
        <v>14067910</v>
      </c>
      <c r="H22" s="3">
        <v>-14067910</v>
      </c>
      <c r="I22" s="4">
        <v>0.112451</v>
      </c>
      <c r="J22" s="3">
        <v>0</v>
      </c>
      <c r="K22" s="4">
        <v>0</v>
      </c>
      <c r="L22" s="3">
        <v>0</v>
      </c>
      <c r="M22" s="3">
        <v>134043700</v>
      </c>
      <c r="N22" s="4">
        <v>2.3637139999999999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9520578</v>
      </c>
      <c r="F23" s="3">
        <v>5861339</v>
      </c>
      <c r="G23" s="3">
        <v>3659240</v>
      </c>
      <c r="H23" s="3">
        <v>-3659240</v>
      </c>
      <c r="I23" s="4">
        <v>0.56544399999999995</v>
      </c>
      <c r="J23" s="3">
        <v>30862490</v>
      </c>
      <c r="K23" s="4">
        <v>0</v>
      </c>
      <c r="L23" s="3">
        <v>0</v>
      </c>
      <c r="M23" s="3">
        <v>70784100</v>
      </c>
      <c r="N23" s="4">
        <v>4.6017739999999998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136057.4</v>
      </c>
      <c r="G24" s="3">
        <v>-136057.4</v>
      </c>
      <c r="H24" s="3">
        <v>0</v>
      </c>
      <c r="I24" s="4">
        <v>1.7045000000000001E-2</v>
      </c>
      <c r="J24" s="3">
        <v>7845955</v>
      </c>
      <c r="K24" s="4">
        <v>0</v>
      </c>
      <c r="L24" s="3">
        <v>0</v>
      </c>
      <c r="M24" s="3">
        <v>0</v>
      </c>
      <c r="N24" s="4" t="s">
        <v>21</v>
      </c>
    </row>
    <row r="25" spans="1:14" ht="30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87212.04</v>
      </c>
      <c r="G25" s="3">
        <v>-87212.04</v>
      </c>
      <c r="H25" s="3">
        <v>0</v>
      </c>
      <c r="I25" s="4">
        <v>0.14337900000000001</v>
      </c>
      <c r="J25" s="3">
        <v>521050.4</v>
      </c>
      <c r="K25" s="4">
        <v>0</v>
      </c>
      <c r="L25" s="3">
        <v>436060.2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1877543</v>
      </c>
      <c r="G26" s="3">
        <v>-1877543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-14118940</v>
      </c>
      <c r="N26" s="4">
        <v>-7.5199040000000004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52178340</v>
      </c>
      <c r="G27" s="3">
        <v>-52178340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-411891500</v>
      </c>
      <c r="N27" s="4">
        <v>-7.8939170000000001</v>
      </c>
    </row>
    <row r="28" spans="1:14" ht="30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2577047</v>
      </c>
      <c r="F28" s="3">
        <v>5998543</v>
      </c>
      <c r="G28" s="3">
        <v>-3421497</v>
      </c>
      <c r="H28" s="3">
        <v>0</v>
      </c>
      <c r="I28" s="4">
        <v>0.148261</v>
      </c>
      <c r="J28" s="3">
        <v>61262760</v>
      </c>
      <c r="K28" s="4">
        <v>0</v>
      </c>
      <c r="L28" s="3">
        <v>0</v>
      </c>
      <c r="M28" s="3">
        <v>16741690</v>
      </c>
      <c r="N28" s="4">
        <v>1.9522489999999999</v>
      </c>
    </row>
    <row r="29" spans="1:14" ht="45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137415</v>
      </c>
      <c r="F29" s="3">
        <v>269283.90000000002</v>
      </c>
      <c r="G29" s="3">
        <v>-131868.9</v>
      </c>
      <c r="H29" s="3">
        <v>0</v>
      </c>
      <c r="I29" s="4">
        <v>0.21701100000000001</v>
      </c>
      <c r="J29" s="3">
        <v>2005961</v>
      </c>
      <c r="K29" s="4">
        <v>0</v>
      </c>
      <c r="L29" s="3">
        <v>0</v>
      </c>
      <c r="M29" s="3">
        <v>548921.5</v>
      </c>
      <c r="N29" s="4">
        <v>1.3496999999999999</v>
      </c>
    </row>
    <row r="30" spans="1:14" ht="45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31335.279999999999</v>
      </c>
      <c r="F30" s="3">
        <v>253138.2</v>
      </c>
      <c r="G30" s="3">
        <v>-221803</v>
      </c>
      <c r="H30" s="3">
        <v>0</v>
      </c>
      <c r="I30" s="4">
        <v>0.28427000000000002</v>
      </c>
      <c r="J30" s="3">
        <v>1222520</v>
      </c>
      <c r="K30" s="4">
        <v>0</v>
      </c>
      <c r="L30" s="3">
        <v>0</v>
      </c>
      <c r="M30" s="3">
        <v>549749.4</v>
      </c>
      <c r="N30" s="4">
        <v>1.932515</v>
      </c>
    </row>
    <row r="31" spans="1:14" ht="60" x14ac:dyDescent="0.2">
      <c r="A31" s="12"/>
      <c r="B31" s="1" t="s">
        <v>39</v>
      </c>
      <c r="C31" s="4">
        <v>5300</v>
      </c>
      <c r="D31" s="4">
        <v>5300</v>
      </c>
      <c r="E31" s="3">
        <v>830462.2</v>
      </c>
      <c r="F31" s="3">
        <v>2235843</v>
      </c>
      <c r="G31" s="3">
        <v>-1405381</v>
      </c>
      <c r="H31" s="3">
        <v>0</v>
      </c>
      <c r="I31" s="4">
        <v>0.26478200000000002</v>
      </c>
      <c r="J31" s="3">
        <v>12985880</v>
      </c>
      <c r="K31" s="4">
        <v>0</v>
      </c>
      <c r="L31" s="3">
        <v>0</v>
      </c>
      <c r="M31" s="3">
        <v>10545950</v>
      </c>
      <c r="N31" s="4">
        <v>3.4393009999999999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85847.27</v>
      </c>
      <c r="F32" s="3">
        <v>93875.38</v>
      </c>
      <c r="G32" s="3">
        <v>-8028.1059999999998</v>
      </c>
      <c r="H32" s="3">
        <v>0</v>
      </c>
      <c r="I32" s="4">
        <v>0.78561999999999999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 t="e">
        <f>SUM(#REF!)</f>
        <v>#REF!</v>
      </c>
      <c r="K33" s="5" t="s">
        <v>45</v>
      </c>
      <c r="L33" s="2">
        <f>SUM(L1:L30)</f>
        <v>81875278.61999999</v>
      </c>
      <c r="M33" s="2">
        <f>SUM(M1:M30)</f>
        <v>151879039.67999998</v>
      </c>
      <c r="N33" s="2">
        <f>SUM(N1:N30)</f>
        <v>130.15159799999995</v>
      </c>
    </row>
    <row r="34" spans="1:14" x14ac:dyDescent="0.2">
      <c r="I34" s="8" t="s">
        <v>43</v>
      </c>
      <c r="J34" s="2">
        <f>SUM(J12,J14)</f>
        <v>58102545</v>
      </c>
    </row>
    <row r="35" spans="1:14" x14ac:dyDescent="0.2">
      <c r="A35" t="s">
        <v>46</v>
      </c>
      <c r="I35" s="8" t="s">
        <v>44</v>
      </c>
      <c r="J35" s="2">
        <f>SUM(J17)</f>
        <v>3016082</v>
      </c>
    </row>
    <row r="36" spans="1:14" x14ac:dyDescent="0.2">
      <c r="A36" t="s">
        <v>49</v>
      </c>
      <c r="C36" s="2">
        <f>SUMIFS($D$2:$D$32,$B$2:$B$32, "Solar PV")+SUMIFS($D$2:$D$32,$B$2:$B$32, "Offshore Wind")+SUMIFS($D$2:$D$32,$B$2:$B$32, "Onshore Wind")+SUMIFS($D$2:$D$32,$B$2:$B$32, "Sewage Gas")</f>
        <v>121341.18438999999</v>
      </c>
    </row>
    <row r="37" spans="1:14" x14ac:dyDescent="0.2">
      <c r="A37" t="s">
        <v>47</v>
      </c>
      <c r="C37" s="2">
        <f>SUMIFS($J$2:$J$32,$B$2:$B$32, "Solar PV")+SUMIFS($J$2:$J$32,$B$2:$B$32, "Offshore Wind")+SUMIFS($J$2:$J$32,$B$2:$B$32, "Onshore Wind")+SUMIFS($J$2:$J$32,$B$2:$B$32, "Sewage Gas")</f>
        <v>11184690.4</v>
      </c>
    </row>
    <row r="38" spans="1:14" x14ac:dyDescent="0.2">
      <c r="A38" t="s">
        <v>48</v>
      </c>
      <c r="C38" s="2">
        <f>SUMIFS($J$2:$J$32,$B$2:$B$32, "Offshore Wind")+SUMIFS($J$2:$J$32,$B$2:$B$32, "Onshore Wind")</f>
        <v>9647826</v>
      </c>
    </row>
    <row r="39" spans="1:14" x14ac:dyDescent="0.2">
      <c r="A39" t="s">
        <v>60</v>
      </c>
      <c r="C39" s="2">
        <f>-$M$26</f>
        <v>14118940</v>
      </c>
    </row>
  </sheetData>
  <autoFilter ref="A1:N32" xr:uid="{EBEC364B-95F3-6542-9C15-C4F497796E61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2586-5AA0-4346-8AF7-C6AB4137DC20}">
  <dimension ref="A1:N43"/>
  <sheetViews>
    <sheetView topLeftCell="A22" workbookViewId="0">
      <selection activeCell="C44" sqref="C44"/>
    </sheetView>
  </sheetViews>
  <sheetFormatPr baseColWidth="10" defaultColWidth="17" defaultRowHeight="16" x14ac:dyDescent="0.2"/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30" customHeight="1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45" customHeight="1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ht="30" customHeight="1" x14ac:dyDescent="0.2">
      <c r="A7" s="11"/>
      <c r="B7" s="1" t="s">
        <v>17</v>
      </c>
      <c r="C7" s="3">
        <v>13695</v>
      </c>
      <c r="D7" s="3">
        <v>13695</v>
      </c>
      <c r="E7" s="3">
        <v>3501002</v>
      </c>
      <c r="F7" s="3">
        <v>0</v>
      </c>
      <c r="G7" s="3">
        <v>3501002</v>
      </c>
      <c r="H7" s="3">
        <v>0</v>
      </c>
      <c r="I7" s="3">
        <v>0.11699809999999999</v>
      </c>
      <c r="J7" s="3">
        <v>26422570</v>
      </c>
      <c r="K7" s="4">
        <v>0</v>
      </c>
      <c r="L7" s="3">
        <v>39740210</v>
      </c>
      <c r="M7" s="3">
        <v>39740210</v>
      </c>
      <c r="N7" s="4">
        <v>11.351096999999999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4564.6790000000001</v>
      </c>
      <c r="F9" s="3">
        <v>0</v>
      </c>
      <c r="G9" s="3">
        <v>4564.6790000000001</v>
      </c>
      <c r="H9" s="3">
        <v>0</v>
      </c>
      <c r="I9" s="3">
        <v>0.18991820000000001</v>
      </c>
      <c r="J9" s="3">
        <v>19470.32</v>
      </c>
      <c r="K9" s="4">
        <v>0</v>
      </c>
      <c r="L9" s="3">
        <v>56875.9</v>
      </c>
      <c r="M9" s="3">
        <v>97186.44</v>
      </c>
      <c r="N9" s="4">
        <v>21.290948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37.805959999999999</v>
      </c>
      <c r="F10" s="3">
        <v>0</v>
      </c>
      <c r="G10" s="3">
        <v>37.805959999999999</v>
      </c>
      <c r="H10" s="3">
        <v>0</v>
      </c>
      <c r="I10" s="3">
        <v>2.0730700000000001E-5</v>
      </c>
      <c r="J10" s="3">
        <v>1823369</v>
      </c>
      <c r="K10" s="4">
        <v>0</v>
      </c>
      <c r="L10" s="3">
        <v>2041.5219999999999</v>
      </c>
      <c r="M10" s="3">
        <v>2152.4699999999998</v>
      </c>
      <c r="N10" s="4">
        <v>56.942774999999997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1392269</v>
      </c>
      <c r="F11" s="3">
        <v>0</v>
      </c>
      <c r="G11" s="3">
        <v>1392269</v>
      </c>
      <c r="H11" s="3">
        <v>0</v>
      </c>
      <c r="I11" s="3">
        <v>0.33584320000000001</v>
      </c>
      <c r="J11" s="3">
        <v>265967.7</v>
      </c>
      <c r="K11" s="4">
        <v>0</v>
      </c>
      <c r="L11" s="3">
        <v>0</v>
      </c>
      <c r="M11" s="3">
        <v>9282304</v>
      </c>
      <c r="N11" s="4">
        <v>6.667033</v>
      </c>
    </row>
    <row r="12" spans="1:14" ht="30" customHeight="1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237958.9</v>
      </c>
      <c r="F13" s="3">
        <v>0</v>
      </c>
      <c r="G13" s="3">
        <v>237958.9</v>
      </c>
      <c r="H13" s="3">
        <v>0</v>
      </c>
      <c r="I13" s="3">
        <v>0.42815910000000001</v>
      </c>
      <c r="J13" s="3">
        <v>35810.61</v>
      </c>
      <c r="K13" s="4">
        <v>0</v>
      </c>
      <c r="L13" s="3">
        <v>0</v>
      </c>
      <c r="M13" s="3">
        <v>1973243</v>
      </c>
      <c r="N13" s="4">
        <v>8.29237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4026833</v>
      </c>
      <c r="F14" s="3">
        <v>0</v>
      </c>
      <c r="G14" s="3">
        <v>4026833</v>
      </c>
      <c r="H14" s="3">
        <v>0</v>
      </c>
      <c r="I14" s="3">
        <v>0.40327000000000002</v>
      </c>
      <c r="J14" s="3">
        <v>5958617</v>
      </c>
      <c r="K14" s="4">
        <v>0</v>
      </c>
      <c r="L14" s="3">
        <v>40268330</v>
      </c>
      <c r="M14" s="3">
        <v>67154340</v>
      </c>
      <c r="N14" s="4">
        <v>16.676715000000002</v>
      </c>
    </row>
    <row r="15" spans="1:14" ht="30" customHeight="1" x14ac:dyDescent="0.2">
      <c r="A15" s="11"/>
      <c r="B15" s="1" t="s">
        <v>23</v>
      </c>
      <c r="C15" s="3">
        <v>53544.2</v>
      </c>
      <c r="D15" s="3">
        <v>53544.2</v>
      </c>
      <c r="E15" s="3">
        <v>25351440</v>
      </c>
      <c r="F15" s="3">
        <v>0</v>
      </c>
      <c r="G15" s="3">
        <v>25351440</v>
      </c>
      <c r="H15" s="3">
        <v>0</v>
      </c>
      <c r="I15" s="3">
        <v>0.21668989999999999</v>
      </c>
      <c r="J15" s="3">
        <v>6763405</v>
      </c>
      <c r="K15" s="4">
        <v>0</v>
      </c>
      <c r="L15" s="3">
        <v>0</v>
      </c>
      <c r="M15" s="3">
        <v>101261700</v>
      </c>
      <c r="N15" s="4">
        <v>3.9943170000000001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11263220</v>
      </c>
      <c r="F17" s="3">
        <v>0</v>
      </c>
      <c r="G17" s="3">
        <v>11263220</v>
      </c>
      <c r="H17" s="3">
        <v>0</v>
      </c>
      <c r="I17" s="3">
        <v>0.18902279999999999</v>
      </c>
      <c r="J17" s="3">
        <v>3071915</v>
      </c>
      <c r="K17" s="4">
        <v>0</v>
      </c>
      <c r="L17" s="3">
        <v>0</v>
      </c>
      <c r="M17" s="3">
        <v>41619570</v>
      </c>
      <c r="N17" s="4">
        <v>3.6951749999999999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13102590</v>
      </c>
      <c r="F20" s="3">
        <v>0</v>
      </c>
      <c r="G20" s="3">
        <v>13102590</v>
      </c>
      <c r="H20" s="3">
        <v>0</v>
      </c>
      <c r="I20" s="3">
        <v>0.14817269999999999</v>
      </c>
      <c r="J20" s="3">
        <v>1462947</v>
      </c>
      <c r="K20" s="4">
        <v>0</v>
      </c>
      <c r="L20" s="3">
        <v>0</v>
      </c>
      <c r="M20" s="3">
        <v>89510120</v>
      </c>
      <c r="N20" s="4">
        <v>6.8314810000000001</v>
      </c>
    </row>
    <row r="21" spans="1:14" ht="30" customHeight="1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34843930</v>
      </c>
      <c r="F22" s="3">
        <v>21634590</v>
      </c>
      <c r="G22" s="3">
        <v>13209350</v>
      </c>
      <c r="H22" s="3">
        <v>-13209350</v>
      </c>
      <c r="I22" s="3">
        <v>0.1119943</v>
      </c>
      <c r="J22" s="3">
        <v>0</v>
      </c>
      <c r="K22" s="4">
        <v>0</v>
      </c>
      <c r="L22" s="3">
        <v>0</v>
      </c>
      <c r="M22" s="3">
        <v>128749000</v>
      </c>
      <c r="N22" s="4">
        <v>2.2796110000000001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9512087</v>
      </c>
      <c r="F23" s="3">
        <v>5921316</v>
      </c>
      <c r="G23" s="3">
        <v>3590771</v>
      </c>
      <c r="H23" s="3">
        <v>-3590771</v>
      </c>
      <c r="I23" s="3">
        <v>0.56733670000000003</v>
      </c>
      <c r="J23" s="3">
        <v>30794020</v>
      </c>
      <c r="K23" s="4">
        <v>0</v>
      </c>
      <c r="L23" s="3">
        <v>0</v>
      </c>
      <c r="M23" s="3">
        <v>69208700</v>
      </c>
      <c r="N23" s="4">
        <v>4.4843450000000002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167658.1</v>
      </c>
      <c r="G24" s="3">
        <v>-167658.1</v>
      </c>
      <c r="H24" s="3">
        <v>0</v>
      </c>
      <c r="I24" s="3">
        <v>2.9512070000000002E-6</v>
      </c>
      <c r="J24" s="3">
        <v>56809830000</v>
      </c>
      <c r="K24" s="4">
        <v>0</v>
      </c>
      <c r="L24" s="3">
        <v>1.67658</v>
      </c>
      <c r="M24" s="3">
        <v>-234283.6</v>
      </c>
      <c r="N24" s="4">
        <v>-1.397389</v>
      </c>
    </row>
    <row r="25" spans="1:14" ht="30" customHeight="1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124699.8</v>
      </c>
      <c r="G25" s="3">
        <v>-124699.8</v>
      </c>
      <c r="H25" s="3">
        <v>0</v>
      </c>
      <c r="I25" s="3">
        <v>1.562261E-2</v>
      </c>
      <c r="J25" s="3">
        <v>7857312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83875.42</v>
      </c>
      <c r="G26" s="3">
        <v>-83875.42</v>
      </c>
      <c r="H26" s="3">
        <v>0</v>
      </c>
      <c r="I26" s="3">
        <v>0.1378935</v>
      </c>
      <c r="J26" s="3">
        <v>524387.1</v>
      </c>
      <c r="K26" s="4">
        <v>0</v>
      </c>
      <c r="L26" s="3">
        <v>419377.1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156000000</v>
      </c>
      <c r="D27" s="3">
        <v>156000000</v>
      </c>
      <c r="E27" s="3">
        <v>0</v>
      </c>
      <c r="F27" s="3">
        <v>16869.5</v>
      </c>
      <c r="G27" s="3">
        <v>-16869.5</v>
      </c>
      <c r="H27" s="3">
        <v>16869.5</v>
      </c>
      <c r="I27" s="3">
        <v>4.9490959999999997E-8</v>
      </c>
      <c r="J27" s="3">
        <v>340860000000</v>
      </c>
      <c r="K27" s="4">
        <v>0</v>
      </c>
      <c r="L27" s="3">
        <v>0.16869000000000001</v>
      </c>
      <c r="M27" s="3">
        <v>-33157.050000000003</v>
      </c>
      <c r="N27" s="4">
        <v>-1.9655039999999999</v>
      </c>
    </row>
    <row r="28" spans="1:14" ht="30" customHeight="1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1877543</v>
      </c>
      <c r="G28" s="3">
        <v>-1877543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-13965940</v>
      </c>
      <c r="N28" s="4">
        <v>-7.4384139999999999</v>
      </c>
    </row>
    <row r="29" spans="1:14" ht="45" customHeight="1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52178340</v>
      </c>
      <c r="G29" s="3">
        <v>-52178340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-407915500</v>
      </c>
      <c r="N29" s="4">
        <v>-7.817717</v>
      </c>
    </row>
    <row r="30" spans="1:14" ht="45" customHeight="1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3505123</v>
      </c>
      <c r="F30" s="3">
        <v>6722566</v>
      </c>
      <c r="G30" s="3">
        <v>-3217443</v>
      </c>
      <c r="H30" s="3">
        <v>0</v>
      </c>
      <c r="I30" s="3">
        <v>0.17682339999999999</v>
      </c>
      <c r="J30" s="3">
        <v>61058700</v>
      </c>
      <c r="K30" s="4">
        <v>0</v>
      </c>
      <c r="L30" s="3">
        <v>0</v>
      </c>
      <c r="M30" s="3">
        <v>16559150</v>
      </c>
      <c r="N30" s="4">
        <v>1.619051</v>
      </c>
    </row>
    <row r="31" spans="1:14" ht="60" customHeight="1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180467.20000000001</v>
      </c>
      <c r="F31" s="3">
        <v>300479.3</v>
      </c>
      <c r="G31" s="3">
        <v>-120012.1</v>
      </c>
      <c r="H31" s="3">
        <v>0</v>
      </c>
      <c r="I31" s="3">
        <v>0.2566291</v>
      </c>
      <c r="J31" s="3">
        <v>1994104</v>
      </c>
      <c r="K31" s="4">
        <v>0</v>
      </c>
      <c r="L31" s="3">
        <v>0</v>
      </c>
      <c r="M31" s="3">
        <v>543364.6</v>
      </c>
      <c r="N31" s="4">
        <v>1.1297820000000001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32953.08</v>
      </c>
      <c r="F32" s="3">
        <v>243302.8</v>
      </c>
      <c r="G32" s="3">
        <v>-210349.7</v>
      </c>
      <c r="H32" s="3">
        <v>0</v>
      </c>
      <c r="I32" s="3">
        <v>0.27605800000000003</v>
      </c>
      <c r="J32" s="3">
        <v>1211067</v>
      </c>
      <c r="K32" s="4">
        <v>0</v>
      </c>
      <c r="L32" s="3">
        <v>0</v>
      </c>
      <c r="M32" s="3">
        <v>543975.69999999995</v>
      </c>
      <c r="N32" s="4">
        <v>1.969101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1033753</v>
      </c>
      <c r="F33" s="3">
        <v>2316997</v>
      </c>
      <c r="G33" s="3">
        <v>-1283245</v>
      </c>
      <c r="H33" s="3">
        <v>0</v>
      </c>
      <c r="I33" s="3">
        <v>0.28934409999999999</v>
      </c>
      <c r="J33" s="3">
        <v>12863740</v>
      </c>
      <c r="K33" s="4">
        <v>0</v>
      </c>
      <c r="L33" s="3">
        <v>0</v>
      </c>
      <c r="M33" s="3">
        <v>10310820</v>
      </c>
      <c r="N33" s="4">
        <v>3.077169</v>
      </c>
    </row>
    <row r="34" spans="1:14" x14ac:dyDescent="0.2">
      <c r="A34" s="10" t="s">
        <v>41</v>
      </c>
      <c r="B34" s="1" t="s">
        <v>40</v>
      </c>
      <c r="C34" s="3">
        <v>13000000</v>
      </c>
      <c r="D34" s="3">
        <v>13000000</v>
      </c>
      <c r="E34" s="3">
        <v>83829.03</v>
      </c>
      <c r="F34" s="3">
        <v>83829.03</v>
      </c>
      <c r="G34" s="3">
        <v>0</v>
      </c>
      <c r="H34" s="3">
        <v>0</v>
      </c>
      <c r="I34" s="3">
        <v>0.99909400000000004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82921.179999999993</v>
      </c>
      <c r="F35" s="3">
        <v>86335.64</v>
      </c>
      <c r="G35" s="3">
        <v>-3414.4650000000001</v>
      </c>
      <c r="H35" s="3">
        <v>0</v>
      </c>
      <c r="I35" s="3">
        <v>0.33413530000000002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A36" s="13"/>
      <c r="B36" s="13"/>
      <c r="C36" s="14"/>
      <c r="D36" s="14"/>
      <c r="E36" s="15"/>
      <c r="F36" s="15"/>
      <c r="G36" s="15"/>
      <c r="H36" s="15"/>
      <c r="I36" s="14"/>
      <c r="J36" s="16"/>
      <c r="K36" s="14"/>
      <c r="L36" s="15"/>
      <c r="M36" s="15"/>
      <c r="N36" s="14"/>
    </row>
    <row r="37" spans="1:14" x14ac:dyDescent="0.2">
      <c r="I37" s="9" t="s">
        <v>42</v>
      </c>
      <c r="J37" s="7" t="e">
        <f>SUM(#REF!)</f>
        <v>#REF!</v>
      </c>
      <c r="K37" s="5" t="s">
        <v>45</v>
      </c>
      <c r="L37" s="2">
        <f>SUM(L1:L30)</f>
        <v>80486836.367269978</v>
      </c>
      <c r="M37" s="2">
        <f>SUM(M1:M30)</f>
        <v>143008795.25999999</v>
      </c>
      <c r="N37" s="2">
        <f>SUM(N1:N30)</f>
        <v>125.50589399999996</v>
      </c>
    </row>
    <row r="38" spans="1:14" x14ac:dyDescent="0.2">
      <c r="I38" s="8" t="s">
        <v>43</v>
      </c>
      <c r="J38" s="2">
        <f>SUM(J12,J14)</f>
        <v>58136957</v>
      </c>
    </row>
    <row r="39" spans="1:14" x14ac:dyDescent="0.2">
      <c r="A39" t="s">
        <v>46</v>
      </c>
      <c r="I39" s="8" t="s">
        <v>44</v>
      </c>
      <c r="J39" s="2">
        <f>SUM(J17)</f>
        <v>3071915</v>
      </c>
    </row>
    <row r="40" spans="1:14" x14ac:dyDescent="0.2">
      <c r="A40" t="s">
        <v>49</v>
      </c>
      <c r="C40" s="2">
        <f>SUMIFS($D$2:$D$32,$B$2:$B$32, "Solar PV")+SUMIFS($D$2:$D$32,$B$2:$B$32, "Offshore Wind")+SUMIFS($D$2:$D$32,$B$2:$B$32, "Onshore Wind")+SUMIFS($D$2:$D$32,$B$2:$B$32, "Sewage Gas")</f>
        <v>121341.17939</v>
      </c>
    </row>
    <row r="41" spans="1:14" x14ac:dyDescent="0.2">
      <c r="A41" t="s">
        <v>47</v>
      </c>
      <c r="C41" s="2">
        <f>SUMIFS($J$2:$J$32,$B$2:$B$32, "Solar PV")+SUMIFS($J$2:$J$32,$B$2:$B$32, "Offshore Wind")+SUMIFS($J$2:$J$32,$B$2:$B$32, "Onshore Wind")+SUMIFS($J$2:$J$32,$B$2:$B$32, "Sewage Gas")</f>
        <v>11420232.4</v>
      </c>
    </row>
    <row r="42" spans="1:14" x14ac:dyDescent="0.2">
      <c r="A42" t="s">
        <v>48</v>
      </c>
      <c r="C42" s="2">
        <f>SUMIFS($J$2:$J$32,$B$2:$B$32, "Offshore Wind")+SUMIFS($J$2:$J$32,$B$2:$B$32, "Onshore Wind")</f>
        <v>9835320</v>
      </c>
    </row>
    <row r="43" spans="1:14" x14ac:dyDescent="0.2">
      <c r="A43" t="s">
        <v>60</v>
      </c>
      <c r="C43" s="2">
        <f>-$M$28</f>
        <v>13965940</v>
      </c>
    </row>
  </sheetData>
  <autoFilter ref="A1:N32" xr:uid="{EBEC364B-95F3-6542-9C15-C4F497796E61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Inflexible</vt:lpstr>
      <vt:lpstr>Temporal</vt:lpstr>
      <vt:lpstr>Spatial</vt:lpstr>
      <vt:lpstr>Both</vt:lpstr>
      <vt:lpstr>CFE</vt:lpstr>
      <vt:lpstr>CFE + 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2026-08-17T17:52:45Z</dcterms:modified>
</cp:coreProperties>
</file>