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26C68789-D4A8-4D43-B4EF-690A335D6912}" xr6:coauthVersionLast="47" xr6:coauthVersionMax="47" xr10:uidLastSave="{00000000-0000-0000-0000-000000000000}"/>
  <bookViews>
    <workbookView xWindow="0" yWindow="660" windowWidth="30240" windowHeight="17400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<sst xmlns="http://schemas.openxmlformats.org/spreadsheetml/2006/main" count="310" uniqueCount="66">
  <si>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</si>
  <si>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</si>
  <si>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</si>
  <si>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</si>
  <si>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</si>
  <si>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</si>
  <si>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</si>
  <si>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</si>
  <si>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</si>
  <si>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</si>
  <si>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</si>
  <si>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</si>
  <si>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</si>
  <si>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</si>
  <si>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</si>
  <si>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</si>
  <si>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</si>
  <si>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</si>
  <si>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</si>
  <si>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</si>
  <si>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</si>
  <si>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</si>
  <si>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</si>
  <si>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</si>
  <si>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</si>
  <si>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</si>
  <si>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</si>
  <si>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</si>
  <si>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</si>
  <si>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</si>
  <si>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</si>
  <si>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</si>
  <si>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</si>
  <si>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</si>
  <si>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</si>
  <si>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</si>
  <si>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</si>
  <si>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</si>
  <si>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</si>
  <si>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</si>
  <si>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</si>
  <si>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</si>
  <si>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</si>
  <si>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</si>
  <si>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</si>
  <si>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</si>
  <si>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</si>
  <si>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</si>
  <si>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</si>
  <si>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</si>
  <si>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</si>
  <si>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</si>
  <si>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</si>
  <si>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</si>
  <si>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</si>
  <si>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</si>
  <si>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</si>
  <si>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</si>
  <si>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</si>
  <si>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</si>
  <si>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 xml:space="preserve">Optimal objective 4.78840493e+07 </t>
  </si>
  <si>
    <t>INFO:gurobipy:Optimal objective 4.78840493e+07</t>
  </si>
  <si>
    <t xml:space="preserve">Optimal objective 4.81281538e+07 </t>
  </si>
  <si>
    <t>INFO:gurobipy:Optimal objective 4.81281538e+07</t>
  </si>
  <si>
    <t xml:space="preserve">Optimal objective 4.81906149e+07 </t>
  </si>
  <si>
    <t>INFO:gurobipy:Optimal objective 4.81906149e+07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</si>
</sst>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4"/>
  <sheetViews>
    <sheetView tabSelected="1" topLeftCell="A10" workbookViewId="0"/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3957175</v>
      </c>
      <c r="F7" s="3">
        <v>0</v>
      </c>
      <c r="G7" s="3">
        <v>3957175</v>
      </c>
      <c r="H7" s="3">
        <v>0</v>
      </c>
      <c r="I7" s="4">
        <v>0.133711</v>
      </c>
      <c r="J7" s="3">
        <v>25637720</v>
      </c>
      <c r="K7" s="4">
        <v>0</v>
      </c>
      <c r="L7" s="3">
        <v>28625940</v>
      </c>
      <c r="M7" s="3">
        <v>28625940</v>
      </c>
      <c r="N7" s="4">
        <v>7.2339349999999998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2818.7350000000001</v>
      </c>
      <c r="F9" s="3">
        <v>0</v>
      </c>
      <c r="G9" s="3">
        <v>2818.7350000000001</v>
      </c>
      <c r="H9" s="3">
        <v>0</v>
      </c>
      <c r="I9" s="4">
        <v>0.118579</v>
      </c>
      <c r="J9" s="3">
        <v>20952.259999999998</v>
      </c>
      <c r="K9" s="4">
        <v>0</v>
      </c>
      <c r="L9" s="3">
        <v>35121.440000000002</v>
      </c>
      <c r="M9" s="3">
        <v>48595.199999999997</v>
      </c>
      <c r="N9" s="4">
        <v>17.240023999999998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1378079</v>
      </c>
      <c r="F11" s="3">
        <v>0</v>
      </c>
      <c r="G11" s="3">
        <v>1378079</v>
      </c>
      <c r="H11" s="3">
        <v>0</v>
      </c>
      <c r="I11" s="4">
        <v>0.33611200000000002</v>
      </c>
      <c r="J11" s="3">
        <v>261943.9</v>
      </c>
      <c r="K11" s="4">
        <v>0</v>
      </c>
      <c r="L11" s="3">
        <v>0</v>
      </c>
      <c r="M11" s="3">
        <v>6364696</v>
      </c>
      <c r="N11" s="4">
        <v>4.6185280000000004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225097.2</v>
      </c>
      <c r="F13" s="3">
        <v>0</v>
      </c>
      <c r="G13" s="3">
        <v>225097.2</v>
      </c>
      <c r="H13" s="3">
        <v>0</v>
      </c>
      <c r="I13" s="4">
        <v>0.40951500000000002</v>
      </c>
      <c r="J13" s="3">
        <v>37534.44</v>
      </c>
      <c r="K13" s="4">
        <v>0</v>
      </c>
      <c r="L13" s="3">
        <v>0</v>
      </c>
      <c r="M13" s="3">
        <v>978273.7</v>
      </c>
      <c r="N13" s="4">
        <v>4.3460049999999999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1903697</v>
      </c>
      <c r="F14" s="3">
        <v>0</v>
      </c>
      <c r="G14" s="3">
        <v>1903697</v>
      </c>
      <c r="H14" s="3">
        <v>0</v>
      </c>
      <c r="I14" s="4">
        <v>0.19276399999999999</v>
      </c>
      <c r="J14" s="3">
        <v>7972073</v>
      </c>
      <c r="K14" s="4">
        <v>0</v>
      </c>
      <c r="L14" s="3">
        <v>19036970</v>
      </c>
      <c r="M14" s="3">
        <v>28064850</v>
      </c>
      <c r="N14" s="4">
        <v>14.742292000000001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22848870</v>
      </c>
      <c r="F15" s="3">
        <v>0</v>
      </c>
      <c r="G15" s="3">
        <v>22848870</v>
      </c>
      <c r="H15" s="3">
        <v>0</v>
      </c>
      <c r="I15" s="4">
        <v>0.197468</v>
      </c>
      <c r="J15" s="3">
        <v>7304176</v>
      </c>
      <c r="K15" s="4">
        <v>0</v>
      </c>
      <c r="L15" s="3">
        <v>0</v>
      </c>
      <c r="M15" s="3">
        <v>42245200</v>
      </c>
      <c r="N15" s="4">
        <v>1.848897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9879102</v>
      </c>
      <c r="F17" s="3">
        <v>0</v>
      </c>
      <c r="G17" s="3">
        <v>9879102</v>
      </c>
      <c r="H17" s="3">
        <v>0</v>
      </c>
      <c r="I17" s="4">
        <v>0.16763500000000001</v>
      </c>
      <c r="J17" s="3">
        <v>3205515</v>
      </c>
      <c r="K17" s="4">
        <v>0</v>
      </c>
      <c r="L17" s="3">
        <v>0</v>
      </c>
      <c r="M17" s="3">
        <v>15537000</v>
      </c>
      <c r="N17" s="4">
        <v>1.5727139999999999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16457550</v>
      </c>
      <c r="F20" s="3">
        <v>0</v>
      </c>
      <c r="G20" s="3">
        <v>16457550</v>
      </c>
      <c r="H20" s="3">
        <v>0</v>
      </c>
      <c r="I20" s="4">
        <v>0.18817999999999999</v>
      </c>
      <c r="J20" s="3">
        <v>2254347</v>
      </c>
      <c r="K20" s="4">
        <v>0</v>
      </c>
      <c r="L20" s="3">
        <v>0</v>
      </c>
      <c r="M20" s="3">
        <v>52444200</v>
      </c>
      <c r="N20" s="4">
        <v>3.1866349999999999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40463280</v>
      </c>
      <c r="F22" s="3">
        <v>21522060</v>
      </c>
      <c r="G22" s="3">
        <v>18941220</v>
      </c>
      <c r="H22" s="3">
        <v>-18941220</v>
      </c>
      <c r="I22" s="4">
        <v>0.124279</v>
      </c>
      <c r="J22" s="3">
        <v>0</v>
      </c>
      <c r="K22" s="4">
        <v>0</v>
      </c>
      <c r="L22" s="3">
        <v>0</v>
      </c>
      <c r="M22" s="3">
        <v>125385600</v>
      </c>
      <c r="N22" s="4">
        <v>2.0228269999999999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9554075</v>
      </c>
      <c r="F23" s="3">
        <v>5495434</v>
      </c>
      <c r="G23" s="3">
        <v>4058641</v>
      </c>
      <c r="H23" s="3">
        <v>-4058641</v>
      </c>
      <c r="I23" s="4">
        <v>0.55936900000000001</v>
      </c>
      <c r="J23" s="3">
        <v>30963090</v>
      </c>
      <c r="K23" s="4">
        <v>0</v>
      </c>
      <c r="L23" s="3">
        <v>0</v>
      </c>
      <c r="M23" s="3">
        <v>48140640</v>
      </c>
      <c r="N23" s="4">
        <v>3.1988180000000002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148082.9</v>
      </c>
      <c r="G24" s="3">
        <v>-148082.9</v>
      </c>
      <c r="H24" s="3">
        <v>0</v>
      </c>
      <c r="I24" s="4">
        <v>1.8758E-2</v>
      </c>
      <c r="J24" s="3">
        <v>7746255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98516.42</v>
      </c>
      <c r="G25" s="3">
        <v>-98516.42</v>
      </c>
      <c r="H25" s="3">
        <v>0</v>
      </c>
      <c r="I25" s="4">
        <v>0.16376199999999999</v>
      </c>
      <c r="J25" s="3">
        <v>503064.9</v>
      </c>
      <c r="K25" s="4">
        <v>0</v>
      </c>
      <c r="L25" s="3">
        <v>492582.1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1857387</v>
      </c>
      <c r="G26" s="3">
        <v>-1857387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-8010709</v>
      </c>
      <c r="N26" s="4">
        <v>-4.3128929999999999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49149160</v>
      </c>
      <c r="G27" s="3">
        <v>-49149160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-208552800</v>
      </c>
      <c r="N27" s="4">
        <v>-4.2432629999999998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2881341</v>
      </c>
      <c r="F28" s="3">
        <v>6629712</v>
      </c>
      <c r="G28" s="3">
        <v>-3748371</v>
      </c>
      <c r="H28" s="3">
        <v>0</v>
      </c>
      <c r="I28" s="4">
        <v>0.16625999999999999</v>
      </c>
      <c r="J28" s="3">
        <v>60954300</v>
      </c>
      <c r="K28" s="4">
        <v>0</v>
      </c>
      <c r="L28" s="3">
        <v>0</v>
      </c>
      <c r="M28" s="3">
        <v>10428280</v>
      </c>
      <c r="N28" s="4">
        <v>1.096438</v>
      </c>
    </row>
    <row r="29" spans="1:14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132246.6</v>
      </c>
      <c r="F29" s="3">
        <v>281707.40000000002</v>
      </c>
      <c r="G29" s="3">
        <v>-149460.79999999999</v>
      </c>
      <c r="H29" s="3">
        <v>0</v>
      </c>
      <c r="I29" s="4">
        <v>0.22333600000000001</v>
      </c>
      <c r="J29" s="3">
        <v>2002968</v>
      </c>
      <c r="K29" s="4">
        <v>0</v>
      </c>
      <c r="L29" s="3">
        <v>0</v>
      </c>
      <c r="M29" s="3">
        <v>350651.7</v>
      </c>
      <c r="N29" s="4">
        <v>0.84707900000000003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44195.22</v>
      </c>
      <c r="F30" s="3">
        <v>299541.09999999998</v>
      </c>
      <c r="G30" s="3">
        <v>-255345.9</v>
      </c>
      <c r="H30" s="3">
        <v>0</v>
      </c>
      <c r="I30" s="4">
        <v>0.34730499999999997</v>
      </c>
      <c r="J30" s="3">
        <v>1245071</v>
      </c>
      <c r="K30" s="4">
        <v>0</v>
      </c>
      <c r="L30" s="3">
        <v>0</v>
      </c>
      <c r="M30" s="3">
        <v>305302.7</v>
      </c>
      <c r="N30" s="4">
        <v>0.88818900000000001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994511</v>
      </c>
      <c r="F31" s="3">
        <v>2489817</v>
      </c>
      <c r="G31" s="3">
        <v>-1495306</v>
      </c>
      <c r="H31" s="3">
        <v>0</v>
      </c>
      <c r="I31" s="4">
        <v>0.30421999999999999</v>
      </c>
      <c r="J31" s="3">
        <v>12948610</v>
      </c>
      <c r="K31" s="4">
        <v>0</v>
      </c>
      <c r="L31" s="3">
        <v>0</v>
      </c>
      <c r="M31" s="3">
        <v>6270738</v>
      </c>
      <c r="N31" s="4">
        <v>1.799698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98362.46</v>
      </c>
      <c r="F32" s="3">
        <v>103504.1</v>
      </c>
      <c r="G32" s="3">
        <v>-5141.59</v>
      </c>
      <c r="H32" s="3">
        <v>0</v>
      </c>
      <c r="I32" s="4">
        <v>0.50873800000000002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310902712</v>
      </c>
      <c r="K33" s="5" t="s">
        <v>45</v>
      </c>
      <c r="L33" s="2">
        <f>SUM(L1:L30)</f>
        <v>48190613.539999999</v>
      </c>
      <c r="M33" s="2">
        <f>SUM(M1:M30)</f>
        <v>142355720.29999995</v>
      </c>
      <c r="N33" s="2">
        <f>SUM(N1:N30)</f>
        <v>54.286224999999995</v>
      </c>
    </row>
    <row r="34" spans="1:14" x14ac:dyDescent="0.2">
      <c r="I34" s="8" t="s">
        <v>43</v>
      </c>
      <c r="J34" s="2">
        <f>SUM(J15,J17)</f>
        <v>10509691</v>
      </c>
    </row>
    <row r="35" spans="1:14" x14ac:dyDescent="0.2">
      <c r="I35" s="8" t="s">
        <v>44</v>
      </c>
      <c r="J35" s="2">
        <f>SUM(J20)</f>
        <v>2254347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12884663.699999999</v>
      </c>
    </row>
    <row r="41" spans="1:14" x14ac:dyDescent="0.2">
      <c r="A41" t="s">
        <v>48</v>
      </c>
      <c r="C41" s="2">
        <f>SUMIFS($J$2:$J$34,$B$2:$B$34, "Offshore Wind")+SUMIFS($J$2:$J$34,$B$2:$B$34, "Onshore Wind")</f>
        <v>10509691</v>
      </c>
    </row>
    <row r="43" spans="1:14" x14ac:dyDescent="0.2">
      <c r="A43" t="s">
        <v>64</v>
      </c>
    </row>
    <row r="44" spans="1:14" x14ac:dyDescent="0.2">
      <c r="A44" t="s">
        <v>65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7" workbookViewId="0">
      <selection sqref="A1:N34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3967114</v>
      </c>
      <c r="F7" s="3">
        <v>0</v>
      </c>
      <c r="G7" s="3">
        <v>3967114</v>
      </c>
      <c r="H7" s="3">
        <v>0</v>
      </c>
      <c r="I7" s="4">
        <v>0.134047</v>
      </c>
      <c r="J7" s="3">
        <v>25627780</v>
      </c>
      <c r="K7" s="4">
        <v>0</v>
      </c>
      <c r="L7" s="3">
        <v>28439710</v>
      </c>
      <c r="M7" s="3">
        <v>28439710</v>
      </c>
      <c r="N7" s="4">
        <v>7.1688650000000003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2437.0329999999999</v>
      </c>
      <c r="F9" s="3">
        <v>0</v>
      </c>
      <c r="G9" s="3">
        <v>2437.0329999999999</v>
      </c>
      <c r="H9" s="3">
        <v>0</v>
      </c>
      <c r="I9" s="4">
        <v>0.102521</v>
      </c>
      <c r="J9" s="3">
        <v>21333.97</v>
      </c>
      <c r="K9" s="4">
        <v>0</v>
      </c>
      <c r="L9" s="3">
        <v>30365.43</v>
      </c>
      <c r="M9" s="3">
        <v>43578.57</v>
      </c>
      <c r="N9" s="4">
        <v>17.881878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1383923</v>
      </c>
      <c r="F11" s="3">
        <v>0</v>
      </c>
      <c r="G11" s="3">
        <v>1383923</v>
      </c>
      <c r="H11" s="3">
        <v>0</v>
      </c>
      <c r="I11" s="4">
        <v>0.337538</v>
      </c>
      <c r="J11" s="3">
        <v>256099.20000000001</v>
      </c>
      <c r="K11" s="4">
        <v>0</v>
      </c>
      <c r="L11" s="3">
        <v>0</v>
      </c>
      <c r="M11" s="3">
        <v>6337991</v>
      </c>
      <c r="N11" s="4">
        <v>4.579726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225641.4</v>
      </c>
      <c r="F13" s="3">
        <v>0</v>
      </c>
      <c r="G13" s="3">
        <v>225641.4</v>
      </c>
      <c r="H13" s="3">
        <v>0</v>
      </c>
      <c r="I13" s="4">
        <v>0.41050500000000001</v>
      </c>
      <c r="J13" s="3">
        <v>36990.28</v>
      </c>
      <c r="K13" s="4">
        <v>0</v>
      </c>
      <c r="L13" s="3">
        <v>0</v>
      </c>
      <c r="M13" s="3">
        <v>975851.5</v>
      </c>
      <c r="N13" s="4">
        <v>4.3247900000000001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1898263</v>
      </c>
      <c r="F14" s="3">
        <v>0</v>
      </c>
      <c r="G14" s="3">
        <v>1898263</v>
      </c>
      <c r="H14" s="3">
        <v>0</v>
      </c>
      <c r="I14" s="4">
        <v>0.192214</v>
      </c>
      <c r="J14" s="3">
        <v>7977507</v>
      </c>
      <c r="K14" s="4">
        <v>0</v>
      </c>
      <c r="L14" s="3">
        <v>18982630</v>
      </c>
      <c r="M14" s="3">
        <v>27878970</v>
      </c>
      <c r="N14" s="4">
        <v>14.68657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22676330</v>
      </c>
      <c r="F15" s="3">
        <v>0</v>
      </c>
      <c r="G15" s="3">
        <v>22676330</v>
      </c>
      <c r="H15" s="3">
        <v>0</v>
      </c>
      <c r="I15" s="4">
        <v>0.19597700000000001</v>
      </c>
      <c r="J15" s="3">
        <v>7476719</v>
      </c>
      <c r="K15" s="4">
        <v>0</v>
      </c>
      <c r="L15" s="3">
        <v>0</v>
      </c>
      <c r="M15" s="3">
        <v>42124630</v>
      </c>
      <c r="N15" s="4">
        <v>1.857648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9994484</v>
      </c>
      <c r="F17" s="3">
        <v>0</v>
      </c>
      <c r="G17" s="3">
        <v>9994484</v>
      </c>
      <c r="H17" s="3">
        <v>0</v>
      </c>
      <c r="I17" s="4">
        <v>0.16959299999999999</v>
      </c>
      <c r="J17" s="3">
        <v>3090133</v>
      </c>
      <c r="K17" s="4">
        <v>0</v>
      </c>
      <c r="L17" s="3">
        <v>0</v>
      </c>
      <c r="M17" s="3">
        <v>15471040</v>
      </c>
      <c r="N17" s="4">
        <v>1.5479579999999999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16443110</v>
      </c>
      <c r="F20" s="3">
        <v>0</v>
      </c>
      <c r="G20" s="3">
        <v>16443110</v>
      </c>
      <c r="H20" s="3">
        <v>0</v>
      </c>
      <c r="I20" s="4">
        <v>0.18801499999999999</v>
      </c>
      <c r="J20" s="3">
        <v>2268780</v>
      </c>
      <c r="K20" s="4">
        <v>0</v>
      </c>
      <c r="L20" s="3">
        <v>0</v>
      </c>
      <c r="M20" s="3">
        <v>52528890</v>
      </c>
      <c r="N20" s="4">
        <v>3.1945830000000002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40415220</v>
      </c>
      <c r="F22" s="3">
        <v>21645310</v>
      </c>
      <c r="G22" s="3">
        <v>18769910</v>
      </c>
      <c r="H22" s="3">
        <v>-18769910</v>
      </c>
      <c r="I22" s="4">
        <v>0.12443</v>
      </c>
      <c r="J22" s="3">
        <v>0</v>
      </c>
      <c r="K22" s="4">
        <v>0</v>
      </c>
      <c r="L22" s="3">
        <v>0</v>
      </c>
      <c r="M22" s="3">
        <v>124703200</v>
      </c>
      <c r="N22" s="4">
        <v>2.0093809999999999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9547646</v>
      </c>
      <c r="F23" s="3">
        <v>5478811</v>
      </c>
      <c r="G23" s="3">
        <v>4068835</v>
      </c>
      <c r="H23" s="3">
        <v>-4068835</v>
      </c>
      <c r="I23" s="4">
        <v>0.55851200000000001</v>
      </c>
      <c r="J23" s="3">
        <v>30973290</v>
      </c>
      <c r="K23" s="4">
        <v>0</v>
      </c>
      <c r="L23" s="3">
        <v>0</v>
      </c>
      <c r="M23" s="3">
        <v>47717870</v>
      </c>
      <c r="N23" s="4">
        <v>3.1755900000000001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94069.38</v>
      </c>
      <c r="G24" s="3">
        <v>-94069.38</v>
      </c>
      <c r="H24" s="3">
        <v>0</v>
      </c>
      <c r="I24" s="4">
        <v>1.9999999999999999E-6</v>
      </c>
      <c r="J24" s="3">
        <v>56185910000</v>
      </c>
      <c r="K24" s="4">
        <v>0</v>
      </c>
      <c r="L24" s="3">
        <v>0.94069000000000003</v>
      </c>
      <c r="M24" s="3">
        <v>-371096.2</v>
      </c>
      <c r="N24" s="4">
        <v>-3.9449209999999999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148312.70000000001</v>
      </c>
      <c r="G25" s="3">
        <v>-148312.70000000001</v>
      </c>
      <c r="H25" s="3">
        <v>0</v>
      </c>
      <c r="I25" s="4">
        <v>1.8787000000000002E-2</v>
      </c>
      <c r="J25" s="3">
        <v>7746025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98582.65</v>
      </c>
      <c r="G26" s="3">
        <v>-98582.65</v>
      </c>
      <c r="H26" s="3">
        <v>0</v>
      </c>
      <c r="I26" s="4">
        <v>0.16387299999999999</v>
      </c>
      <c r="J26" s="3">
        <v>502998.7</v>
      </c>
      <c r="K26" s="4">
        <v>0</v>
      </c>
      <c r="L26" s="3">
        <v>492913.3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1857387</v>
      </c>
      <c r="G27" s="3">
        <v>-1857387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-7978737</v>
      </c>
      <c r="N27" s="4">
        <v>-4.2956789999999998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-207833200</v>
      </c>
      <c r="N28" s="4">
        <v>-4.2286210000000004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3013098</v>
      </c>
      <c r="F29" s="3">
        <v>6713338</v>
      </c>
      <c r="G29" s="3">
        <v>-3700240</v>
      </c>
      <c r="H29" s="3">
        <v>0</v>
      </c>
      <c r="I29" s="4">
        <v>0.17002500000000001</v>
      </c>
      <c r="J29" s="3">
        <v>60906170</v>
      </c>
      <c r="K29" s="4">
        <v>0</v>
      </c>
      <c r="L29" s="3">
        <v>0</v>
      </c>
      <c r="M29" s="3">
        <v>10291550</v>
      </c>
      <c r="N29" s="4">
        <v>1.058101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138955.20000000001</v>
      </c>
      <c r="F30" s="3">
        <v>282168.3</v>
      </c>
      <c r="G30" s="3">
        <v>-143213.1</v>
      </c>
      <c r="H30" s="3">
        <v>0</v>
      </c>
      <c r="I30" s="4">
        <v>0.22720399999999999</v>
      </c>
      <c r="J30" s="3">
        <v>1996720</v>
      </c>
      <c r="K30" s="4">
        <v>0</v>
      </c>
      <c r="L30" s="3">
        <v>0</v>
      </c>
      <c r="M30" s="3">
        <v>345697.4</v>
      </c>
      <c r="N30" s="4">
        <v>0.82089299999999998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43396.959999999999</v>
      </c>
      <c r="F31" s="3">
        <v>300893.09999999998</v>
      </c>
      <c r="G31" s="3">
        <v>-257496.2</v>
      </c>
      <c r="H31" s="3">
        <v>0</v>
      </c>
      <c r="I31" s="4">
        <v>0.34786400000000001</v>
      </c>
      <c r="J31" s="3">
        <v>1247221</v>
      </c>
      <c r="K31" s="4">
        <v>0</v>
      </c>
      <c r="L31" s="3">
        <v>0</v>
      </c>
      <c r="M31" s="3">
        <v>301972.3</v>
      </c>
      <c r="N31" s="4">
        <v>0.87708699999999995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979439.8</v>
      </c>
      <c r="F32" s="3">
        <v>2465951</v>
      </c>
      <c r="G32" s="3">
        <v>-1486511</v>
      </c>
      <c r="H32" s="3">
        <v>0</v>
      </c>
      <c r="I32" s="4">
        <v>0.30082100000000001</v>
      </c>
      <c r="J32" s="3">
        <v>12939810</v>
      </c>
      <c r="K32" s="4">
        <v>0</v>
      </c>
      <c r="L32" s="3">
        <v>0</v>
      </c>
      <c r="M32" s="3">
        <v>6209552</v>
      </c>
      <c r="N32" s="4">
        <v>1.802278</v>
      </c>
    </row>
    <row r="33" spans="1:14" x14ac:dyDescent="0.2">
      <c r="A33" s="10" t="s">
        <v>41</v>
      </c>
      <c r="B33" s="1" t="s">
        <v>40</v>
      </c>
      <c r="C33" s="3">
        <v>13000000</v>
      </c>
      <c r="D33" s="3">
        <v>13000000</v>
      </c>
      <c r="E33" s="3">
        <v>47034.69</v>
      </c>
      <c r="F33" s="3">
        <v>47034.69</v>
      </c>
      <c r="G33" s="3">
        <v>0</v>
      </c>
      <c r="H33" s="3">
        <v>0</v>
      </c>
      <c r="I33" s="4">
        <v>0.99992499999999995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98428.7</v>
      </c>
      <c r="F34" s="3">
        <v>103664.9</v>
      </c>
      <c r="G34" s="3">
        <v>-5236.2120000000004</v>
      </c>
      <c r="H34" s="3">
        <v>0</v>
      </c>
      <c r="I34" s="4">
        <v>0.5181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56509771278.649994</v>
      </c>
      <c r="K35" s="5" t="s">
        <v>45</v>
      </c>
      <c r="L35" s="2">
        <f>SUM(L3:L32)</f>
        <v>47945619.67069</v>
      </c>
      <c r="M35" s="2">
        <f>SUM(M3:M32)</f>
        <v>147187469.57000002</v>
      </c>
      <c r="N35" s="2">
        <f>SUM(N3:N32)</f>
        <v>52.516127000000004</v>
      </c>
    </row>
    <row r="36" spans="1:14" x14ac:dyDescent="0.2">
      <c r="I36" s="8" t="s">
        <v>43</v>
      </c>
      <c r="J36" s="2">
        <f>SUM(J15,J17)</f>
        <v>10566852</v>
      </c>
    </row>
    <row r="37" spans="1:14" x14ac:dyDescent="0.2">
      <c r="I37" s="8" t="s">
        <v>44</v>
      </c>
      <c r="J37" s="2">
        <f>SUM(J20)</f>
        <v>2268780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12956257.699999999</v>
      </c>
    </row>
    <row r="41" spans="1:14" x14ac:dyDescent="0.2">
      <c r="A41" t="s">
        <v>48</v>
      </c>
      <c r="C41" s="2">
        <f>SUMIFS($J$2:$J$32,$B$2:$B$32, "Offshore Wind")+SUMIFS($J$2:$J$32,$B$2:$B$32, "Onshore Wind")</f>
        <v>10566852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4"/>
  <sheetViews>
    <sheetView topLeftCell="A18" workbookViewId="0">
      <selection activeCell="B48" sqref="B48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3922815</v>
      </c>
      <c r="F7" s="3">
        <v>0</v>
      </c>
      <c r="G7" s="3">
        <v>3922815</v>
      </c>
      <c r="H7" s="3">
        <v>0</v>
      </c>
      <c r="I7" s="3">
        <v>0.13255040000000001</v>
      </c>
      <c r="J7" s="3">
        <v>25672080</v>
      </c>
      <c r="K7" s="4">
        <v>0</v>
      </c>
      <c r="L7" s="3">
        <v>28578830</v>
      </c>
      <c r="M7" s="3">
        <v>28578830</v>
      </c>
      <c r="N7" s="4">
        <v>7.2852880000000004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2814.36</v>
      </c>
      <c r="F9" s="3">
        <v>0</v>
      </c>
      <c r="G9" s="3">
        <v>2814.36</v>
      </c>
      <c r="H9" s="3">
        <v>0</v>
      </c>
      <c r="I9" s="3">
        <v>0.1183945</v>
      </c>
      <c r="J9" s="3">
        <v>20956.64</v>
      </c>
      <c r="K9" s="4">
        <v>0</v>
      </c>
      <c r="L9" s="3">
        <v>35066.93</v>
      </c>
      <c r="M9" s="3">
        <v>48586.28</v>
      </c>
      <c r="N9" s="4">
        <v>17.263725000000001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1368794</v>
      </c>
      <c r="F11" s="3">
        <v>0</v>
      </c>
      <c r="G11" s="3">
        <v>1368794</v>
      </c>
      <c r="H11" s="3">
        <v>0</v>
      </c>
      <c r="I11" s="3">
        <v>0.33384760000000002</v>
      </c>
      <c r="J11" s="3">
        <v>271228.5</v>
      </c>
      <c r="K11" s="4">
        <v>0</v>
      </c>
      <c r="L11" s="3">
        <v>0</v>
      </c>
      <c r="M11" s="3">
        <v>6359108</v>
      </c>
      <c r="N11" s="4">
        <v>4.6457740000000003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224774</v>
      </c>
      <c r="F13" s="3">
        <v>0</v>
      </c>
      <c r="G13" s="3">
        <v>224774</v>
      </c>
      <c r="H13" s="3">
        <v>0</v>
      </c>
      <c r="I13" s="3">
        <v>0.40892709999999999</v>
      </c>
      <c r="J13" s="3">
        <v>37857.68</v>
      </c>
      <c r="K13" s="4">
        <v>0</v>
      </c>
      <c r="L13" s="3">
        <v>0</v>
      </c>
      <c r="M13" s="3">
        <v>978005.8</v>
      </c>
      <c r="N13" s="4">
        <v>4.3510629999999999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1902226</v>
      </c>
      <c r="F14" s="3">
        <v>0</v>
      </c>
      <c r="G14" s="3">
        <v>1902226</v>
      </c>
      <c r="H14" s="3">
        <v>0</v>
      </c>
      <c r="I14" s="3">
        <v>0.1926155</v>
      </c>
      <c r="J14" s="3">
        <v>7973544</v>
      </c>
      <c r="K14" s="4">
        <v>0</v>
      </c>
      <c r="L14" s="3">
        <v>19022260</v>
      </c>
      <c r="M14" s="3">
        <v>28062380</v>
      </c>
      <c r="N14" s="4">
        <v>14.752389000000001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22504090</v>
      </c>
      <c r="F15" s="3">
        <v>0</v>
      </c>
      <c r="G15" s="3">
        <v>22504090</v>
      </c>
      <c r="H15" s="3">
        <v>0</v>
      </c>
      <c r="I15" s="3">
        <v>0.19448860000000001</v>
      </c>
      <c r="J15" s="3">
        <v>7648956</v>
      </c>
      <c r="K15" s="4">
        <v>0</v>
      </c>
      <c r="L15" s="3">
        <v>0</v>
      </c>
      <c r="M15" s="3">
        <v>42196130</v>
      </c>
      <c r="N15" s="4">
        <v>1.8750420000000001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10010800</v>
      </c>
      <c r="F17" s="3">
        <v>0</v>
      </c>
      <c r="G17" s="3">
        <v>10010800</v>
      </c>
      <c r="H17" s="3">
        <v>0</v>
      </c>
      <c r="I17" s="3">
        <v>0.1698701</v>
      </c>
      <c r="J17" s="3">
        <v>3073820</v>
      </c>
      <c r="K17" s="4">
        <v>0</v>
      </c>
      <c r="L17" s="3">
        <v>0</v>
      </c>
      <c r="M17" s="3">
        <v>15490540</v>
      </c>
      <c r="N17" s="4">
        <v>1.547383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16488630</v>
      </c>
      <c r="F20" s="3">
        <v>0</v>
      </c>
      <c r="G20" s="3">
        <v>16488630</v>
      </c>
      <c r="H20" s="3">
        <v>0</v>
      </c>
      <c r="I20" s="3">
        <v>0.18853500000000001</v>
      </c>
      <c r="J20" s="3">
        <v>2223265</v>
      </c>
      <c r="K20" s="4">
        <v>0</v>
      </c>
      <c r="L20" s="3">
        <v>0</v>
      </c>
      <c r="M20" s="3">
        <v>52646250</v>
      </c>
      <c r="N20" s="4">
        <v>3.192882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40392240</v>
      </c>
      <c r="F22" s="3">
        <v>21413440</v>
      </c>
      <c r="G22" s="3">
        <v>18978800</v>
      </c>
      <c r="H22" s="3">
        <v>-18978800</v>
      </c>
      <c r="I22" s="3">
        <v>0.123919</v>
      </c>
      <c r="J22" s="3">
        <v>0</v>
      </c>
      <c r="K22" s="4">
        <v>0</v>
      </c>
      <c r="L22" s="3">
        <v>0</v>
      </c>
      <c r="M22" s="3">
        <v>125546100</v>
      </c>
      <c r="N22" s="4">
        <v>2.031304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9485039</v>
      </c>
      <c r="F23" s="3">
        <v>5461639</v>
      </c>
      <c r="G23" s="3">
        <v>4023400</v>
      </c>
      <c r="H23" s="3">
        <v>-4023400</v>
      </c>
      <c r="I23" s="3">
        <v>0.55554669999999995</v>
      </c>
      <c r="J23" s="3">
        <v>30927850</v>
      </c>
      <c r="K23" s="4">
        <v>0</v>
      </c>
      <c r="L23" s="3">
        <v>0</v>
      </c>
      <c r="M23" s="3">
        <v>48093530</v>
      </c>
      <c r="N23" s="4">
        <v>3.2176740000000001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148022.70000000001</v>
      </c>
      <c r="G24" s="3">
        <v>-148022.70000000001</v>
      </c>
      <c r="H24" s="3">
        <v>0</v>
      </c>
      <c r="I24" s="3">
        <v>1.8750490000000002E-2</v>
      </c>
      <c r="J24" s="3">
        <v>7746315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98398.6</v>
      </c>
      <c r="G25" s="3">
        <v>-98398.6</v>
      </c>
      <c r="H25" s="3">
        <v>0</v>
      </c>
      <c r="I25" s="3">
        <v>0.16356660000000001</v>
      </c>
      <c r="J25" s="3">
        <v>503182.7</v>
      </c>
      <c r="K25" s="4">
        <v>0</v>
      </c>
      <c r="L25" s="3">
        <v>491993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156000000</v>
      </c>
      <c r="D26" s="3">
        <v>156000000</v>
      </c>
      <c r="E26" s="3">
        <v>0</v>
      </c>
      <c r="F26" s="3">
        <v>14270.94</v>
      </c>
      <c r="G26" s="3">
        <v>-14270.94</v>
      </c>
      <c r="H26" s="3">
        <v>14270.94</v>
      </c>
      <c r="I26" s="3">
        <v>4.2332439999999999E-8</v>
      </c>
      <c r="J26" s="3">
        <v>337116000000</v>
      </c>
      <c r="K26" s="4">
        <v>0</v>
      </c>
      <c r="L26" s="3">
        <v>0.14271</v>
      </c>
      <c r="M26" s="3">
        <v>-92750.52</v>
      </c>
      <c r="N26" s="4">
        <v>-6.4992559999999999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1857387</v>
      </c>
      <c r="G27" s="3">
        <v>-1857387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-8002104</v>
      </c>
      <c r="N27" s="4">
        <v>-4.3082589999999996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-208486400</v>
      </c>
      <c r="N28" s="4">
        <v>-4.2419120000000001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3653195</v>
      </c>
      <c r="F29" s="3">
        <v>7277650</v>
      </c>
      <c r="G29" s="3">
        <v>-3624455</v>
      </c>
      <c r="H29" s="3">
        <v>0</v>
      </c>
      <c r="I29" s="3">
        <v>0.1910789</v>
      </c>
      <c r="J29" s="3">
        <v>60830390</v>
      </c>
      <c r="K29" s="4">
        <v>0</v>
      </c>
      <c r="L29" s="3">
        <v>0</v>
      </c>
      <c r="M29" s="3">
        <v>10363110</v>
      </c>
      <c r="N29" s="4">
        <v>0.94806100000000004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170851.6</v>
      </c>
      <c r="F30" s="3">
        <v>309122.3</v>
      </c>
      <c r="G30" s="3">
        <v>-138270.6</v>
      </c>
      <c r="H30" s="3">
        <v>0</v>
      </c>
      <c r="I30" s="3">
        <v>0.25895439999999997</v>
      </c>
      <c r="J30" s="3">
        <v>1991778</v>
      </c>
      <c r="K30" s="4">
        <v>0</v>
      </c>
      <c r="L30" s="3">
        <v>0</v>
      </c>
      <c r="M30" s="3">
        <v>348198.1</v>
      </c>
      <c r="N30" s="4">
        <v>0.72545199999999999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47191.040000000001</v>
      </c>
      <c r="F31" s="3">
        <v>294476.59999999998</v>
      </c>
      <c r="G31" s="3">
        <v>-247285.6</v>
      </c>
      <c r="H31" s="3">
        <v>0</v>
      </c>
      <c r="I31" s="3">
        <v>0.34521469999999999</v>
      </c>
      <c r="J31" s="3">
        <v>1237011</v>
      </c>
      <c r="K31" s="4">
        <v>0</v>
      </c>
      <c r="L31" s="3">
        <v>0</v>
      </c>
      <c r="M31" s="3">
        <v>302609.7</v>
      </c>
      <c r="N31" s="4">
        <v>0.88568400000000003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1145209</v>
      </c>
      <c r="F32" s="3">
        <v>2555356</v>
      </c>
      <c r="G32" s="3">
        <v>-1410147</v>
      </c>
      <c r="H32" s="3">
        <v>0</v>
      </c>
      <c r="I32" s="3">
        <v>0.32310030000000001</v>
      </c>
      <c r="J32" s="3">
        <v>12863450</v>
      </c>
      <c r="K32" s="4">
        <v>0</v>
      </c>
      <c r="L32" s="3">
        <v>0</v>
      </c>
      <c r="M32" s="3">
        <v>6245326</v>
      </c>
      <c r="N32" s="4">
        <v>1.6876679999999999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98183.08</v>
      </c>
      <c r="F33" s="3">
        <v>103400.4</v>
      </c>
      <c r="G33" s="3">
        <v>-5217.3130000000001</v>
      </c>
      <c r="H33" s="3">
        <v>0</v>
      </c>
      <c r="I33" s="3">
        <v>0.51622999999999997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337426951936.02002</v>
      </c>
      <c r="K34" s="5" t="s">
        <v>45</v>
      </c>
      <c r="L34" s="2">
        <f>SUM(L2:L31)</f>
        <v>48128150.07271</v>
      </c>
      <c r="M34" s="2">
        <f>SUM(M2:M31)</f>
        <v>142432123.35999998</v>
      </c>
      <c r="N34" s="2">
        <f>SUM(N2:N31)</f>
        <v>47.672293999999994</v>
      </c>
    </row>
    <row r="35" spans="1:14" x14ac:dyDescent="0.2">
      <c r="I35" s="8" t="s">
        <v>43</v>
      </c>
      <c r="J35" s="2">
        <f>SUM(J15,J17)</f>
        <v>10722776</v>
      </c>
    </row>
    <row r="36" spans="1:14" x14ac:dyDescent="0.2">
      <c r="I36" s="8" t="s">
        <v>44</v>
      </c>
      <c r="J36" s="2">
        <f>SUM(J20)</f>
        <v>2223265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13066666.699999999</v>
      </c>
    </row>
    <row r="41" spans="1:14" x14ac:dyDescent="0.2">
      <c r="A41" t="s">
        <v>48</v>
      </c>
      <c r="C41" s="2">
        <f>SUMIFS($J$2:$J$34,$B$2:$B$34, "Offshore Wind")+SUMIFS($J$2:$J$34,$B$2:$B$34, "Onshore Wind")</f>
        <v>10722776</v>
      </c>
    </row>
    <row r="43" spans="1:14" x14ac:dyDescent="0.2">
      <c r="A43" t="s">
        <v>62</v>
      </c>
    </row>
    <row r="44" spans="1:14" x14ac:dyDescent="0.2">
      <c r="A44" t="s">
        <v>63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4"/>
  <sheetViews>
    <sheetView topLeftCell="A14" workbookViewId="0">
      <selection activeCell="A43" sqref="A43:A44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3918559</v>
      </c>
      <c r="F7" s="3">
        <v>0</v>
      </c>
      <c r="G7" s="3">
        <v>3918559</v>
      </c>
      <c r="H7" s="3">
        <v>0</v>
      </c>
      <c r="I7" s="3">
        <v>0.13240660000000001</v>
      </c>
      <c r="J7" s="3">
        <v>25676340</v>
      </c>
      <c r="K7" s="4">
        <v>0</v>
      </c>
      <c r="L7" s="3">
        <v>28394490</v>
      </c>
      <c r="M7" s="3">
        <v>28394490</v>
      </c>
      <c r="N7" s="4">
        <v>7.2461570000000002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2440.15</v>
      </c>
      <c r="F9" s="3">
        <v>0</v>
      </c>
      <c r="G9" s="3">
        <v>2440.15</v>
      </c>
      <c r="H9" s="3">
        <v>0</v>
      </c>
      <c r="I9" s="3">
        <v>0.1026527</v>
      </c>
      <c r="J9" s="3">
        <v>21330.85</v>
      </c>
      <c r="K9" s="4">
        <v>0</v>
      </c>
      <c r="L9" s="3">
        <v>30404.27</v>
      </c>
      <c r="M9" s="3">
        <v>43671.79</v>
      </c>
      <c r="N9" s="4">
        <v>17.897120000000001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1359730</v>
      </c>
      <c r="F11" s="3">
        <v>0</v>
      </c>
      <c r="G11" s="3">
        <v>1359730</v>
      </c>
      <c r="H11" s="3">
        <v>0</v>
      </c>
      <c r="I11" s="3">
        <v>0.33163680000000001</v>
      </c>
      <c r="J11" s="3">
        <v>280293</v>
      </c>
      <c r="K11" s="4">
        <v>0</v>
      </c>
      <c r="L11" s="3">
        <v>0</v>
      </c>
      <c r="M11" s="3">
        <v>6330308</v>
      </c>
      <c r="N11" s="4">
        <v>4.655564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223843.6</v>
      </c>
      <c r="F13" s="3">
        <v>0</v>
      </c>
      <c r="G13" s="3">
        <v>223843.6</v>
      </c>
      <c r="H13" s="3">
        <v>0</v>
      </c>
      <c r="I13" s="3">
        <v>0.4072344</v>
      </c>
      <c r="J13" s="3">
        <v>38788.06</v>
      </c>
      <c r="K13" s="4">
        <v>0</v>
      </c>
      <c r="L13" s="3">
        <v>0</v>
      </c>
      <c r="M13" s="3">
        <v>974498.1</v>
      </c>
      <c r="N13" s="4">
        <v>4.3534769999999998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1897033</v>
      </c>
      <c r="F14" s="3">
        <v>0</v>
      </c>
      <c r="G14" s="3">
        <v>1897033</v>
      </c>
      <c r="H14" s="3">
        <v>0</v>
      </c>
      <c r="I14" s="3">
        <v>0.1920896</v>
      </c>
      <c r="J14" s="3">
        <v>7978737</v>
      </c>
      <c r="K14" s="4">
        <v>0</v>
      </c>
      <c r="L14" s="3">
        <v>18970330</v>
      </c>
      <c r="M14" s="3">
        <v>27881840</v>
      </c>
      <c r="N14" s="4">
        <v>14.697607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22575510</v>
      </c>
      <c r="F15" s="3">
        <v>0</v>
      </c>
      <c r="G15" s="3">
        <v>22575510</v>
      </c>
      <c r="H15" s="3">
        <v>0</v>
      </c>
      <c r="I15" s="3">
        <v>0.1951059</v>
      </c>
      <c r="J15" s="3">
        <v>7577537</v>
      </c>
      <c r="K15" s="4">
        <v>0</v>
      </c>
      <c r="L15" s="3">
        <v>0</v>
      </c>
      <c r="M15" s="3">
        <v>42037840</v>
      </c>
      <c r="N15" s="4">
        <v>1.8620989999999999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9897110</v>
      </c>
      <c r="F17" s="3">
        <v>0</v>
      </c>
      <c r="G17" s="3">
        <v>9897110</v>
      </c>
      <c r="H17" s="3">
        <v>0</v>
      </c>
      <c r="I17" s="3">
        <v>0.16794100000000001</v>
      </c>
      <c r="J17" s="3">
        <v>3187506</v>
      </c>
      <c r="K17" s="4">
        <v>0</v>
      </c>
      <c r="L17" s="3">
        <v>0</v>
      </c>
      <c r="M17" s="3">
        <v>15410800</v>
      </c>
      <c r="N17" s="4">
        <v>1.5571010000000001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16411360</v>
      </c>
      <c r="F20" s="3">
        <v>0</v>
      </c>
      <c r="G20" s="3">
        <v>16411360</v>
      </c>
      <c r="H20" s="3">
        <v>0</v>
      </c>
      <c r="I20" s="3">
        <v>0.1876515</v>
      </c>
      <c r="J20" s="3">
        <v>2300537</v>
      </c>
      <c r="K20" s="4">
        <v>0</v>
      </c>
      <c r="L20" s="3">
        <v>0</v>
      </c>
      <c r="M20" s="3">
        <v>52652410</v>
      </c>
      <c r="N20" s="4">
        <v>3.208291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40155890</v>
      </c>
      <c r="F22" s="3">
        <v>21699350</v>
      </c>
      <c r="G22" s="3">
        <v>18456540</v>
      </c>
      <c r="H22" s="3">
        <v>-18456540</v>
      </c>
      <c r="I22" s="3">
        <v>0.1240184</v>
      </c>
      <c r="J22" s="3">
        <v>0</v>
      </c>
      <c r="K22" s="4">
        <v>0</v>
      </c>
      <c r="L22" s="3">
        <v>0</v>
      </c>
      <c r="M22" s="3">
        <v>124563100</v>
      </c>
      <c r="N22" s="4">
        <v>2.0137839999999998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9528883</v>
      </c>
      <c r="F23" s="3">
        <v>5509848</v>
      </c>
      <c r="G23" s="3">
        <v>4019035</v>
      </c>
      <c r="H23" s="3">
        <v>-4019035</v>
      </c>
      <c r="I23" s="3">
        <v>0.55896820000000003</v>
      </c>
      <c r="J23" s="3">
        <v>30923480</v>
      </c>
      <c r="K23" s="4">
        <v>0</v>
      </c>
      <c r="L23" s="3">
        <v>0</v>
      </c>
      <c r="M23" s="3">
        <v>47680140</v>
      </c>
      <c r="N23" s="4">
        <v>3.17049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94070.47</v>
      </c>
      <c r="G24" s="3">
        <v>-94070.47</v>
      </c>
      <c r="H24" s="3">
        <v>0</v>
      </c>
      <c r="I24" s="3">
        <v>1.674269E-6</v>
      </c>
      <c r="J24" s="3">
        <v>56185910000</v>
      </c>
      <c r="K24" s="4">
        <v>0</v>
      </c>
      <c r="L24" s="3">
        <v>0.94069999999999998</v>
      </c>
      <c r="M24" s="3">
        <v>-380194.6</v>
      </c>
      <c r="N24" s="4">
        <v>-4.0415929999999998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147239.20000000001</v>
      </c>
      <c r="G25" s="3">
        <v>-147239.20000000001</v>
      </c>
      <c r="H25" s="3">
        <v>0</v>
      </c>
      <c r="I25" s="3">
        <v>1.8651239999999999E-2</v>
      </c>
      <c r="J25" s="3">
        <v>7747099</v>
      </c>
      <c r="K25" s="4">
        <v>0</v>
      </c>
      <c r="L25" s="3">
        <v>0</v>
      </c>
      <c r="M25" s="3">
        <v>0</v>
      </c>
      <c r="N25" s="4" t="s">
        <v>21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97764.66</v>
      </c>
      <c r="G26" s="3">
        <v>-97764.66</v>
      </c>
      <c r="H26" s="3">
        <v>0</v>
      </c>
      <c r="I26" s="3">
        <v>0.16251280000000001</v>
      </c>
      <c r="J26" s="3">
        <v>503816.7</v>
      </c>
      <c r="K26" s="4">
        <v>0</v>
      </c>
      <c r="L26" s="3">
        <v>488823.3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156000000</v>
      </c>
      <c r="D27" s="3">
        <v>156000000</v>
      </c>
      <c r="E27" s="3">
        <v>0</v>
      </c>
      <c r="F27" s="3">
        <v>14276.96</v>
      </c>
      <c r="G27" s="3">
        <v>-14276.96</v>
      </c>
      <c r="H27" s="3">
        <v>14276.96</v>
      </c>
      <c r="I27" s="3">
        <v>4.2350320000000001E-8</v>
      </c>
      <c r="J27" s="3">
        <v>337116000000</v>
      </c>
      <c r="K27" s="4">
        <v>0</v>
      </c>
      <c r="L27" s="3">
        <v>0.14277000000000001</v>
      </c>
      <c r="M27" s="3">
        <v>-92425.78</v>
      </c>
      <c r="N27" s="4">
        <v>-6.4737669999999996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1857387</v>
      </c>
      <c r="G28" s="3">
        <v>-1857387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-7966126</v>
      </c>
      <c r="N28" s="4">
        <v>-4.2888890000000002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49149160</v>
      </c>
      <c r="G29" s="3">
        <v>-49149160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-207634200</v>
      </c>
      <c r="N29" s="4">
        <v>-4.2245730000000004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4037344</v>
      </c>
      <c r="F30" s="3">
        <v>7585570</v>
      </c>
      <c r="G30" s="3">
        <v>-3548226</v>
      </c>
      <c r="H30" s="3">
        <v>0</v>
      </c>
      <c r="I30" s="3">
        <v>0.20317669999999999</v>
      </c>
      <c r="J30" s="3">
        <v>60754160</v>
      </c>
      <c r="K30" s="4">
        <v>0</v>
      </c>
      <c r="L30" s="3">
        <v>0</v>
      </c>
      <c r="M30" s="3">
        <v>10220430</v>
      </c>
      <c r="N30" s="4">
        <v>0.87933399999999995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186256.8</v>
      </c>
      <c r="F31" s="3">
        <v>318577.09999999998</v>
      </c>
      <c r="G31" s="3">
        <v>-132320.29999999999</v>
      </c>
      <c r="H31" s="3">
        <v>0</v>
      </c>
      <c r="I31" s="3">
        <v>0.27236690000000002</v>
      </c>
      <c r="J31" s="3">
        <v>1985827</v>
      </c>
      <c r="K31" s="4">
        <v>0</v>
      </c>
      <c r="L31" s="3">
        <v>0</v>
      </c>
      <c r="M31" s="3">
        <v>343224.3</v>
      </c>
      <c r="N31" s="4">
        <v>0.67987600000000004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47135.46</v>
      </c>
      <c r="F32" s="3">
        <v>290226.59999999998</v>
      </c>
      <c r="G32" s="3">
        <v>-243091.1</v>
      </c>
      <c r="H32" s="3">
        <v>0</v>
      </c>
      <c r="I32" s="3">
        <v>0.34086440000000001</v>
      </c>
      <c r="J32" s="3">
        <v>1232816</v>
      </c>
      <c r="K32" s="4">
        <v>0</v>
      </c>
      <c r="L32" s="3">
        <v>0</v>
      </c>
      <c r="M32" s="3">
        <v>300053.09999999998</v>
      </c>
      <c r="N32" s="4">
        <v>0.88941000000000003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1206616</v>
      </c>
      <c r="F33" s="3">
        <v>2564137</v>
      </c>
      <c r="G33" s="3">
        <v>-1357521</v>
      </c>
      <c r="H33" s="3">
        <v>0</v>
      </c>
      <c r="I33" s="3">
        <v>0.32922859999999998</v>
      </c>
      <c r="J33" s="3">
        <v>12810820</v>
      </c>
      <c r="K33" s="4">
        <v>0</v>
      </c>
      <c r="L33" s="3">
        <v>0</v>
      </c>
      <c r="M33" s="3">
        <v>6175152</v>
      </c>
      <c r="N33" s="4">
        <v>1.6376440000000001</v>
      </c>
    </row>
    <row r="34" spans="1:14" x14ac:dyDescent="0.2">
      <c r="A34" s="10" t="s">
        <v>41</v>
      </c>
      <c r="B34" s="1" t="s">
        <v>40</v>
      </c>
      <c r="C34" s="3">
        <v>13000000</v>
      </c>
      <c r="D34" s="3">
        <v>13000000</v>
      </c>
      <c r="E34" s="3">
        <v>47035.24</v>
      </c>
      <c r="F34" s="3">
        <v>47035.24</v>
      </c>
      <c r="G34" s="3">
        <v>0</v>
      </c>
      <c r="H34" s="3">
        <v>0</v>
      </c>
      <c r="I34" s="3">
        <v>0.99992559999999997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97652.98</v>
      </c>
      <c r="F35" s="3">
        <v>102955.8</v>
      </c>
      <c r="G35" s="3">
        <v>-5302.78</v>
      </c>
      <c r="H35" s="3">
        <v>0</v>
      </c>
      <c r="I35" s="3">
        <v>0.5246866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393624917947.81</v>
      </c>
      <c r="K36" s="5" t="s">
        <v>45</v>
      </c>
      <c r="L36" s="2">
        <f>SUM(L4:L33)</f>
        <v>47884048.653469995</v>
      </c>
      <c r="M36" s="2">
        <f>SUM(M4:M33)</f>
        <v>146935010.91</v>
      </c>
      <c r="N36" s="2">
        <f>SUM(N4:N33)</f>
        <v>45.719132000000009</v>
      </c>
    </row>
    <row r="37" spans="1:14" x14ac:dyDescent="0.2">
      <c r="I37" s="8" t="s">
        <v>43</v>
      </c>
      <c r="J37" s="2">
        <f>SUM(J15,J17)</f>
        <v>10765043</v>
      </c>
    </row>
    <row r="38" spans="1:14" x14ac:dyDescent="0.2">
      <c r="A38" t="s">
        <v>46</v>
      </c>
      <c r="I38" s="8" t="s">
        <v>44</v>
      </c>
      <c r="J38" s="2">
        <f>SUM(J20)</f>
        <v>2300537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13186205.699999999</v>
      </c>
    </row>
    <row r="41" spans="1:14" x14ac:dyDescent="0.2">
      <c r="A41" t="s">
        <v>48</v>
      </c>
      <c r="C41" s="2">
        <f>SUMIFS($J$2:$J$32,$B$2:$B$32, "Offshore Wind")+SUMIFS($J$2:$J$32,$B$2:$B$32, "Onshore Wind")</f>
        <v>10765043</v>
      </c>
    </row>
    <row r="43" spans="1:14" x14ac:dyDescent="0.2">
      <c r="A43" t="s">
        <v>60</v>
      </c>
    </row>
    <row r="44" spans="1:14" x14ac:dyDescent="0.2">
      <c r="A44" t="s">
        <v>61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2026-08-16T07:10:49Z</dcterms:modified>
</cp:coreProperties>
</file>