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"/>
    </mc:Choice>
  </mc:AlternateContent>
  <xr:revisionPtr revIDLastSave="0" documentId="13_ncr:1_{E341DBF4-7C57-D74A-8B52-DD974E576D4E}" xr6:coauthVersionLast="47" xr6:coauthVersionMax="47" xr10:uidLastSave="{00000000-0000-0000-0000-000000000000}"/>
  <bookViews>
    <workbookView xWindow="4080" yWindow="600" windowWidth="30240" windowHeight="17400" activeTab="3" xr2:uid="{D4188A73-9F76-7B43-A2AE-82D891E862BC}"/>
  </bookViews>
  <sheets>
    <sheet name="Inflexible" sheetId="4" r:id="rId1"/>
    <sheet name="Spatial" sheetId="1" r:id="rId2"/>
    <sheet name="Temporal" sheetId="2" r:id="rId3"/>
    <sheet name="Both" sheetId="3" r:id="rId4"/>
  </sheets>
  <definedNames>
    <definedName name="_xlnm._FilterDatabase" localSheetId="3" hidden="1">Both!$A$1:$N$33</definedName>
    <definedName name="_xlnm._FilterDatabase" localSheetId="0" hidden="1">Inflexible!$A$1:$N$33</definedName>
    <definedName name="_xlnm._FilterDatabase" localSheetId="1" hidden="1">Spatial!$A$1:$N$34</definedName>
    <definedName name="_xlnm._FilterDatabase" localSheetId="2" hidden="1">Temporal!$A$1:$N$35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4" l="1"/>
  <c r="C38" i="4"/>
  <c r="C37" i="4"/>
  <c r="C39" i="3"/>
  <c r="C38" i="3"/>
  <c r="C37" i="3"/>
  <c r="C39" i="2"/>
  <c r="C38" i="2"/>
  <c r="C37" i="2"/>
  <c r="C37" i="1"/>
  <c r="C38" i="1"/>
  <c r="C39" i="1"/>
  <c r="J35" i="2"/>
  <c r="J36" i="3"/>
  <c r="J35" i="3"/>
  <c r="J34" i="2"/>
  <c r="J34" i="1"/>
  <c r="J32" i="4"/>
  <c r="J31" i="4"/>
  <c r="N34" i="3"/>
  <c r="M34" i="3"/>
  <c r="L34" i="3"/>
  <c r="J34" i="3"/>
  <c r="N33" i="2"/>
  <c r="M33" i="2"/>
  <c r="L33" i="2"/>
  <c r="J33" i="2"/>
  <c r="J33" i="4"/>
  <c r="N31" i="4"/>
  <c r="M31" i="4"/>
  <c r="L31" i="4"/>
  <c r="N32" i="1"/>
  <c r="M32" i="1"/>
  <c r="L32" i="1"/>
  <c r="J33" i="1"/>
  <c r="J32" i="1"/>
</calcChain>
</file>

<file path=xl/sharedStrings.xml><?xml version="1.0" encoding="utf-8"?>
<sst xmlns="http://schemas.openxmlformats.org/spreadsheetml/2006/main" count="252" uniqueCount="57">
  <si>
    <t>Optimal Capacity</t>
  </si>
  <si>
    <t>Installed Capacity</t>
  </si>
  <si>
    <t>Supply</t>
  </si>
  <si>
    <t>Withdrawal</t>
  </si>
  <si>
    <t>Energy Balance</t>
  </si>
  <si>
    <t>Transmission</t>
  </si>
  <si>
    <t>Capacity Factor</t>
  </si>
  <si>
    <t>Curtailment</t>
  </si>
  <si>
    <t>Capital Expenditure</t>
  </si>
  <si>
    <t>Operational Expenditure</t>
  </si>
  <si>
    <t>Revenue</t>
  </si>
  <si>
    <t>Market Value</t>
  </si>
  <si>
    <t>Generator</t>
  </si>
  <si>
    <t>Advanced Biofuel</t>
  </si>
  <si>
    <t>Biogas</t>
  </si>
  <si>
    <t>Biomass</t>
  </si>
  <si>
    <t>Coal</t>
  </si>
  <si>
    <t>Combined Cycle Gas Turbine</t>
  </si>
  <si>
    <t>Embedded Solar</t>
  </si>
  <si>
    <t>Embedded Wind</t>
  </si>
  <si>
    <t>European Imports</t>
  </si>
  <si>
    <t>Landfill Gas</t>
  </si>
  <si>
    <t>Large Hydro</t>
  </si>
  <si>
    <t>Load Shedding</t>
  </si>
  <si>
    <t>NaN</t>
  </si>
  <si>
    <t>Nuclear</t>
  </si>
  <si>
    <t>Offshore Wind</t>
  </si>
  <si>
    <t>Oil</t>
  </si>
  <si>
    <t>Onshore Wind</t>
  </si>
  <si>
    <t>Open Cycle Gas Turbine</t>
  </si>
  <si>
    <t>Sewage Gas</t>
  </si>
  <si>
    <t>Small Hydro</t>
  </si>
  <si>
    <t>Solar PV</t>
  </si>
  <si>
    <t>Tidal Stream</t>
  </si>
  <si>
    <t>Waste to Energy</t>
  </si>
  <si>
    <t>Wave Power</t>
  </si>
  <si>
    <t>Link</t>
  </si>
  <si>
    <t>AC</t>
  </si>
  <si>
    <t>DC</t>
  </si>
  <si>
    <t>Virtual Link</t>
  </si>
  <si>
    <t>Load</t>
  </si>
  <si>
    <t>Data Centre</t>
  </si>
  <si>
    <t>Electricity</t>
  </si>
  <si>
    <t>European Exports</t>
  </si>
  <si>
    <t>StorageUnit</t>
  </si>
  <si>
    <t>Battery Storage</t>
  </si>
  <si>
    <t>Pumped Storage Hydroelectricity</t>
  </si>
  <si>
    <t>DSM</t>
  </si>
  <si>
    <t>Store</t>
  </si>
  <si>
    <t>total curtailment:</t>
  </si>
  <si>
    <t>wind curtailment:</t>
  </si>
  <si>
    <t>solar curtailment:</t>
  </si>
  <si>
    <t>total:</t>
  </si>
  <si>
    <t>Summary</t>
  </si>
  <si>
    <t>Total Green Energy curtailment:</t>
  </si>
  <si>
    <t>Total Wind Energy Curtailment:</t>
  </si>
  <si>
    <t>Total Green Capacity: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</si>
</sst>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1" fontId="0" fillId="0" borderId="0" xfId="0" applyNumberFormat="1"/>
    <xf numFmtId="11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Alignment="1">
      <alignment horizontal="right"/>
    </xf>
    <xf numFmtId="11" fontId="1" fillId="0" borderId="2" xfId="0" applyNumberFormat="1" applyFont="1" applyBorder="1" applyAlignment="1">
      <alignment vertical="center" wrapText="1"/>
    </xf>
    <xf numFmtId="0" fontId="0" fillId="0" borderId="5" xfId="0" applyBorder="1"/>
    <xf numFmtId="0" fontId="0" fillId="0" borderId="0" xfId="0" applyBorder="1"/>
    <xf numFmtId="11" fontId="0" fillId="0" borderId="0" xfId="0" applyNumberFormat="1" applyBorder="1"/>
    <xf numFmtId="11" fontId="0" fillId="0" borderId="6" xfId="0" applyNumberFormat="1" applyBorder="1"/>
    <xf numFmtId="0" fontId="1" fillId="0" borderId="0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2E32-7E17-D640-8808-61170EE7E9D2}">
  <dimension ref="A1:N39"/>
  <sheetViews>
    <sheetView topLeftCell="A10" workbookViewId="0">
      <selection activeCell="D40" sqref="D40"/>
    </sheetView>
  </sheetViews>
  <sheetFormatPr baseColWidth="10" defaultColWidth="16" defaultRowHeight="16" x14ac:dyDescent="0.2"/>
  <cols>
    <col min="1" max="1" width="8.5" customWidth="1"/>
    <col min="2" max="2" width="19.5" customWidth="1"/>
    <col min="3" max="3" width="21.33203125" customWidth="1"/>
    <col min="4" max="4" width="22.6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5" t="s">
        <v>12</v>
      </c>
      <c r="B2" s="1" t="s">
        <v>13</v>
      </c>
      <c r="C2" s="4">
        <v>357.1</v>
      </c>
      <c r="D2" s="4">
        <v>357.1</v>
      </c>
      <c r="E2" s="3">
        <v>93690.17</v>
      </c>
      <c r="F2" s="3">
        <v>0</v>
      </c>
      <c r="G2" s="3">
        <v>93690.17</v>
      </c>
      <c r="H2" s="3">
        <v>0</v>
      </c>
      <c r="I2" s="3">
        <v>2.986838E-2</v>
      </c>
      <c r="J2" s="3">
        <v>3043076</v>
      </c>
      <c r="K2" s="4">
        <v>0</v>
      </c>
      <c r="L2" s="3">
        <v>7214143</v>
      </c>
      <c r="M2" s="3">
        <v>8304512</v>
      </c>
      <c r="N2" s="4">
        <v>88.638052999999999</v>
      </c>
    </row>
    <row r="3" spans="1:14" x14ac:dyDescent="0.2">
      <c r="A3" s="6"/>
      <c r="B3" s="1" t="s">
        <v>14</v>
      </c>
      <c r="C3" s="4">
        <v>338.4</v>
      </c>
      <c r="D3" s="4">
        <v>338.4</v>
      </c>
      <c r="E3" s="3">
        <v>2972506</v>
      </c>
      <c r="F3" s="3">
        <v>0</v>
      </c>
      <c r="G3" s="3">
        <v>2972506</v>
      </c>
      <c r="H3" s="3">
        <v>0</v>
      </c>
      <c r="I3" s="3">
        <v>1</v>
      </c>
      <c r="J3" s="3">
        <v>0</v>
      </c>
      <c r="K3" s="4">
        <v>0</v>
      </c>
      <c r="L3" s="3">
        <v>187267900</v>
      </c>
      <c r="M3" s="3">
        <v>198706800</v>
      </c>
      <c r="N3" s="4">
        <v>66.848263000000003</v>
      </c>
    </row>
    <row r="4" spans="1:14" x14ac:dyDescent="0.2">
      <c r="A4" s="6"/>
      <c r="B4" s="1" t="s">
        <v>15</v>
      </c>
      <c r="C4" s="4">
        <v>4225.1899999999996</v>
      </c>
      <c r="D4" s="4">
        <v>4225.1899999999996</v>
      </c>
      <c r="E4" s="3">
        <v>1991410</v>
      </c>
      <c r="F4" s="3">
        <v>0</v>
      </c>
      <c r="G4" s="3">
        <v>1991410</v>
      </c>
      <c r="H4" s="3">
        <v>0</v>
      </c>
      <c r="I4" s="3">
        <v>5.3656469999999998E-2</v>
      </c>
      <c r="J4" s="3">
        <v>35122660</v>
      </c>
      <c r="K4" s="4">
        <v>0</v>
      </c>
      <c r="L4" s="3">
        <v>139398700</v>
      </c>
      <c r="M4" s="3">
        <v>160375300</v>
      </c>
      <c r="N4" s="4">
        <v>80.533528000000004</v>
      </c>
    </row>
    <row r="5" spans="1:14" x14ac:dyDescent="0.2">
      <c r="A5" s="6"/>
      <c r="B5" s="1" t="s">
        <v>16</v>
      </c>
      <c r="C5" s="4">
        <v>5341</v>
      </c>
      <c r="D5" s="4">
        <v>5341</v>
      </c>
      <c r="E5" s="3">
        <v>245956.3</v>
      </c>
      <c r="F5" s="3">
        <v>0</v>
      </c>
      <c r="G5" s="3">
        <v>245956.3</v>
      </c>
      <c r="H5" s="3">
        <v>0</v>
      </c>
      <c r="I5" s="3">
        <v>5.2425559999999998E-3</v>
      </c>
      <c r="J5" s="3">
        <v>46669390</v>
      </c>
      <c r="K5" s="4">
        <v>0</v>
      </c>
      <c r="L5" s="3">
        <v>20846270</v>
      </c>
      <c r="M5" s="3">
        <v>20846270</v>
      </c>
      <c r="N5" s="4">
        <v>84.755994000000001</v>
      </c>
    </row>
    <row r="6" spans="1:14" ht="30" x14ac:dyDescent="0.2">
      <c r="A6" s="6"/>
      <c r="B6" s="1" t="s">
        <v>17</v>
      </c>
      <c r="C6" s="4">
        <v>29673</v>
      </c>
      <c r="D6" s="4">
        <v>29673</v>
      </c>
      <c r="E6" s="3">
        <v>172976500</v>
      </c>
      <c r="F6" s="3">
        <v>0</v>
      </c>
      <c r="G6" s="3">
        <v>172976500</v>
      </c>
      <c r="H6" s="3">
        <v>0</v>
      </c>
      <c r="I6" s="3">
        <v>0.66364129999999999</v>
      </c>
      <c r="J6" s="3">
        <v>87671100</v>
      </c>
      <c r="K6" s="4">
        <v>0</v>
      </c>
      <c r="L6" s="3">
        <v>11410920000</v>
      </c>
      <c r="M6" s="3">
        <v>11617140000</v>
      </c>
      <c r="N6" s="4">
        <v>67.160238000000007</v>
      </c>
    </row>
    <row r="7" spans="1:14" x14ac:dyDescent="0.2">
      <c r="A7" s="6"/>
      <c r="B7" s="1" t="s">
        <v>18</v>
      </c>
      <c r="C7" s="4">
        <v>4220.3496299999997</v>
      </c>
      <c r="D7" s="4">
        <v>4220.3496299999997</v>
      </c>
      <c r="E7" s="3">
        <v>4339912</v>
      </c>
      <c r="F7" s="3">
        <v>0</v>
      </c>
      <c r="G7" s="3">
        <v>4339912</v>
      </c>
      <c r="H7" s="3">
        <v>0</v>
      </c>
      <c r="I7" s="3">
        <v>0.11706850000000001</v>
      </c>
      <c r="J7" s="3">
        <v>0</v>
      </c>
      <c r="K7" s="4">
        <v>0</v>
      </c>
      <c r="L7" s="3">
        <v>0</v>
      </c>
      <c r="M7" s="3">
        <v>288041600</v>
      </c>
      <c r="N7" s="4">
        <v>66.370373000000001</v>
      </c>
    </row>
    <row r="8" spans="1:14" x14ac:dyDescent="0.2">
      <c r="A8" s="6"/>
      <c r="B8" s="1" t="s">
        <v>19</v>
      </c>
      <c r="C8" s="4">
        <v>5605</v>
      </c>
      <c r="D8" s="4">
        <v>5605</v>
      </c>
      <c r="E8" s="3">
        <v>18208710</v>
      </c>
      <c r="F8" s="3">
        <v>0</v>
      </c>
      <c r="G8" s="3">
        <v>18208710</v>
      </c>
      <c r="H8" s="3">
        <v>0</v>
      </c>
      <c r="I8" s="3">
        <v>0.36983779999999999</v>
      </c>
      <c r="J8" s="3">
        <v>0</v>
      </c>
      <c r="K8" s="4">
        <v>0</v>
      </c>
      <c r="L8" s="3">
        <v>0</v>
      </c>
      <c r="M8" s="3">
        <v>1210780000</v>
      </c>
      <c r="N8" s="4">
        <v>66.494560000000007</v>
      </c>
    </row>
    <row r="9" spans="1:14" x14ac:dyDescent="0.2">
      <c r="A9" s="6"/>
      <c r="B9" s="1" t="s">
        <v>20</v>
      </c>
      <c r="C9" s="4">
        <v>4513</v>
      </c>
      <c r="D9" s="4">
        <v>4513</v>
      </c>
      <c r="E9" s="3">
        <v>21993070</v>
      </c>
      <c r="F9" s="3">
        <v>0</v>
      </c>
      <c r="G9" s="3">
        <v>21993070</v>
      </c>
      <c r="H9" s="3">
        <v>0</v>
      </c>
      <c r="I9" s="3">
        <v>0.55478939999999999</v>
      </c>
      <c r="J9" s="3">
        <v>17649120</v>
      </c>
      <c r="K9" s="4">
        <v>0</v>
      </c>
      <c r="L9" s="3">
        <v>594887900</v>
      </c>
      <c r="M9" s="3">
        <v>594887900</v>
      </c>
      <c r="N9" s="4">
        <v>27.048884999999999</v>
      </c>
    </row>
    <row r="10" spans="1:14" x14ac:dyDescent="0.2">
      <c r="A10" s="6"/>
      <c r="B10" s="1" t="s">
        <v>21</v>
      </c>
      <c r="C10" s="4">
        <v>750.5</v>
      </c>
      <c r="D10" s="4">
        <v>750.5</v>
      </c>
      <c r="E10" s="3">
        <v>6592392</v>
      </c>
      <c r="F10" s="3">
        <v>0</v>
      </c>
      <c r="G10" s="3">
        <v>6592392</v>
      </c>
      <c r="H10" s="3">
        <v>0</v>
      </c>
      <c r="I10" s="3">
        <v>1</v>
      </c>
      <c r="J10" s="3">
        <v>0</v>
      </c>
      <c r="K10" s="4">
        <v>0</v>
      </c>
      <c r="L10" s="3">
        <v>276880500</v>
      </c>
      <c r="M10" s="3">
        <v>440637400</v>
      </c>
      <c r="N10" s="4">
        <v>66.840298000000004</v>
      </c>
    </row>
    <row r="11" spans="1:14" x14ac:dyDescent="0.2">
      <c r="A11" s="6"/>
      <c r="B11" s="1" t="s">
        <v>22</v>
      </c>
      <c r="C11" s="4">
        <v>406.5</v>
      </c>
      <c r="D11" s="4">
        <v>406.5</v>
      </c>
      <c r="E11" s="3">
        <v>3357407</v>
      </c>
      <c r="F11" s="3">
        <v>0</v>
      </c>
      <c r="G11" s="3">
        <v>3357407</v>
      </c>
      <c r="H11" s="3">
        <v>0</v>
      </c>
      <c r="I11" s="3">
        <v>0.94026690000000002</v>
      </c>
      <c r="J11" s="3">
        <v>0</v>
      </c>
      <c r="K11" s="4">
        <v>0</v>
      </c>
      <c r="L11" s="3">
        <v>0</v>
      </c>
      <c r="M11" s="3">
        <v>225901800</v>
      </c>
      <c r="N11" s="4">
        <v>67.284603000000004</v>
      </c>
    </row>
    <row r="12" spans="1:14" x14ac:dyDescent="0.2">
      <c r="A12" s="6"/>
      <c r="B12" s="1" t="s">
        <v>23</v>
      </c>
      <c r="C12" s="4">
        <v>58007.4</v>
      </c>
      <c r="D12" s="4">
        <v>58007.4</v>
      </c>
      <c r="E12" s="3">
        <v>223.9443</v>
      </c>
      <c r="F12" s="3">
        <v>0</v>
      </c>
      <c r="G12" s="3">
        <v>223.9443</v>
      </c>
      <c r="H12" s="3">
        <v>0</v>
      </c>
      <c r="I12" s="3">
        <v>4.394267E-7</v>
      </c>
      <c r="J12" s="3">
        <v>275586200</v>
      </c>
      <c r="K12" s="4">
        <v>0</v>
      </c>
      <c r="L12" s="3">
        <v>1343666</v>
      </c>
      <c r="M12" s="3">
        <v>1343666</v>
      </c>
      <c r="N12" s="4">
        <v>6001.0768930000004</v>
      </c>
    </row>
    <row r="13" spans="1:14" x14ac:dyDescent="0.2">
      <c r="A13" s="6"/>
      <c r="B13" s="1" t="s">
        <v>25</v>
      </c>
      <c r="C13" s="4">
        <v>7833</v>
      </c>
      <c r="D13" s="4">
        <v>7833</v>
      </c>
      <c r="E13" s="3">
        <v>47406960</v>
      </c>
      <c r="F13" s="3">
        <v>0</v>
      </c>
      <c r="G13" s="3">
        <v>47406960</v>
      </c>
      <c r="H13" s="3">
        <v>0</v>
      </c>
      <c r="I13" s="3">
        <v>0.68900380000000006</v>
      </c>
      <c r="J13" s="3">
        <v>0</v>
      </c>
      <c r="K13" s="4">
        <v>0</v>
      </c>
      <c r="L13" s="3">
        <v>474069600</v>
      </c>
      <c r="M13" s="3">
        <v>3180070000</v>
      </c>
      <c r="N13" s="4">
        <v>67.080252000000002</v>
      </c>
    </row>
    <row r="14" spans="1:14" x14ac:dyDescent="0.2">
      <c r="A14" s="6"/>
      <c r="B14" s="1" t="s">
        <v>26</v>
      </c>
      <c r="C14" s="4">
        <v>9713.5</v>
      </c>
      <c r="D14" s="4">
        <v>9713.5</v>
      </c>
      <c r="E14" s="3">
        <v>29263580</v>
      </c>
      <c r="F14" s="3">
        <v>0</v>
      </c>
      <c r="G14" s="3">
        <v>29263580</v>
      </c>
      <c r="H14" s="3">
        <v>0</v>
      </c>
      <c r="I14" s="3">
        <v>0.34297260000000002</v>
      </c>
      <c r="J14" s="3">
        <v>0</v>
      </c>
      <c r="K14" s="4">
        <v>0</v>
      </c>
      <c r="L14" s="3">
        <v>0</v>
      </c>
      <c r="M14" s="3">
        <v>1940459000</v>
      </c>
      <c r="N14" s="4">
        <v>66.309685000000002</v>
      </c>
    </row>
    <row r="15" spans="1:14" x14ac:dyDescent="0.2">
      <c r="A15" s="6"/>
      <c r="B15" s="1" t="s">
        <v>27</v>
      </c>
      <c r="C15" s="4">
        <v>772</v>
      </c>
      <c r="D15" s="4">
        <v>772</v>
      </c>
      <c r="E15" s="3">
        <v>138</v>
      </c>
      <c r="F15" s="3">
        <v>0</v>
      </c>
      <c r="G15" s="3">
        <v>138</v>
      </c>
      <c r="H15" s="3">
        <v>0</v>
      </c>
      <c r="I15" s="3">
        <v>2.0349739999999999E-5</v>
      </c>
      <c r="J15" s="3">
        <v>6781110</v>
      </c>
      <c r="K15" s="4">
        <v>0</v>
      </c>
      <c r="L15" s="3">
        <v>13225.64</v>
      </c>
      <c r="M15" s="3">
        <v>828000</v>
      </c>
      <c r="N15" s="4">
        <v>6000.1464040000001</v>
      </c>
    </row>
    <row r="16" spans="1:14" x14ac:dyDescent="0.2">
      <c r="A16" s="6"/>
      <c r="B16" s="1" t="s">
        <v>28</v>
      </c>
      <c r="C16" s="4">
        <v>12237.25</v>
      </c>
      <c r="D16" s="4">
        <v>12237.25</v>
      </c>
      <c r="E16" s="3">
        <v>34018470</v>
      </c>
      <c r="F16" s="3">
        <v>0</v>
      </c>
      <c r="G16" s="3">
        <v>34018470</v>
      </c>
      <c r="H16" s="3">
        <v>0</v>
      </c>
      <c r="I16" s="3">
        <v>0.31647449999999999</v>
      </c>
      <c r="J16" s="3">
        <v>0</v>
      </c>
      <c r="K16" s="4">
        <v>0</v>
      </c>
      <c r="L16" s="3">
        <v>0</v>
      </c>
      <c r="M16" s="3">
        <v>2256138000</v>
      </c>
      <c r="N16" s="4">
        <v>66.320971</v>
      </c>
    </row>
    <row r="17" spans="1:14" ht="30" x14ac:dyDescent="0.2">
      <c r="A17" s="6"/>
      <c r="B17" s="1" t="s">
        <v>29</v>
      </c>
      <c r="C17" s="4">
        <v>1302.3699999999999</v>
      </c>
      <c r="D17" s="4">
        <v>1302.3699999999999</v>
      </c>
      <c r="E17" s="3">
        <v>6658176</v>
      </c>
      <c r="F17" s="3">
        <v>0</v>
      </c>
      <c r="G17" s="3">
        <v>6658176</v>
      </c>
      <c r="H17" s="3">
        <v>0</v>
      </c>
      <c r="I17" s="3">
        <v>0.58200750000000001</v>
      </c>
      <c r="J17" s="3">
        <v>4781842</v>
      </c>
      <c r="K17" s="4">
        <v>0</v>
      </c>
      <c r="L17" s="3">
        <v>439226600</v>
      </c>
      <c r="M17" s="3">
        <v>447971700</v>
      </c>
      <c r="N17" s="4">
        <v>67.281448999999995</v>
      </c>
    </row>
    <row r="18" spans="1:14" x14ac:dyDescent="0.2">
      <c r="A18" s="6"/>
      <c r="B18" s="1" t="s">
        <v>30</v>
      </c>
      <c r="C18" s="4">
        <v>50.2</v>
      </c>
      <c r="D18" s="4">
        <v>50.2</v>
      </c>
      <c r="E18" s="3">
        <v>440956.8</v>
      </c>
      <c r="F18" s="3">
        <v>0</v>
      </c>
      <c r="G18" s="3">
        <v>440956.8</v>
      </c>
      <c r="H18" s="3">
        <v>0</v>
      </c>
      <c r="I18" s="3">
        <v>1</v>
      </c>
      <c r="J18" s="3">
        <v>0</v>
      </c>
      <c r="K18" s="4">
        <v>0</v>
      </c>
      <c r="L18" s="3">
        <v>21606880</v>
      </c>
      <c r="M18" s="3">
        <v>29461620</v>
      </c>
      <c r="N18" s="4">
        <v>66.812929999999994</v>
      </c>
    </row>
    <row r="19" spans="1:14" x14ac:dyDescent="0.2">
      <c r="A19" s="6"/>
      <c r="B19" s="1" t="s">
        <v>31</v>
      </c>
      <c r="C19" s="4">
        <v>144</v>
      </c>
      <c r="D19" s="4">
        <v>144</v>
      </c>
      <c r="E19" s="3">
        <v>570517.30000000005</v>
      </c>
      <c r="F19" s="3">
        <v>0</v>
      </c>
      <c r="G19" s="3">
        <v>570517.30000000005</v>
      </c>
      <c r="H19" s="3">
        <v>0</v>
      </c>
      <c r="I19" s="3">
        <v>0.45103900000000002</v>
      </c>
      <c r="J19" s="3">
        <v>0</v>
      </c>
      <c r="K19" s="4">
        <v>0</v>
      </c>
      <c r="L19" s="3">
        <v>0</v>
      </c>
      <c r="M19" s="3">
        <v>38626380</v>
      </c>
      <c r="N19" s="4">
        <v>67.704120000000003</v>
      </c>
    </row>
    <row r="20" spans="1:14" x14ac:dyDescent="0.2">
      <c r="A20" s="6"/>
      <c r="B20" s="1" t="s">
        <v>32</v>
      </c>
      <c r="C20" s="4">
        <v>8320.09</v>
      </c>
      <c r="D20" s="4">
        <v>8320.09</v>
      </c>
      <c r="E20" s="3">
        <v>8141124</v>
      </c>
      <c r="F20" s="3">
        <v>0</v>
      </c>
      <c r="G20" s="3">
        <v>8141124</v>
      </c>
      <c r="H20" s="3">
        <v>0</v>
      </c>
      <c r="I20" s="3">
        <v>0.1113946</v>
      </c>
      <c r="J20" s="3">
        <v>0</v>
      </c>
      <c r="K20" s="4">
        <v>0</v>
      </c>
      <c r="L20" s="3">
        <v>0</v>
      </c>
      <c r="M20" s="3">
        <v>541380800</v>
      </c>
      <c r="N20" s="4">
        <v>66.499521000000001</v>
      </c>
    </row>
    <row r="21" spans="1:14" x14ac:dyDescent="0.2">
      <c r="A21" s="6"/>
      <c r="B21" s="1" t="s">
        <v>33</v>
      </c>
      <c r="C21" s="4">
        <v>10.5</v>
      </c>
      <c r="D21" s="4">
        <v>10.5</v>
      </c>
      <c r="E21" s="3">
        <v>19699.66</v>
      </c>
      <c r="F21" s="3">
        <v>0</v>
      </c>
      <c r="G21" s="3">
        <v>19699.66</v>
      </c>
      <c r="H21" s="3">
        <v>0</v>
      </c>
      <c r="I21" s="3">
        <v>0.21358859999999999</v>
      </c>
      <c r="J21" s="3">
        <v>0</v>
      </c>
      <c r="K21" s="4">
        <v>0</v>
      </c>
      <c r="L21" s="3">
        <v>0</v>
      </c>
      <c r="M21" s="3">
        <v>1318474</v>
      </c>
      <c r="N21" s="4">
        <v>66.928625999999994</v>
      </c>
    </row>
    <row r="22" spans="1:14" x14ac:dyDescent="0.2">
      <c r="A22" s="6"/>
      <c r="B22" s="1" t="s">
        <v>34</v>
      </c>
      <c r="C22" s="4">
        <v>2022.6</v>
      </c>
      <c r="D22" s="4">
        <v>2022.6</v>
      </c>
      <c r="E22" s="3">
        <v>17766520</v>
      </c>
      <c r="F22" s="3">
        <v>0</v>
      </c>
      <c r="G22" s="3">
        <v>17766520</v>
      </c>
      <c r="H22" s="3">
        <v>0</v>
      </c>
      <c r="I22" s="3">
        <v>1</v>
      </c>
      <c r="J22" s="3">
        <v>0</v>
      </c>
      <c r="K22" s="4">
        <v>0</v>
      </c>
      <c r="L22" s="3">
        <v>896853800</v>
      </c>
      <c r="M22" s="3">
        <v>1186900000</v>
      </c>
      <c r="N22" s="4">
        <v>66.805457000000004</v>
      </c>
    </row>
    <row r="23" spans="1:14" x14ac:dyDescent="0.2">
      <c r="A23" s="7"/>
      <c r="B23" s="1" t="s">
        <v>35</v>
      </c>
      <c r="C23" s="4">
        <v>24</v>
      </c>
      <c r="D23" s="4">
        <v>24</v>
      </c>
      <c r="E23" s="3">
        <v>122658.7</v>
      </c>
      <c r="F23" s="3">
        <v>0</v>
      </c>
      <c r="G23" s="3">
        <v>122658.7</v>
      </c>
      <c r="H23" s="3">
        <v>0</v>
      </c>
      <c r="I23" s="3">
        <v>0.58182829999999996</v>
      </c>
      <c r="J23" s="3">
        <v>0</v>
      </c>
      <c r="K23" s="4">
        <v>0</v>
      </c>
      <c r="L23" s="3">
        <v>0</v>
      </c>
      <c r="M23" s="3">
        <v>8167481</v>
      </c>
      <c r="N23" s="4">
        <v>66.587035999999998</v>
      </c>
    </row>
    <row r="24" spans="1:14" x14ac:dyDescent="0.2">
      <c r="A24" s="5" t="s">
        <v>36</v>
      </c>
      <c r="B24" s="1" t="s">
        <v>37</v>
      </c>
      <c r="C24" s="4">
        <v>171000</v>
      </c>
      <c r="D24" s="4">
        <v>171000</v>
      </c>
      <c r="E24" s="3">
        <v>224850600</v>
      </c>
      <c r="F24" s="3">
        <v>772609700</v>
      </c>
      <c r="G24" s="3">
        <v>-547759100</v>
      </c>
      <c r="H24" s="3">
        <v>547759100</v>
      </c>
      <c r="I24" s="3">
        <v>0.66405979999999998</v>
      </c>
      <c r="J24" s="3">
        <v>954304900</v>
      </c>
      <c r="K24" s="4">
        <v>0</v>
      </c>
      <c r="L24" s="3">
        <v>0</v>
      </c>
      <c r="M24" s="3">
        <v>-36665170000</v>
      </c>
      <c r="N24" s="4">
        <v>-36.758522999999997</v>
      </c>
    </row>
    <row r="25" spans="1:14" x14ac:dyDescent="0.2">
      <c r="A25" s="7"/>
      <c r="B25" s="1" t="s">
        <v>38</v>
      </c>
      <c r="C25" s="4">
        <v>31513</v>
      </c>
      <c r="D25" s="4">
        <v>31513</v>
      </c>
      <c r="E25" s="3">
        <v>68124220</v>
      </c>
      <c r="F25" s="3">
        <v>43551250</v>
      </c>
      <c r="G25" s="3">
        <v>24572980</v>
      </c>
      <c r="H25" s="3">
        <v>-24572980</v>
      </c>
      <c r="I25" s="3">
        <v>0.40343699999999999</v>
      </c>
      <c r="J25" s="3">
        <v>301383200</v>
      </c>
      <c r="K25" s="4">
        <v>0</v>
      </c>
      <c r="L25" s="3">
        <v>0</v>
      </c>
      <c r="M25" s="3">
        <v>1598228000</v>
      </c>
      <c r="N25" s="4">
        <v>14.311365</v>
      </c>
    </row>
    <row r="26" spans="1:14" x14ac:dyDescent="0.2">
      <c r="A26" s="5" t="s">
        <v>40</v>
      </c>
      <c r="B26" s="1" t="s">
        <v>41</v>
      </c>
      <c r="C26" s="4">
        <v>0</v>
      </c>
      <c r="D26" s="4">
        <v>0</v>
      </c>
      <c r="E26" s="3">
        <v>0</v>
      </c>
      <c r="F26" s="3">
        <v>98130220</v>
      </c>
      <c r="G26" s="3">
        <v>-98130220</v>
      </c>
      <c r="H26" s="3">
        <v>0</v>
      </c>
      <c r="I26" s="4" t="s">
        <v>24</v>
      </c>
      <c r="J26" s="3">
        <v>0</v>
      </c>
      <c r="K26" s="4">
        <v>0</v>
      </c>
      <c r="L26" s="3">
        <v>0</v>
      </c>
      <c r="M26" s="3">
        <v>-6572870000</v>
      </c>
      <c r="N26" s="4">
        <v>-66.981103000000004</v>
      </c>
    </row>
    <row r="27" spans="1:14" x14ac:dyDescent="0.2">
      <c r="A27" s="6"/>
      <c r="B27" s="1" t="s">
        <v>42</v>
      </c>
      <c r="C27" s="4">
        <v>0</v>
      </c>
      <c r="D27" s="4">
        <v>0</v>
      </c>
      <c r="E27" s="3">
        <v>0</v>
      </c>
      <c r="F27" s="3">
        <v>275586500</v>
      </c>
      <c r="G27" s="3">
        <v>-275586500</v>
      </c>
      <c r="H27" s="3">
        <v>0</v>
      </c>
      <c r="I27" s="4" t="s">
        <v>24</v>
      </c>
      <c r="J27" s="3">
        <v>0</v>
      </c>
      <c r="K27" s="4">
        <v>0</v>
      </c>
      <c r="L27" s="3">
        <v>0</v>
      </c>
      <c r="M27" s="3">
        <v>-18599020000</v>
      </c>
      <c r="N27" s="4">
        <v>-67.488864000000007</v>
      </c>
    </row>
    <row r="28" spans="1:14" x14ac:dyDescent="0.2">
      <c r="A28" s="7"/>
      <c r="B28" s="1" t="s">
        <v>43</v>
      </c>
      <c r="C28" s="4">
        <v>0</v>
      </c>
      <c r="D28" s="4">
        <v>0</v>
      </c>
      <c r="E28" s="3">
        <v>0</v>
      </c>
      <c r="F28" s="3">
        <v>3385030</v>
      </c>
      <c r="G28" s="3">
        <v>-3385030</v>
      </c>
      <c r="H28" s="3">
        <v>0</v>
      </c>
      <c r="I28" s="4" t="s">
        <v>24</v>
      </c>
      <c r="J28" s="3">
        <v>0</v>
      </c>
      <c r="K28" s="4">
        <v>0</v>
      </c>
      <c r="L28" s="3">
        <v>0</v>
      </c>
      <c r="M28" s="3">
        <v>-24477550</v>
      </c>
      <c r="N28" s="4">
        <v>-7.2311170000000002</v>
      </c>
    </row>
    <row r="29" spans="1:14" x14ac:dyDescent="0.2">
      <c r="A29" s="5" t="s">
        <v>44</v>
      </c>
      <c r="B29" s="1" t="s">
        <v>45</v>
      </c>
      <c r="C29" s="4">
        <v>2070.67</v>
      </c>
      <c r="D29" s="4">
        <v>2070.67</v>
      </c>
      <c r="E29" s="3">
        <v>142912.20000000001</v>
      </c>
      <c r="F29" s="3">
        <v>157107.5</v>
      </c>
      <c r="G29" s="3">
        <v>-14195.29</v>
      </c>
      <c r="H29" s="3">
        <v>0</v>
      </c>
      <c r="I29" s="3">
        <v>1.6494780000000001E-2</v>
      </c>
      <c r="J29" s="3">
        <v>18202960</v>
      </c>
      <c r="K29" s="4">
        <v>0</v>
      </c>
      <c r="L29" s="3">
        <v>0</v>
      </c>
      <c r="M29" s="3">
        <v>3640310</v>
      </c>
      <c r="N29" s="4">
        <v>12.133568</v>
      </c>
    </row>
    <row r="30" spans="1:14" ht="30" x14ac:dyDescent="0.2">
      <c r="A30" s="7"/>
      <c r="B30" s="1" t="s">
        <v>46</v>
      </c>
      <c r="C30" s="4">
        <v>2828</v>
      </c>
      <c r="D30" s="4">
        <v>2828</v>
      </c>
      <c r="E30" s="3">
        <v>294465.2</v>
      </c>
      <c r="F30" s="3">
        <v>359170</v>
      </c>
      <c r="G30" s="3">
        <v>-64704.86</v>
      </c>
      <c r="H30" s="3">
        <v>0</v>
      </c>
      <c r="I30" s="3">
        <v>2.6312599999999998E-2</v>
      </c>
      <c r="J30" s="3">
        <v>24905860</v>
      </c>
      <c r="K30" s="4">
        <v>0</v>
      </c>
      <c r="L30" s="3">
        <v>0</v>
      </c>
      <c r="M30" s="3">
        <v>5582306</v>
      </c>
      <c r="N30" s="4">
        <v>8.5404</v>
      </c>
    </row>
    <row r="31" spans="1:14" x14ac:dyDescent="0.2">
      <c r="I31" s="15" t="s">
        <v>49</v>
      </c>
      <c r="J31" s="13">
        <f>SUM(J2:J30)</f>
        <v>1776101418</v>
      </c>
      <c r="K31" s="8" t="s">
        <v>52</v>
      </c>
      <c r="L31" s="2">
        <f>SUM(L1:L30)</f>
        <v>14470529184.639999</v>
      </c>
      <c r="M31" s="2">
        <f>SUM(M1:M30)</f>
        <v>-35855800231</v>
      </c>
      <c r="N31" s="2">
        <f>SUM(N1:N30)</f>
        <v>13208.053865</v>
      </c>
    </row>
    <row r="32" spans="1:14" x14ac:dyDescent="0.2">
      <c r="I32" s="14" t="s">
        <v>50</v>
      </c>
      <c r="J32" s="12">
        <f>SUM(J14,J16)</f>
        <v>0</v>
      </c>
    </row>
    <row r="33" spans="1:10" x14ac:dyDescent="0.2">
      <c r="I33" s="14" t="s">
        <v>51</v>
      </c>
      <c r="J33" s="12">
        <f>SUM(J20)</f>
        <v>0</v>
      </c>
    </row>
    <row r="36" spans="1:10" x14ac:dyDescent="0.2">
      <c r="A36" t="s">
        <v>53</v>
      </c>
    </row>
    <row r="37" spans="1:10" x14ac:dyDescent="0.2">
      <c r="A37" t="s">
        <v>56</v>
      </c>
      <c r="C37" s="2">
        <f>SUMIFS($D$2:$D$32,$B$2:$B$32, "Solar PV")+SUMIFS($D$2:$D$32,$B$2:$B$32, "Offshore Wind")+SUMIFS($D$2:$D$32,$B$2:$B$32, "Onshore Wind")+SUMIFS($D$2:$D$32,$B$2:$B$32, "Sewage Gas")</f>
        <v>30321.040000000001</v>
      </c>
    </row>
    <row r="38" spans="1:10" x14ac:dyDescent="0.2">
      <c r="A38" t="s">
        <v>54</v>
      </c>
      <c r="C38" s="2">
        <f>SUMIFS($J$2:$J$32,$B$2:$B$32, "Solar PV")+SUMIFS($J$2:$J$32,$B$2:$B$32, "Offshore Wind")+SUMIFS($J$2:$J$32,$B$2:$B$32, "Onshore Wind")+SUMIFS($J$2:$J$32,$B$2:$B$32, "Sewage Gas")</f>
        <v>0</v>
      </c>
    </row>
    <row r="39" spans="1:10" x14ac:dyDescent="0.2">
      <c r="A39" t="s">
        <v>55</v>
      </c>
      <c r="C39" s="2">
        <f>SUMIFS($J$2:$J$32,$B$2:$B$32, "Offshore Wind")+SUMIFS($J$2:$J$32,$B$2:$B$32, "Onshore Wind")</f>
        <v>0</v>
      </c>
    </row>
  </sheetData>
  <autoFilter ref="A1:N33" xr:uid="{F4972E32-7E17-D640-8808-61170EE7E9D2}"/>
  <mergeCells count="4">
    <mergeCell ref="A2:A23"/>
    <mergeCell ref="A24:A25"/>
    <mergeCell ref="A26:A28"/>
    <mergeCell ref="A29:A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0A62-B14B-AA4E-B6C1-C6D101FC58CC}">
  <sheetPr filterMode="1"/>
  <dimension ref="A1:N39"/>
  <sheetViews>
    <sheetView workbookViewId="0">
      <selection activeCell="A36" sqref="A36:C39"/>
    </sheetView>
  </sheetViews>
  <sheetFormatPr baseColWidth="10" defaultColWidth="16.83203125" defaultRowHeight="16" x14ac:dyDescent="0.2"/>
  <cols>
    <col min="1" max="1" width="10.33203125" customWidth="1"/>
    <col min="3" max="3" width="18.83203125" customWidth="1"/>
    <col min="4" max="4" width="20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idden="1" x14ac:dyDescent="0.2">
      <c r="A2" s="5" t="s">
        <v>12</v>
      </c>
      <c r="B2" s="1" t="s">
        <v>13</v>
      </c>
      <c r="C2" s="3">
        <v>357.1</v>
      </c>
      <c r="D2" s="3">
        <v>357.1</v>
      </c>
      <c r="E2" s="3">
        <v>93690.17</v>
      </c>
      <c r="F2" s="3">
        <v>0</v>
      </c>
      <c r="G2" s="3">
        <v>93690.17</v>
      </c>
      <c r="H2" s="3">
        <v>0</v>
      </c>
      <c r="I2" s="3">
        <v>2.986838E-2</v>
      </c>
      <c r="J2" s="3">
        <v>3043076</v>
      </c>
      <c r="K2" s="4">
        <v>0</v>
      </c>
      <c r="L2" s="3">
        <v>7214143</v>
      </c>
      <c r="M2" s="3">
        <v>7852114</v>
      </c>
      <c r="N2" s="4">
        <v>83.809391000000005</v>
      </c>
    </row>
    <row r="3" spans="1:14" hidden="1" x14ac:dyDescent="0.2">
      <c r="A3" s="6"/>
      <c r="B3" s="1" t="s">
        <v>14</v>
      </c>
      <c r="C3" s="3">
        <v>338.4</v>
      </c>
      <c r="D3" s="3">
        <v>338.4</v>
      </c>
      <c r="E3" s="3">
        <v>2972506</v>
      </c>
      <c r="F3" s="3">
        <v>0</v>
      </c>
      <c r="G3" s="3">
        <v>2972506</v>
      </c>
      <c r="H3" s="3">
        <v>0</v>
      </c>
      <c r="I3" s="3">
        <v>1</v>
      </c>
      <c r="J3" s="3">
        <v>0</v>
      </c>
      <c r="K3" s="4">
        <v>0</v>
      </c>
      <c r="L3" s="3">
        <v>187267900</v>
      </c>
      <c r="M3" s="3">
        <v>198362700</v>
      </c>
      <c r="N3" s="4">
        <v>66.732484999999997</v>
      </c>
    </row>
    <row r="4" spans="1:14" hidden="1" x14ac:dyDescent="0.2">
      <c r="A4" s="6"/>
      <c r="B4" s="1" t="s">
        <v>15</v>
      </c>
      <c r="C4" s="3">
        <v>4225.1899999999996</v>
      </c>
      <c r="D4" s="3">
        <v>4225.1899999999996</v>
      </c>
      <c r="E4" s="3">
        <v>1991410</v>
      </c>
      <c r="F4" s="3">
        <v>0</v>
      </c>
      <c r="G4" s="3">
        <v>1991410</v>
      </c>
      <c r="H4" s="3">
        <v>0</v>
      </c>
      <c r="I4" s="3">
        <v>5.3656469999999998E-2</v>
      </c>
      <c r="J4" s="3">
        <v>35122660</v>
      </c>
      <c r="K4" s="4">
        <v>0</v>
      </c>
      <c r="L4" s="3">
        <v>139398700</v>
      </c>
      <c r="M4" s="3">
        <v>155594200</v>
      </c>
      <c r="N4" s="4">
        <v>78.132698000000005</v>
      </c>
    </row>
    <row r="5" spans="1:14" hidden="1" x14ac:dyDescent="0.2">
      <c r="A5" s="6"/>
      <c r="B5" s="1" t="s">
        <v>16</v>
      </c>
      <c r="C5" s="3">
        <v>5341</v>
      </c>
      <c r="D5" s="3">
        <v>5341</v>
      </c>
      <c r="E5" s="3">
        <v>246273</v>
      </c>
      <c r="F5" s="3">
        <v>0</v>
      </c>
      <c r="G5" s="3">
        <v>246273</v>
      </c>
      <c r="H5" s="3">
        <v>0</v>
      </c>
      <c r="I5" s="3">
        <v>5.2493069999999999E-3</v>
      </c>
      <c r="J5" s="3">
        <v>46669070</v>
      </c>
      <c r="K5" s="4">
        <v>0</v>
      </c>
      <c r="L5" s="3">
        <v>20873120</v>
      </c>
      <c r="M5" s="3">
        <v>20873120</v>
      </c>
      <c r="N5" s="4">
        <v>84.755989</v>
      </c>
    </row>
    <row r="6" spans="1:14" ht="30" hidden="1" x14ac:dyDescent="0.2">
      <c r="A6" s="6"/>
      <c r="B6" s="1" t="s">
        <v>17</v>
      </c>
      <c r="C6" s="3">
        <v>29673</v>
      </c>
      <c r="D6" s="3">
        <v>29673</v>
      </c>
      <c r="E6" s="3">
        <v>172782800</v>
      </c>
      <c r="F6" s="3">
        <v>0</v>
      </c>
      <c r="G6" s="3">
        <v>172782800</v>
      </c>
      <c r="H6" s="3">
        <v>0</v>
      </c>
      <c r="I6" s="3">
        <v>0.66289790000000004</v>
      </c>
      <c r="J6" s="3">
        <v>87864870</v>
      </c>
      <c r="K6" s="4">
        <v>0</v>
      </c>
      <c r="L6" s="3">
        <v>11398130000</v>
      </c>
      <c r="M6" s="3">
        <v>11597390000</v>
      </c>
      <c r="N6" s="4">
        <v>67.121246999999997</v>
      </c>
    </row>
    <row r="7" spans="1:14" x14ac:dyDescent="0.2">
      <c r="A7" s="6"/>
      <c r="B7" s="1" t="s">
        <v>18</v>
      </c>
      <c r="C7" s="3">
        <v>4220.3500000000004</v>
      </c>
      <c r="D7" s="3">
        <v>4220.3500000000004</v>
      </c>
      <c r="E7" s="3">
        <v>4339912</v>
      </c>
      <c r="F7" s="3">
        <v>0</v>
      </c>
      <c r="G7" s="3">
        <v>4339912</v>
      </c>
      <c r="H7" s="3">
        <v>0</v>
      </c>
      <c r="I7" s="3">
        <v>0.11706850000000001</v>
      </c>
      <c r="J7" s="3">
        <v>0</v>
      </c>
      <c r="K7" s="4">
        <v>0</v>
      </c>
      <c r="L7" s="3">
        <v>0</v>
      </c>
      <c r="M7" s="3">
        <v>288041600</v>
      </c>
      <c r="N7" s="4">
        <v>66.370373000000001</v>
      </c>
    </row>
    <row r="8" spans="1:14" x14ac:dyDescent="0.2">
      <c r="A8" s="6"/>
      <c r="B8" s="1" t="s">
        <v>19</v>
      </c>
      <c r="C8" s="3">
        <v>5605</v>
      </c>
      <c r="D8" s="3">
        <v>5605</v>
      </c>
      <c r="E8" s="3">
        <v>18208710</v>
      </c>
      <c r="F8" s="3">
        <v>0</v>
      </c>
      <c r="G8" s="3">
        <v>18208710</v>
      </c>
      <c r="H8" s="3">
        <v>0</v>
      </c>
      <c r="I8" s="3">
        <v>0.36983779999999999</v>
      </c>
      <c r="J8" s="3">
        <v>0</v>
      </c>
      <c r="K8" s="4">
        <v>0</v>
      </c>
      <c r="L8" s="3">
        <v>0</v>
      </c>
      <c r="M8" s="3">
        <v>1207815000</v>
      </c>
      <c r="N8" s="4">
        <v>66.331688</v>
      </c>
    </row>
    <row r="9" spans="1:14" hidden="1" x14ac:dyDescent="0.2">
      <c r="A9" s="6"/>
      <c r="B9" s="1" t="s">
        <v>20</v>
      </c>
      <c r="C9" s="3">
        <v>4513</v>
      </c>
      <c r="D9" s="3">
        <v>4513</v>
      </c>
      <c r="E9" s="3">
        <v>21993070</v>
      </c>
      <c r="F9" s="3">
        <v>0</v>
      </c>
      <c r="G9" s="3">
        <v>21993070</v>
      </c>
      <c r="H9" s="3">
        <v>0</v>
      </c>
      <c r="I9" s="3">
        <v>0.55478939999999999</v>
      </c>
      <c r="J9" s="3">
        <v>17649120</v>
      </c>
      <c r="K9" s="4">
        <v>0</v>
      </c>
      <c r="L9" s="3">
        <v>594887900</v>
      </c>
      <c r="M9" s="3">
        <v>594887900</v>
      </c>
      <c r="N9" s="4">
        <v>27.048884999999999</v>
      </c>
    </row>
    <row r="10" spans="1:14" hidden="1" x14ac:dyDescent="0.2">
      <c r="A10" s="6"/>
      <c r="B10" s="1" t="s">
        <v>21</v>
      </c>
      <c r="C10" s="3">
        <v>750.5</v>
      </c>
      <c r="D10" s="3">
        <v>750.5</v>
      </c>
      <c r="E10" s="3">
        <v>6592392</v>
      </c>
      <c r="F10" s="3">
        <v>0</v>
      </c>
      <c r="G10" s="3">
        <v>6592392</v>
      </c>
      <c r="H10" s="3">
        <v>0</v>
      </c>
      <c r="I10" s="3">
        <v>1</v>
      </c>
      <c r="J10" s="3">
        <v>0</v>
      </c>
      <c r="K10" s="4">
        <v>0</v>
      </c>
      <c r="L10" s="3">
        <v>276880500</v>
      </c>
      <c r="M10" s="3">
        <v>439926700</v>
      </c>
      <c r="N10" s="4">
        <v>66.732484999999997</v>
      </c>
    </row>
    <row r="11" spans="1:14" hidden="1" x14ac:dyDescent="0.2">
      <c r="A11" s="6"/>
      <c r="B11" s="1" t="s">
        <v>22</v>
      </c>
      <c r="C11" s="3">
        <v>406.5</v>
      </c>
      <c r="D11" s="3">
        <v>406.5</v>
      </c>
      <c r="E11" s="3">
        <v>3357407</v>
      </c>
      <c r="F11" s="3">
        <v>0</v>
      </c>
      <c r="G11" s="3">
        <v>3357407</v>
      </c>
      <c r="H11" s="3">
        <v>0</v>
      </c>
      <c r="I11" s="3">
        <v>0.94026690000000002</v>
      </c>
      <c r="J11" s="3">
        <v>0</v>
      </c>
      <c r="K11" s="4">
        <v>0</v>
      </c>
      <c r="L11" s="3">
        <v>0</v>
      </c>
      <c r="M11" s="3">
        <v>223885100</v>
      </c>
      <c r="N11" s="4">
        <v>66.683919000000003</v>
      </c>
    </row>
    <row r="12" spans="1:14" hidden="1" x14ac:dyDescent="0.2">
      <c r="A12" s="6"/>
      <c r="B12" s="1" t="s">
        <v>23</v>
      </c>
      <c r="C12" s="3">
        <v>58007.4</v>
      </c>
      <c r="D12" s="3">
        <v>58007.4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275586500</v>
      </c>
      <c r="K12" s="4">
        <v>0</v>
      </c>
      <c r="L12" s="3">
        <v>0</v>
      </c>
      <c r="M12" s="3">
        <v>0</v>
      </c>
      <c r="N12" s="4" t="s">
        <v>24</v>
      </c>
    </row>
    <row r="13" spans="1:14" hidden="1" x14ac:dyDescent="0.2">
      <c r="A13" s="6"/>
      <c r="B13" s="1" t="s">
        <v>25</v>
      </c>
      <c r="C13" s="3">
        <v>7833</v>
      </c>
      <c r="D13" s="3">
        <v>7833</v>
      </c>
      <c r="E13" s="3">
        <v>47406960</v>
      </c>
      <c r="F13" s="3">
        <v>0</v>
      </c>
      <c r="G13" s="3">
        <v>47406960</v>
      </c>
      <c r="H13" s="3">
        <v>0</v>
      </c>
      <c r="I13" s="3">
        <v>0.68900380000000006</v>
      </c>
      <c r="J13" s="3">
        <v>0</v>
      </c>
      <c r="K13" s="4">
        <v>0</v>
      </c>
      <c r="L13" s="3">
        <v>474069600</v>
      </c>
      <c r="M13" s="3">
        <v>3167879000</v>
      </c>
      <c r="N13" s="4">
        <v>66.823083999999994</v>
      </c>
    </row>
    <row r="14" spans="1:14" x14ac:dyDescent="0.2">
      <c r="A14" s="6"/>
      <c r="B14" s="1" t="s">
        <v>26</v>
      </c>
      <c r="C14" s="3">
        <v>9713.5</v>
      </c>
      <c r="D14" s="3">
        <v>9713.5</v>
      </c>
      <c r="E14" s="3">
        <v>29263580</v>
      </c>
      <c r="F14" s="3">
        <v>0</v>
      </c>
      <c r="G14" s="3">
        <v>29263580</v>
      </c>
      <c r="H14" s="3">
        <v>0</v>
      </c>
      <c r="I14" s="3">
        <v>0.34297260000000002</v>
      </c>
      <c r="J14" s="3">
        <v>0</v>
      </c>
      <c r="K14" s="4">
        <v>0</v>
      </c>
      <c r="L14" s="3">
        <v>0</v>
      </c>
      <c r="M14" s="3">
        <v>1940417000</v>
      </c>
      <c r="N14" s="4">
        <v>66.308261000000002</v>
      </c>
    </row>
    <row r="15" spans="1:14" hidden="1" x14ac:dyDescent="0.2">
      <c r="A15" s="6"/>
      <c r="B15" s="1" t="s">
        <v>27</v>
      </c>
      <c r="C15" s="3">
        <v>772</v>
      </c>
      <c r="D15" s="3">
        <v>772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6781248</v>
      </c>
      <c r="K15" s="4">
        <v>0</v>
      </c>
      <c r="L15" s="3">
        <v>0</v>
      </c>
      <c r="M15" s="3">
        <v>0</v>
      </c>
      <c r="N15" s="4" t="s">
        <v>24</v>
      </c>
    </row>
    <row r="16" spans="1:14" x14ac:dyDescent="0.2">
      <c r="A16" s="6"/>
      <c r="B16" s="1" t="s">
        <v>28</v>
      </c>
      <c r="C16" s="3">
        <v>12237.25</v>
      </c>
      <c r="D16" s="3">
        <v>12237.25</v>
      </c>
      <c r="E16" s="3">
        <v>34018470</v>
      </c>
      <c r="F16" s="3">
        <v>0</v>
      </c>
      <c r="G16" s="3">
        <v>34018470</v>
      </c>
      <c r="H16" s="3">
        <v>0</v>
      </c>
      <c r="I16" s="3">
        <v>0.31647449999999999</v>
      </c>
      <c r="J16" s="3">
        <v>0</v>
      </c>
      <c r="K16" s="4">
        <v>0</v>
      </c>
      <c r="L16" s="3">
        <v>0</v>
      </c>
      <c r="M16" s="3">
        <v>2255839000</v>
      </c>
      <c r="N16" s="4">
        <v>66.312184999999999</v>
      </c>
    </row>
    <row r="17" spans="1:14" ht="30" hidden="1" x14ac:dyDescent="0.2">
      <c r="A17" s="6"/>
      <c r="B17" s="1" t="s">
        <v>29</v>
      </c>
      <c r="C17" s="3">
        <v>1302.3699999999999</v>
      </c>
      <c r="D17" s="3">
        <v>1302.3699999999999</v>
      </c>
      <c r="E17" s="3">
        <v>6851995</v>
      </c>
      <c r="F17" s="3">
        <v>0</v>
      </c>
      <c r="G17" s="3">
        <v>6851995</v>
      </c>
      <c r="H17" s="3">
        <v>0</v>
      </c>
      <c r="I17" s="3">
        <v>0.59894970000000003</v>
      </c>
      <c r="J17" s="3">
        <v>4588023</v>
      </c>
      <c r="K17" s="4">
        <v>0</v>
      </c>
      <c r="L17" s="3">
        <v>452012400</v>
      </c>
      <c r="M17" s="3">
        <v>460758200</v>
      </c>
      <c r="N17" s="4">
        <v>67.244376000000003</v>
      </c>
    </row>
    <row r="18" spans="1:14" hidden="1" x14ac:dyDescent="0.2">
      <c r="A18" s="6"/>
      <c r="B18" s="1" t="s">
        <v>30</v>
      </c>
      <c r="C18" s="3">
        <v>50.2</v>
      </c>
      <c r="D18" s="3">
        <v>50.2</v>
      </c>
      <c r="E18" s="3">
        <v>440956.8</v>
      </c>
      <c r="F18" s="3">
        <v>0</v>
      </c>
      <c r="G18" s="3">
        <v>440956.8</v>
      </c>
      <c r="H18" s="3">
        <v>0</v>
      </c>
      <c r="I18" s="3">
        <v>1</v>
      </c>
      <c r="J18" s="3">
        <v>0</v>
      </c>
      <c r="K18" s="4">
        <v>0</v>
      </c>
      <c r="L18" s="3">
        <v>21606880</v>
      </c>
      <c r="M18" s="3">
        <v>29426140</v>
      </c>
      <c r="N18" s="4">
        <v>66.732484999999997</v>
      </c>
    </row>
    <row r="19" spans="1:14" hidden="1" x14ac:dyDescent="0.2">
      <c r="A19" s="6"/>
      <c r="B19" s="1" t="s">
        <v>31</v>
      </c>
      <c r="C19" s="3">
        <v>144</v>
      </c>
      <c r="D19" s="3">
        <v>144</v>
      </c>
      <c r="E19" s="3">
        <v>570517.30000000005</v>
      </c>
      <c r="F19" s="3">
        <v>0</v>
      </c>
      <c r="G19" s="3">
        <v>570517.30000000005</v>
      </c>
      <c r="H19" s="3">
        <v>0</v>
      </c>
      <c r="I19" s="3">
        <v>0.45103900000000002</v>
      </c>
      <c r="J19" s="3">
        <v>0</v>
      </c>
      <c r="K19" s="4">
        <v>0</v>
      </c>
      <c r="L19" s="3">
        <v>0</v>
      </c>
      <c r="M19" s="3">
        <v>38073660</v>
      </c>
      <c r="N19" s="4">
        <v>66.735322999999994</v>
      </c>
    </row>
    <row r="20" spans="1:14" x14ac:dyDescent="0.2">
      <c r="A20" s="6"/>
      <c r="B20" s="1" t="s">
        <v>32</v>
      </c>
      <c r="C20" s="3">
        <v>8320.09</v>
      </c>
      <c r="D20" s="3">
        <v>8320.09</v>
      </c>
      <c r="E20" s="3">
        <v>8141124</v>
      </c>
      <c r="F20" s="3">
        <v>0</v>
      </c>
      <c r="G20" s="3">
        <v>8141124</v>
      </c>
      <c r="H20" s="3">
        <v>0</v>
      </c>
      <c r="I20" s="3">
        <v>0.1113946</v>
      </c>
      <c r="J20" s="3">
        <v>0</v>
      </c>
      <c r="K20" s="4">
        <v>0</v>
      </c>
      <c r="L20" s="3">
        <v>0</v>
      </c>
      <c r="M20" s="3">
        <v>541381000</v>
      </c>
      <c r="N20" s="4">
        <v>66.499548000000004</v>
      </c>
    </row>
    <row r="21" spans="1:14" hidden="1" x14ac:dyDescent="0.2">
      <c r="A21" s="6"/>
      <c r="B21" s="1" t="s">
        <v>33</v>
      </c>
      <c r="C21" s="3">
        <v>10.5</v>
      </c>
      <c r="D21" s="3">
        <v>10.5</v>
      </c>
      <c r="E21" s="3">
        <v>19699.66</v>
      </c>
      <c r="F21" s="3">
        <v>0</v>
      </c>
      <c r="G21" s="3">
        <v>19699.66</v>
      </c>
      <c r="H21" s="3">
        <v>0</v>
      </c>
      <c r="I21" s="3">
        <v>0.21358859999999999</v>
      </c>
      <c r="J21" s="3">
        <v>0</v>
      </c>
      <c r="K21" s="4">
        <v>0</v>
      </c>
      <c r="L21" s="3">
        <v>0</v>
      </c>
      <c r="M21" s="3">
        <v>1312262</v>
      </c>
      <c r="N21" s="4">
        <v>66.613305999999994</v>
      </c>
    </row>
    <row r="22" spans="1:14" hidden="1" x14ac:dyDescent="0.2">
      <c r="A22" s="6"/>
      <c r="B22" s="1" t="s">
        <v>34</v>
      </c>
      <c r="C22" s="3">
        <v>2022.6</v>
      </c>
      <c r="D22" s="3">
        <v>2022.6</v>
      </c>
      <c r="E22" s="3">
        <v>17766520</v>
      </c>
      <c r="F22" s="3">
        <v>0</v>
      </c>
      <c r="G22" s="3">
        <v>17766520</v>
      </c>
      <c r="H22" s="3">
        <v>0</v>
      </c>
      <c r="I22" s="3">
        <v>1</v>
      </c>
      <c r="J22" s="3">
        <v>0</v>
      </c>
      <c r="K22" s="4">
        <v>0</v>
      </c>
      <c r="L22" s="3">
        <v>896853800</v>
      </c>
      <c r="M22" s="3">
        <v>1185604000</v>
      </c>
      <c r="N22" s="4">
        <v>66.732484999999997</v>
      </c>
    </row>
    <row r="23" spans="1:14" hidden="1" x14ac:dyDescent="0.2">
      <c r="A23" s="7"/>
      <c r="B23" s="1" t="s">
        <v>35</v>
      </c>
      <c r="C23" s="3">
        <v>24</v>
      </c>
      <c r="D23" s="3">
        <v>24</v>
      </c>
      <c r="E23" s="3">
        <v>122658.7</v>
      </c>
      <c r="F23" s="3">
        <v>0</v>
      </c>
      <c r="G23" s="3">
        <v>122658.7</v>
      </c>
      <c r="H23" s="3">
        <v>0</v>
      </c>
      <c r="I23" s="3">
        <v>0.58182829999999996</v>
      </c>
      <c r="J23" s="3">
        <v>0</v>
      </c>
      <c r="K23" s="4">
        <v>0</v>
      </c>
      <c r="L23" s="3">
        <v>0</v>
      </c>
      <c r="M23" s="3">
        <v>8164522</v>
      </c>
      <c r="N23" s="4">
        <v>66.562911</v>
      </c>
    </row>
    <row r="24" spans="1:14" hidden="1" x14ac:dyDescent="0.2">
      <c r="A24" s="5" t="s">
        <v>36</v>
      </c>
      <c r="B24" s="1" t="s">
        <v>37</v>
      </c>
      <c r="C24" s="3">
        <v>171000</v>
      </c>
      <c r="D24" s="3">
        <v>171000</v>
      </c>
      <c r="E24" s="3">
        <v>267055700</v>
      </c>
      <c r="F24" s="3">
        <v>672112800</v>
      </c>
      <c r="G24" s="3">
        <v>-405057100</v>
      </c>
      <c r="H24" s="3">
        <v>405057100</v>
      </c>
      <c r="I24" s="3">
        <v>0.62525189999999997</v>
      </c>
      <c r="J24" s="3">
        <v>1097007000</v>
      </c>
      <c r="K24" s="4">
        <v>0</v>
      </c>
      <c r="L24" s="3">
        <v>0</v>
      </c>
      <c r="M24" s="3">
        <v>-27022720000</v>
      </c>
      <c r="N24" s="4">
        <v>-28.773026000000002</v>
      </c>
    </row>
    <row r="25" spans="1:14" hidden="1" x14ac:dyDescent="0.2">
      <c r="A25" s="6"/>
      <c r="B25" s="1" t="s">
        <v>38</v>
      </c>
      <c r="C25" s="3">
        <v>31513</v>
      </c>
      <c r="D25" s="3">
        <v>31513</v>
      </c>
      <c r="E25" s="3">
        <v>62497660</v>
      </c>
      <c r="F25" s="3">
        <v>83393680</v>
      </c>
      <c r="G25" s="3">
        <v>-20896020</v>
      </c>
      <c r="H25" s="3">
        <v>20896020</v>
      </c>
      <c r="I25" s="3">
        <v>0.52704470000000003</v>
      </c>
      <c r="J25" s="3">
        <v>255914200</v>
      </c>
      <c r="K25" s="4">
        <v>0</v>
      </c>
      <c r="L25" s="3">
        <v>0</v>
      </c>
      <c r="M25" s="3">
        <v>-1437815000</v>
      </c>
      <c r="N25" s="4">
        <v>-9.8553840000000008</v>
      </c>
    </row>
    <row r="26" spans="1:14" hidden="1" x14ac:dyDescent="0.2">
      <c r="A26" s="7"/>
      <c r="B26" s="1" t="s">
        <v>39</v>
      </c>
      <c r="C26" s="3">
        <v>342000000</v>
      </c>
      <c r="D26" s="3">
        <v>342000000</v>
      </c>
      <c r="E26" s="3">
        <v>0</v>
      </c>
      <c r="F26" s="3">
        <v>407.19979999999998</v>
      </c>
      <c r="G26" s="3">
        <v>-407.19979999999998</v>
      </c>
      <c r="H26" s="3">
        <v>407.19979999999998</v>
      </c>
      <c r="I26" s="3">
        <v>1.3555559999999999E-10</v>
      </c>
      <c r="J26" s="3">
        <v>3004128000000</v>
      </c>
      <c r="K26" s="4">
        <v>0</v>
      </c>
      <c r="L26" s="3">
        <v>4.0699999999999998E-3</v>
      </c>
      <c r="M26" s="3">
        <v>-34508.79</v>
      </c>
      <c r="N26" s="4">
        <v>-84.741156000000004</v>
      </c>
    </row>
    <row r="27" spans="1:14" hidden="1" x14ac:dyDescent="0.2">
      <c r="A27" s="5" t="s">
        <v>40</v>
      </c>
      <c r="B27" s="1" t="s">
        <v>41</v>
      </c>
      <c r="C27" s="3">
        <v>0</v>
      </c>
      <c r="D27" s="3">
        <v>0</v>
      </c>
      <c r="E27" s="3">
        <v>0</v>
      </c>
      <c r="F27" s="3">
        <v>98130220</v>
      </c>
      <c r="G27" s="3">
        <v>-98130220</v>
      </c>
      <c r="H27" s="3">
        <v>0</v>
      </c>
      <c r="I27" s="4" t="s">
        <v>24</v>
      </c>
      <c r="J27" s="3">
        <v>0</v>
      </c>
      <c r="K27" s="4">
        <v>0</v>
      </c>
      <c r="L27" s="3">
        <v>0</v>
      </c>
      <c r="M27" s="3">
        <v>-6550253000</v>
      </c>
      <c r="N27" s="4">
        <v>-66.750617000000005</v>
      </c>
    </row>
    <row r="28" spans="1:14" hidden="1" x14ac:dyDescent="0.2">
      <c r="A28" s="6"/>
      <c r="B28" s="1" t="s">
        <v>42</v>
      </c>
      <c r="C28" s="3">
        <v>0</v>
      </c>
      <c r="D28" s="3">
        <v>0</v>
      </c>
      <c r="E28" s="3">
        <v>0</v>
      </c>
      <c r="F28" s="3">
        <v>275586500</v>
      </c>
      <c r="G28" s="3">
        <v>-275586500</v>
      </c>
      <c r="H28" s="3">
        <v>0</v>
      </c>
      <c r="I28" s="4" t="s">
        <v>24</v>
      </c>
      <c r="J28" s="3">
        <v>0</v>
      </c>
      <c r="K28" s="4">
        <v>0</v>
      </c>
      <c r="L28" s="3">
        <v>0</v>
      </c>
      <c r="M28" s="3">
        <v>-18461890000</v>
      </c>
      <c r="N28" s="4">
        <v>-66.991299999999995</v>
      </c>
    </row>
    <row r="29" spans="1:14" hidden="1" x14ac:dyDescent="0.2">
      <c r="A29" s="7"/>
      <c r="B29" s="1" t="s">
        <v>43</v>
      </c>
      <c r="C29" s="3">
        <v>0</v>
      </c>
      <c r="D29" s="3">
        <v>0</v>
      </c>
      <c r="E29" s="3">
        <v>0</v>
      </c>
      <c r="F29" s="3">
        <v>3385030</v>
      </c>
      <c r="G29" s="3">
        <v>-3385030</v>
      </c>
      <c r="H29" s="3">
        <v>0</v>
      </c>
      <c r="I29" s="4" t="s">
        <v>24</v>
      </c>
      <c r="J29" s="3">
        <v>0</v>
      </c>
      <c r="K29" s="4">
        <v>0</v>
      </c>
      <c r="L29" s="3">
        <v>0</v>
      </c>
      <c r="M29" s="3">
        <v>-24477550</v>
      </c>
      <c r="N29" s="4">
        <v>-7.2311170000000002</v>
      </c>
    </row>
    <row r="30" spans="1:14" x14ac:dyDescent="0.2">
      <c r="A30" s="5" t="s">
        <v>44</v>
      </c>
      <c r="B30" s="1" t="s">
        <v>45</v>
      </c>
      <c r="C30" s="3">
        <v>2070.67</v>
      </c>
      <c r="D30" s="3">
        <v>2070.67</v>
      </c>
      <c r="E30" s="3">
        <v>142912.20000000001</v>
      </c>
      <c r="F30" s="3">
        <v>157107.5</v>
      </c>
      <c r="G30" s="3">
        <v>-14195.34</v>
      </c>
      <c r="H30" s="3">
        <v>0</v>
      </c>
      <c r="I30" s="3">
        <v>1.6494780000000001E-2</v>
      </c>
      <c r="J30" s="3">
        <v>18202960</v>
      </c>
      <c r="K30" s="4">
        <v>0</v>
      </c>
      <c r="L30" s="3">
        <v>0</v>
      </c>
      <c r="M30" s="3">
        <v>1393759</v>
      </c>
      <c r="N30" s="4">
        <v>4.6455590000000004</v>
      </c>
    </row>
    <row r="31" spans="1:14" ht="30" hidden="1" x14ac:dyDescent="0.2">
      <c r="A31" s="7"/>
      <c r="B31" s="1" t="s">
        <v>46</v>
      </c>
      <c r="C31" s="3">
        <v>2828</v>
      </c>
      <c r="D31" s="3">
        <v>2828</v>
      </c>
      <c r="E31" s="3">
        <v>294510.40000000002</v>
      </c>
      <c r="F31" s="3">
        <v>359227.8</v>
      </c>
      <c r="G31" s="3">
        <v>-64717.4</v>
      </c>
      <c r="H31" s="9">
        <v>0</v>
      </c>
      <c r="I31" s="9">
        <v>2.6316740000000002E-2</v>
      </c>
      <c r="J31" s="3">
        <v>24905870</v>
      </c>
      <c r="K31" s="4">
        <v>0</v>
      </c>
      <c r="L31" s="3">
        <v>0</v>
      </c>
      <c r="M31" s="3">
        <v>1205904</v>
      </c>
      <c r="N31" s="4">
        <v>1.8446279999999999</v>
      </c>
    </row>
    <row r="32" spans="1:14" hidden="1" x14ac:dyDescent="0.2">
      <c r="H32" s="10"/>
      <c r="I32" s="15" t="s">
        <v>49</v>
      </c>
      <c r="J32" s="13">
        <f>SUM(J1:J31)</f>
        <v>3006001334597</v>
      </c>
      <c r="K32" s="8" t="s">
        <v>52</v>
      </c>
      <c r="L32" s="2">
        <f>SUM(L2:L31)</f>
        <v>14469194943.00407</v>
      </c>
      <c r="M32" s="2">
        <f>SUM(M2:M31)</f>
        <v>-29131107177.790001</v>
      </c>
      <c r="N32" s="2">
        <f>SUM(N2:N31)</f>
        <v>1082.4307110000002</v>
      </c>
    </row>
    <row r="33" spans="1:10" hidden="1" x14ac:dyDescent="0.2">
      <c r="H33" s="11"/>
      <c r="I33" s="14" t="s">
        <v>50</v>
      </c>
      <c r="J33" s="12">
        <f>SUM(J14,J16)</f>
        <v>0</v>
      </c>
    </row>
    <row r="34" spans="1:10" hidden="1" x14ac:dyDescent="0.2">
      <c r="H34" s="11"/>
      <c r="I34" s="14" t="s">
        <v>51</v>
      </c>
      <c r="J34" s="12">
        <f>SUM(J20)</f>
        <v>0</v>
      </c>
    </row>
    <row r="36" spans="1:10" x14ac:dyDescent="0.2">
      <c r="A36" t="s">
        <v>53</v>
      </c>
    </row>
    <row r="37" spans="1:10" x14ac:dyDescent="0.2">
      <c r="A37" t="s">
        <v>56</v>
      </c>
      <c r="C37" s="2">
        <f>SUMIFS($D$2:$D$32,$B$2:$B$32, "Solar PV")+SUMIFS($D$2:$D$32,$B$2:$B$32, "Offshore Wind")+SUMIFS($D$2:$D$32,$B$2:$B$32, "Onshore Wind")+SUMIFS($D$2:$D$32,$B$2:$B$32, "Sewage Gas")</f>
        <v>30321.040000000001</v>
      </c>
    </row>
    <row r="38" spans="1:10" x14ac:dyDescent="0.2">
      <c r="A38" t="s">
        <v>54</v>
      </c>
      <c r="C38" s="2">
        <f>SUMIFS($J$2:$J$32,$B$2:$B$32, "Solar PV")+SUMIFS($J$2:$J$32,$B$2:$B$32, "Offshore Wind")+SUMIFS($J$2:$J$32,$B$2:$B$32, "Onshore Wind")+SUMIFS($J$2:$J$32,$B$2:$B$32, "Sewage Gas")</f>
        <v>0</v>
      </c>
    </row>
    <row r="39" spans="1:10" x14ac:dyDescent="0.2">
      <c r="A39" t="s">
        <v>55</v>
      </c>
      <c r="C39" s="2">
        <f>SUMIFS($J$2:$J$32,$B$2:$B$32, "Offshore Wind")+SUMIFS($J$2:$J$32,$B$2:$B$32, "Onshore Wind")</f>
        <v>0</v>
      </c>
    </row>
  </sheetData>
  <autoFilter ref="A1:N34" xr:uid="{274D0A62-B14B-AA4E-B6C1-C6D101FC58CC}">
    <filterColumn colId="1">
      <filters>
        <filter val="Battery Storage"/>
        <filter val="Embedded Solar"/>
        <filter val="Embedded Wind"/>
        <filter val="Offshore Wind"/>
        <filter val="Onshore Wind"/>
        <filter val="Solar PV"/>
      </filters>
    </filterColumn>
  </autoFilter>
  <mergeCells count="4">
    <mergeCell ref="A2:A23"/>
    <mergeCell ref="A24:A26"/>
    <mergeCell ref="A27:A29"/>
    <mergeCell ref="A30:A3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F803-EC4E-F842-B68E-528EC71F1DE9}">
  <dimension ref="A1:N39"/>
  <sheetViews>
    <sheetView topLeftCell="A13" workbookViewId="0">
      <selection activeCell="A36" sqref="A36:C39"/>
    </sheetView>
  </sheetViews>
  <sheetFormatPr baseColWidth="10" defaultRowHeight="16" x14ac:dyDescent="0.2"/>
  <cols>
    <col min="2" max="2" width="16.1640625" customWidth="1"/>
    <col min="3" max="3" width="19.1640625" customWidth="1"/>
    <col min="4" max="4" width="14.6640625" customWidth="1"/>
    <col min="5" max="5" width="13.5" customWidth="1"/>
    <col min="6" max="6" width="14.83203125" customWidth="1"/>
    <col min="7" max="7" width="14.6640625" customWidth="1"/>
    <col min="8" max="8" width="18.6640625" customWidth="1"/>
    <col min="9" max="9" width="20.33203125" customWidth="1"/>
    <col min="10" max="10" width="18.1640625" customWidth="1"/>
    <col min="11" max="11" width="17.5" customWidth="1"/>
    <col min="12" max="12" width="24.5" customWidth="1"/>
    <col min="13" max="13" width="17.5" customWidth="1"/>
    <col min="14" max="14" width="18.1640625" customWidth="1"/>
  </cols>
  <sheetData>
    <row r="1" spans="1:14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5" t="s">
        <v>12</v>
      </c>
      <c r="B2" s="1" t="s">
        <v>13</v>
      </c>
      <c r="C2" s="3">
        <v>357.1</v>
      </c>
      <c r="D2" s="3">
        <v>357.1</v>
      </c>
      <c r="E2" s="3">
        <v>70724.12</v>
      </c>
      <c r="F2" s="3">
        <v>0</v>
      </c>
      <c r="G2" s="3">
        <v>70724.12</v>
      </c>
      <c r="H2" s="3">
        <v>0</v>
      </c>
      <c r="I2" s="4">
        <v>2.2547000000000001E-2</v>
      </c>
      <c r="J2" s="3">
        <v>3066042</v>
      </c>
      <c r="K2" s="4">
        <v>0</v>
      </c>
      <c r="L2" s="3">
        <v>5445757</v>
      </c>
      <c r="M2" s="3">
        <v>5930251</v>
      </c>
      <c r="N2" s="4">
        <v>83.850482999999997</v>
      </c>
    </row>
    <row r="3" spans="1:14" x14ac:dyDescent="0.2">
      <c r="A3" s="6"/>
      <c r="B3" s="1" t="s">
        <v>14</v>
      </c>
      <c r="C3" s="3">
        <v>338.4</v>
      </c>
      <c r="D3" s="3">
        <v>338.4</v>
      </c>
      <c r="E3" s="3">
        <v>2972506</v>
      </c>
      <c r="F3" s="3">
        <v>0</v>
      </c>
      <c r="G3" s="3">
        <v>2972506</v>
      </c>
      <c r="H3" s="3">
        <v>0</v>
      </c>
      <c r="I3" s="4">
        <v>1</v>
      </c>
      <c r="J3" s="3">
        <v>0</v>
      </c>
      <c r="K3" s="4">
        <v>0</v>
      </c>
      <c r="L3" s="3">
        <v>187267900</v>
      </c>
      <c r="M3" s="3">
        <v>197895700</v>
      </c>
      <c r="N3" s="4">
        <v>66.575396999999995</v>
      </c>
    </row>
    <row r="4" spans="1:14" x14ac:dyDescent="0.2">
      <c r="A4" s="6"/>
      <c r="B4" s="1" t="s">
        <v>15</v>
      </c>
      <c r="C4" s="3">
        <v>4225.1899999999996</v>
      </c>
      <c r="D4" s="3">
        <v>4225.1899999999996</v>
      </c>
      <c r="E4" s="3">
        <v>1685483</v>
      </c>
      <c r="F4" s="3">
        <v>0</v>
      </c>
      <c r="G4" s="3">
        <v>1685483</v>
      </c>
      <c r="H4" s="3">
        <v>0</v>
      </c>
      <c r="I4" s="4">
        <v>4.5414000000000003E-2</v>
      </c>
      <c r="J4" s="3">
        <v>35428590</v>
      </c>
      <c r="K4" s="4">
        <v>0</v>
      </c>
      <c r="L4" s="3">
        <v>117983800</v>
      </c>
      <c r="M4" s="3">
        <v>130275100</v>
      </c>
      <c r="N4" s="4">
        <v>77.292428000000001</v>
      </c>
    </row>
    <row r="5" spans="1:14" x14ac:dyDescent="0.2">
      <c r="A5" s="6"/>
      <c r="B5" s="1" t="s">
        <v>16</v>
      </c>
      <c r="C5" s="3">
        <v>5341</v>
      </c>
      <c r="D5" s="3">
        <v>5341</v>
      </c>
      <c r="E5" s="3">
        <v>150340.9</v>
      </c>
      <c r="F5" s="3">
        <v>0</v>
      </c>
      <c r="G5" s="3">
        <v>150340.9</v>
      </c>
      <c r="H5" s="3">
        <v>0</v>
      </c>
      <c r="I5" s="4">
        <v>3.2049999999999999E-3</v>
      </c>
      <c r="J5" s="3">
        <v>46765000</v>
      </c>
      <c r="K5" s="4">
        <v>0</v>
      </c>
      <c r="L5" s="3">
        <v>12742290</v>
      </c>
      <c r="M5" s="3">
        <v>12742290</v>
      </c>
      <c r="N5" s="4">
        <v>84.756013999999993</v>
      </c>
    </row>
    <row r="6" spans="1:14" ht="30" x14ac:dyDescent="0.2">
      <c r="A6" s="6"/>
      <c r="B6" s="1" t="s">
        <v>17</v>
      </c>
      <c r="C6" s="3">
        <v>29673</v>
      </c>
      <c r="D6" s="3">
        <v>29673</v>
      </c>
      <c r="E6" s="3">
        <v>173069200</v>
      </c>
      <c r="F6" s="3">
        <v>0</v>
      </c>
      <c r="G6" s="3">
        <v>173069200</v>
      </c>
      <c r="H6" s="3">
        <v>0</v>
      </c>
      <c r="I6" s="4">
        <v>0.66399699999999995</v>
      </c>
      <c r="J6" s="3">
        <v>87578450</v>
      </c>
      <c r="K6" s="4">
        <v>0</v>
      </c>
      <c r="L6" s="3">
        <v>11417030000</v>
      </c>
      <c r="M6" s="3">
        <v>11575340000</v>
      </c>
      <c r="N6" s="4">
        <v>66.882754000000006</v>
      </c>
    </row>
    <row r="7" spans="1:14" x14ac:dyDescent="0.2">
      <c r="A7" s="6"/>
      <c r="B7" s="1" t="s">
        <v>18</v>
      </c>
      <c r="C7" s="3">
        <v>4220.3500000000004</v>
      </c>
      <c r="D7" s="3">
        <v>4220.3500000000004</v>
      </c>
      <c r="E7" s="3">
        <v>4339912</v>
      </c>
      <c r="F7" s="3">
        <v>0</v>
      </c>
      <c r="G7" s="3">
        <v>4339912</v>
      </c>
      <c r="H7" s="3">
        <v>0</v>
      </c>
      <c r="I7" s="4">
        <v>0.11706900000000001</v>
      </c>
      <c r="J7" s="3">
        <v>0</v>
      </c>
      <c r="K7" s="4">
        <v>0</v>
      </c>
      <c r="L7" s="3">
        <v>0</v>
      </c>
      <c r="M7" s="3">
        <v>287581200</v>
      </c>
      <c r="N7" s="4">
        <v>66.264286999999996</v>
      </c>
    </row>
    <row r="8" spans="1:14" x14ac:dyDescent="0.2">
      <c r="A8" s="6"/>
      <c r="B8" s="1" t="s">
        <v>19</v>
      </c>
      <c r="C8" s="3">
        <v>5605</v>
      </c>
      <c r="D8" s="3">
        <v>5605</v>
      </c>
      <c r="E8" s="3">
        <v>18208710</v>
      </c>
      <c r="F8" s="3">
        <v>0</v>
      </c>
      <c r="G8" s="3">
        <v>18208710</v>
      </c>
      <c r="H8" s="3">
        <v>0</v>
      </c>
      <c r="I8" s="4">
        <v>0.369838</v>
      </c>
      <c r="J8" s="3">
        <v>0</v>
      </c>
      <c r="K8" s="4">
        <v>0</v>
      </c>
      <c r="L8" s="3">
        <v>0</v>
      </c>
      <c r="M8" s="3">
        <v>1206167000</v>
      </c>
      <c r="N8" s="4">
        <v>66.241185999999999</v>
      </c>
    </row>
    <row r="9" spans="1:14" x14ac:dyDescent="0.2">
      <c r="A9" s="6"/>
      <c r="B9" s="1" t="s">
        <v>20</v>
      </c>
      <c r="C9" s="3">
        <v>4513</v>
      </c>
      <c r="D9" s="3">
        <v>4513</v>
      </c>
      <c r="E9" s="3">
        <v>21993070</v>
      </c>
      <c r="F9" s="3">
        <v>0</v>
      </c>
      <c r="G9" s="3">
        <v>21993070</v>
      </c>
      <c r="H9" s="3">
        <v>0</v>
      </c>
      <c r="I9" s="4">
        <v>0.55478899999999998</v>
      </c>
      <c r="J9" s="3">
        <v>17649120</v>
      </c>
      <c r="K9" s="4">
        <v>0</v>
      </c>
      <c r="L9" s="3">
        <v>594887900</v>
      </c>
      <c r="M9" s="3">
        <v>594887900</v>
      </c>
      <c r="N9" s="4">
        <v>27.048884999999999</v>
      </c>
    </row>
    <row r="10" spans="1:14" x14ac:dyDescent="0.2">
      <c r="A10" s="6"/>
      <c r="B10" s="1" t="s">
        <v>21</v>
      </c>
      <c r="C10" s="3">
        <v>750.5</v>
      </c>
      <c r="D10" s="3">
        <v>750.5</v>
      </c>
      <c r="E10" s="3">
        <v>6592392</v>
      </c>
      <c r="F10" s="3">
        <v>0</v>
      </c>
      <c r="G10" s="3">
        <v>6592392</v>
      </c>
      <c r="H10" s="3">
        <v>0</v>
      </c>
      <c r="I10" s="4">
        <v>1</v>
      </c>
      <c r="J10" s="3">
        <v>0</v>
      </c>
      <c r="K10" s="4">
        <v>0</v>
      </c>
      <c r="L10" s="3">
        <v>276880500</v>
      </c>
      <c r="M10" s="3">
        <v>438891100</v>
      </c>
      <c r="N10" s="4">
        <v>66.575396999999995</v>
      </c>
    </row>
    <row r="11" spans="1:14" x14ac:dyDescent="0.2">
      <c r="A11" s="6"/>
      <c r="B11" s="1" t="s">
        <v>22</v>
      </c>
      <c r="C11" s="3">
        <v>406.5</v>
      </c>
      <c r="D11" s="3">
        <v>406.5</v>
      </c>
      <c r="E11" s="3">
        <v>3357407</v>
      </c>
      <c r="F11" s="3">
        <v>0</v>
      </c>
      <c r="G11" s="3">
        <v>3357407</v>
      </c>
      <c r="H11" s="3">
        <v>0</v>
      </c>
      <c r="I11" s="4">
        <v>0.94026699999999996</v>
      </c>
      <c r="J11" s="3">
        <v>0</v>
      </c>
      <c r="K11" s="4">
        <v>0</v>
      </c>
      <c r="L11" s="3">
        <v>0</v>
      </c>
      <c r="M11" s="3">
        <v>223383600</v>
      </c>
      <c r="N11" s="4">
        <v>66.534565999999998</v>
      </c>
    </row>
    <row r="12" spans="1:14" x14ac:dyDescent="0.2">
      <c r="A12" s="6"/>
      <c r="B12" s="1" t="s">
        <v>23</v>
      </c>
      <c r="C12" s="3">
        <v>58007.4</v>
      </c>
      <c r="D12" s="3">
        <v>58007.4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275586500</v>
      </c>
      <c r="K12" s="4">
        <v>0</v>
      </c>
      <c r="L12" s="3">
        <v>0</v>
      </c>
      <c r="M12" s="3">
        <v>0</v>
      </c>
      <c r="N12" s="4" t="s">
        <v>24</v>
      </c>
    </row>
    <row r="13" spans="1:14" x14ac:dyDescent="0.2">
      <c r="A13" s="6"/>
      <c r="B13" s="1" t="s">
        <v>25</v>
      </c>
      <c r="C13" s="3">
        <v>7833</v>
      </c>
      <c r="D13" s="3">
        <v>7833</v>
      </c>
      <c r="E13" s="3">
        <v>47406960</v>
      </c>
      <c r="F13" s="3">
        <v>0</v>
      </c>
      <c r="G13" s="3">
        <v>47406960</v>
      </c>
      <c r="H13" s="3">
        <v>0</v>
      </c>
      <c r="I13" s="4">
        <v>0.68900399999999995</v>
      </c>
      <c r="J13" s="3">
        <v>0</v>
      </c>
      <c r="K13" s="4">
        <v>0</v>
      </c>
      <c r="L13" s="3">
        <v>474069600</v>
      </c>
      <c r="M13" s="3">
        <v>3159878000</v>
      </c>
      <c r="N13" s="4">
        <v>66.654309999999995</v>
      </c>
    </row>
    <row r="14" spans="1:14" x14ac:dyDescent="0.2">
      <c r="A14" s="6"/>
      <c r="B14" s="1" t="s">
        <v>26</v>
      </c>
      <c r="C14" s="3">
        <v>9713.5</v>
      </c>
      <c r="D14" s="3">
        <v>9713.5</v>
      </c>
      <c r="E14" s="3">
        <v>29263580</v>
      </c>
      <c r="F14" s="3">
        <v>0</v>
      </c>
      <c r="G14" s="3">
        <v>29263580</v>
      </c>
      <c r="H14" s="3">
        <v>0</v>
      </c>
      <c r="I14" s="4">
        <v>0.34297299999999997</v>
      </c>
      <c r="J14" s="3">
        <v>0</v>
      </c>
      <c r="K14" s="4">
        <v>0</v>
      </c>
      <c r="L14" s="3">
        <v>0</v>
      </c>
      <c r="M14" s="3">
        <v>1937641000</v>
      </c>
      <c r="N14" s="4">
        <v>66.213396000000003</v>
      </c>
    </row>
    <row r="15" spans="1:14" x14ac:dyDescent="0.2">
      <c r="A15" s="6"/>
      <c r="B15" s="1" t="s">
        <v>27</v>
      </c>
      <c r="C15" s="3">
        <v>772</v>
      </c>
      <c r="D15" s="3">
        <v>772</v>
      </c>
      <c r="E15" s="3">
        <v>0</v>
      </c>
      <c r="F15" s="3">
        <v>0</v>
      </c>
      <c r="G15" s="3">
        <v>0</v>
      </c>
      <c r="H15" s="3">
        <v>0</v>
      </c>
      <c r="I15" s="4">
        <v>0</v>
      </c>
      <c r="J15" s="3">
        <v>6781248</v>
      </c>
      <c r="K15" s="4">
        <v>0</v>
      </c>
      <c r="L15" s="3">
        <v>0</v>
      </c>
      <c r="M15" s="3">
        <v>0</v>
      </c>
      <c r="N15" s="4" t="s">
        <v>24</v>
      </c>
    </row>
    <row r="16" spans="1:14" x14ac:dyDescent="0.2">
      <c r="A16" s="6"/>
      <c r="B16" s="1" t="s">
        <v>28</v>
      </c>
      <c r="C16" s="3">
        <v>12237.25</v>
      </c>
      <c r="D16" s="3">
        <v>12237.25</v>
      </c>
      <c r="E16" s="3">
        <v>34018470</v>
      </c>
      <c r="F16" s="3">
        <v>0</v>
      </c>
      <c r="G16" s="3">
        <v>34018470</v>
      </c>
      <c r="H16" s="3">
        <v>0</v>
      </c>
      <c r="I16" s="4">
        <v>0.31647399999999998</v>
      </c>
      <c r="J16" s="3">
        <v>0</v>
      </c>
      <c r="K16" s="4">
        <v>0</v>
      </c>
      <c r="L16" s="3">
        <v>0</v>
      </c>
      <c r="M16" s="3">
        <v>2252703000</v>
      </c>
      <c r="N16" s="4">
        <v>66.219993000000002</v>
      </c>
    </row>
    <row r="17" spans="1:14" ht="30" x14ac:dyDescent="0.2">
      <c r="A17" s="6"/>
      <c r="B17" s="1" t="s">
        <v>29</v>
      </c>
      <c r="C17" s="3">
        <v>1302.3699999999999</v>
      </c>
      <c r="D17" s="3">
        <v>1302.3699999999999</v>
      </c>
      <c r="E17" s="3">
        <v>6958719</v>
      </c>
      <c r="F17" s="3">
        <v>0</v>
      </c>
      <c r="G17" s="3">
        <v>6958719</v>
      </c>
      <c r="H17" s="3">
        <v>0</v>
      </c>
      <c r="I17" s="4">
        <v>0.60827900000000001</v>
      </c>
      <c r="J17" s="3">
        <v>4481299</v>
      </c>
      <c r="K17" s="4">
        <v>0</v>
      </c>
      <c r="L17" s="3">
        <v>459052800</v>
      </c>
      <c r="M17" s="3">
        <v>466001400</v>
      </c>
      <c r="N17" s="4">
        <v>66.966543000000001</v>
      </c>
    </row>
    <row r="18" spans="1:14" x14ac:dyDescent="0.2">
      <c r="A18" s="6"/>
      <c r="B18" s="1" t="s">
        <v>30</v>
      </c>
      <c r="C18" s="3">
        <v>50.2</v>
      </c>
      <c r="D18" s="3">
        <v>50.2</v>
      </c>
      <c r="E18" s="3">
        <v>440956.8</v>
      </c>
      <c r="F18" s="3">
        <v>0</v>
      </c>
      <c r="G18" s="3">
        <v>440956.8</v>
      </c>
      <c r="H18" s="3">
        <v>0</v>
      </c>
      <c r="I18" s="4">
        <v>1</v>
      </c>
      <c r="J18" s="3">
        <v>0</v>
      </c>
      <c r="K18" s="4">
        <v>0</v>
      </c>
      <c r="L18" s="3">
        <v>21606880</v>
      </c>
      <c r="M18" s="3">
        <v>29356870</v>
      </c>
      <c r="N18" s="4">
        <v>66.575395999999998</v>
      </c>
    </row>
    <row r="19" spans="1:14" x14ac:dyDescent="0.2">
      <c r="A19" s="6"/>
      <c r="B19" s="1" t="s">
        <v>31</v>
      </c>
      <c r="C19" s="3">
        <v>144</v>
      </c>
      <c r="D19" s="3">
        <v>144</v>
      </c>
      <c r="E19" s="3">
        <v>570517.30000000005</v>
      </c>
      <c r="F19" s="3">
        <v>0</v>
      </c>
      <c r="G19" s="3">
        <v>570517.30000000005</v>
      </c>
      <c r="H19" s="3">
        <v>0</v>
      </c>
      <c r="I19" s="4">
        <v>0.45103900000000002</v>
      </c>
      <c r="J19" s="3">
        <v>0</v>
      </c>
      <c r="K19" s="4">
        <v>0</v>
      </c>
      <c r="L19" s="3">
        <v>0</v>
      </c>
      <c r="M19" s="3">
        <v>37986630</v>
      </c>
      <c r="N19" s="4">
        <v>66.582776999999993</v>
      </c>
    </row>
    <row r="20" spans="1:14" x14ac:dyDescent="0.2">
      <c r="A20" s="6"/>
      <c r="B20" s="1" t="s">
        <v>32</v>
      </c>
      <c r="C20" s="3">
        <v>8320.09</v>
      </c>
      <c r="D20" s="3">
        <v>8320.09</v>
      </c>
      <c r="E20" s="3">
        <v>8141124</v>
      </c>
      <c r="F20" s="3">
        <v>0</v>
      </c>
      <c r="G20" s="3">
        <v>8141124</v>
      </c>
      <c r="H20" s="3">
        <v>0</v>
      </c>
      <c r="I20" s="4">
        <v>0.11139499999999999</v>
      </c>
      <c r="J20" s="3">
        <v>0</v>
      </c>
      <c r="K20" s="4">
        <v>0</v>
      </c>
      <c r="L20" s="3">
        <v>0</v>
      </c>
      <c r="M20" s="3">
        <v>540300100</v>
      </c>
      <c r="N20" s="4">
        <v>66.366772999999995</v>
      </c>
    </row>
    <row r="21" spans="1:14" x14ac:dyDescent="0.2">
      <c r="A21" s="6"/>
      <c r="B21" s="1" t="s">
        <v>33</v>
      </c>
      <c r="C21" s="3">
        <v>10.5</v>
      </c>
      <c r="D21" s="3">
        <v>10.5</v>
      </c>
      <c r="E21" s="3">
        <v>19699.66</v>
      </c>
      <c r="F21" s="3">
        <v>0</v>
      </c>
      <c r="G21" s="3">
        <v>19699.66</v>
      </c>
      <c r="H21" s="3">
        <v>0</v>
      </c>
      <c r="I21" s="4">
        <v>0.213589</v>
      </c>
      <c r="J21" s="3">
        <v>0</v>
      </c>
      <c r="K21" s="4">
        <v>0</v>
      </c>
      <c r="L21" s="3">
        <v>0</v>
      </c>
      <c r="M21" s="3">
        <v>1309220</v>
      </c>
      <c r="N21" s="4">
        <v>66.458853000000005</v>
      </c>
    </row>
    <row r="22" spans="1:14" x14ac:dyDescent="0.2">
      <c r="A22" s="6"/>
      <c r="B22" s="1" t="s">
        <v>34</v>
      </c>
      <c r="C22" s="3">
        <v>2022.6</v>
      </c>
      <c r="D22" s="3">
        <v>2022.6</v>
      </c>
      <c r="E22" s="3">
        <v>17766520</v>
      </c>
      <c r="F22" s="3">
        <v>0</v>
      </c>
      <c r="G22" s="3">
        <v>17766520</v>
      </c>
      <c r="H22" s="3">
        <v>0</v>
      </c>
      <c r="I22" s="4">
        <v>1</v>
      </c>
      <c r="J22" s="3">
        <v>0</v>
      </c>
      <c r="K22" s="4">
        <v>0</v>
      </c>
      <c r="L22" s="3">
        <v>896853800</v>
      </c>
      <c r="M22" s="3">
        <v>1182813000</v>
      </c>
      <c r="N22" s="4">
        <v>66.575395999999998</v>
      </c>
    </row>
    <row r="23" spans="1:14" x14ac:dyDescent="0.2">
      <c r="A23" s="7"/>
      <c r="B23" s="1" t="s">
        <v>35</v>
      </c>
      <c r="C23" s="3">
        <v>24</v>
      </c>
      <c r="D23" s="3">
        <v>24</v>
      </c>
      <c r="E23" s="3">
        <v>122658.7</v>
      </c>
      <c r="F23" s="3">
        <v>0</v>
      </c>
      <c r="G23" s="3">
        <v>122658.7</v>
      </c>
      <c r="H23" s="3">
        <v>0</v>
      </c>
      <c r="I23" s="4">
        <v>0.58182800000000001</v>
      </c>
      <c r="J23" s="3">
        <v>0</v>
      </c>
      <c r="K23" s="4">
        <v>0</v>
      </c>
      <c r="L23" s="3">
        <v>0</v>
      </c>
      <c r="M23" s="3">
        <v>8148604</v>
      </c>
      <c r="N23" s="4">
        <v>66.433139999999995</v>
      </c>
    </row>
    <row r="24" spans="1:14" x14ac:dyDescent="0.2">
      <c r="A24" s="5" t="s">
        <v>36</v>
      </c>
      <c r="B24" s="1" t="s">
        <v>37</v>
      </c>
      <c r="C24" s="3">
        <v>171000</v>
      </c>
      <c r="D24" s="3">
        <v>171000</v>
      </c>
      <c r="E24" s="3">
        <v>272702000</v>
      </c>
      <c r="F24" s="3">
        <v>662641300</v>
      </c>
      <c r="G24" s="3">
        <v>-389939300</v>
      </c>
      <c r="H24" s="3">
        <v>389939300</v>
      </c>
      <c r="I24" s="4">
        <v>0.62270499999999995</v>
      </c>
      <c r="J24" s="3">
        <v>1112125000</v>
      </c>
      <c r="K24" s="4">
        <v>0</v>
      </c>
      <c r="L24" s="3">
        <v>0</v>
      </c>
      <c r="M24" s="3">
        <v>-25967630000</v>
      </c>
      <c r="N24" s="4">
        <v>-27.762678999999999</v>
      </c>
    </row>
    <row r="25" spans="1:14" x14ac:dyDescent="0.2">
      <c r="A25" s="6"/>
      <c r="B25" s="1" t="s">
        <v>38</v>
      </c>
      <c r="C25" s="3">
        <v>31513</v>
      </c>
      <c r="D25" s="3">
        <v>31513</v>
      </c>
      <c r="E25" s="3">
        <v>62873860</v>
      </c>
      <c r="F25" s="3">
        <v>66929710</v>
      </c>
      <c r="G25" s="3">
        <v>-4055847</v>
      </c>
      <c r="H25" s="3">
        <v>4055847</v>
      </c>
      <c r="I25" s="4">
        <v>0.46892600000000001</v>
      </c>
      <c r="J25" s="3">
        <v>272754300</v>
      </c>
      <c r="K25" s="4">
        <v>0</v>
      </c>
      <c r="L25" s="3">
        <v>0</v>
      </c>
      <c r="M25" s="3">
        <v>-310814700</v>
      </c>
      <c r="N25" s="4">
        <v>-2.394501</v>
      </c>
    </row>
    <row r="26" spans="1:14" x14ac:dyDescent="0.2">
      <c r="A26" s="7"/>
      <c r="B26" s="1" t="s">
        <v>47</v>
      </c>
      <c r="C26" s="3">
        <v>38000000</v>
      </c>
      <c r="D26" s="3">
        <v>38000000</v>
      </c>
      <c r="E26" s="3">
        <v>0</v>
      </c>
      <c r="F26" s="3">
        <v>1193622</v>
      </c>
      <c r="G26" s="3">
        <v>-1193622</v>
      </c>
      <c r="H26" s="3">
        <v>0</v>
      </c>
      <c r="I26" s="4">
        <v>3.9999999999999998E-6</v>
      </c>
      <c r="J26" s="3">
        <v>333790800000</v>
      </c>
      <c r="K26" s="4">
        <v>0</v>
      </c>
      <c r="L26" s="3">
        <v>11.93622</v>
      </c>
      <c r="M26" s="3">
        <v>-64917930</v>
      </c>
      <c r="N26" s="4">
        <v>-54.387321999999998</v>
      </c>
    </row>
    <row r="27" spans="1:14" x14ac:dyDescent="0.2">
      <c r="A27" s="5" t="s">
        <v>40</v>
      </c>
      <c r="B27" s="1" t="s">
        <v>41</v>
      </c>
      <c r="C27" s="3">
        <v>0</v>
      </c>
      <c r="D27" s="3">
        <v>0</v>
      </c>
      <c r="E27" s="3">
        <v>0</v>
      </c>
      <c r="F27" s="3">
        <v>98130220</v>
      </c>
      <c r="G27" s="3">
        <v>-98130220</v>
      </c>
      <c r="H27" s="3">
        <v>0</v>
      </c>
      <c r="I27" s="4" t="s">
        <v>24</v>
      </c>
      <c r="J27" s="3">
        <v>0</v>
      </c>
      <c r="K27" s="4">
        <v>0</v>
      </c>
      <c r="L27" s="3">
        <v>0</v>
      </c>
      <c r="M27" s="3">
        <v>-6534449000</v>
      </c>
      <c r="N27" s="4">
        <v>-66.589564999999993</v>
      </c>
    </row>
    <row r="28" spans="1:14" x14ac:dyDescent="0.2">
      <c r="A28" s="6"/>
      <c r="B28" s="1" t="s">
        <v>42</v>
      </c>
      <c r="C28" s="3">
        <v>0</v>
      </c>
      <c r="D28" s="3">
        <v>0</v>
      </c>
      <c r="E28" s="3">
        <v>0</v>
      </c>
      <c r="F28" s="3">
        <v>275586500</v>
      </c>
      <c r="G28" s="3">
        <v>-275586500</v>
      </c>
      <c r="H28" s="3">
        <v>0</v>
      </c>
      <c r="I28" s="4" t="s">
        <v>24</v>
      </c>
      <c r="J28" s="3">
        <v>0</v>
      </c>
      <c r="K28" s="4">
        <v>0</v>
      </c>
      <c r="L28" s="3">
        <v>0</v>
      </c>
      <c r="M28" s="3">
        <v>-18404800000</v>
      </c>
      <c r="N28" s="4">
        <v>-66.784126999999998</v>
      </c>
    </row>
    <row r="29" spans="1:14" x14ac:dyDescent="0.2">
      <c r="A29" s="7"/>
      <c r="B29" s="1" t="s">
        <v>43</v>
      </c>
      <c r="C29" s="3">
        <v>0</v>
      </c>
      <c r="D29" s="3">
        <v>0</v>
      </c>
      <c r="E29" s="3">
        <v>0</v>
      </c>
      <c r="F29" s="3">
        <v>3385030</v>
      </c>
      <c r="G29" s="3">
        <v>-3385030</v>
      </c>
      <c r="H29" s="3">
        <v>0</v>
      </c>
      <c r="I29" s="4" t="s">
        <v>24</v>
      </c>
      <c r="J29" s="3">
        <v>0</v>
      </c>
      <c r="K29" s="4">
        <v>0</v>
      </c>
      <c r="L29" s="3">
        <v>0</v>
      </c>
      <c r="M29" s="3">
        <v>-24477550</v>
      </c>
      <c r="N29" s="4">
        <v>-7.2311170000000002</v>
      </c>
    </row>
    <row r="30" spans="1:14" x14ac:dyDescent="0.2">
      <c r="A30" s="5" t="s">
        <v>44</v>
      </c>
      <c r="B30" s="1" t="s">
        <v>45</v>
      </c>
      <c r="C30" s="3">
        <v>2070.67</v>
      </c>
      <c r="D30" s="3">
        <v>2070.67</v>
      </c>
      <c r="E30" s="3">
        <v>116287.3</v>
      </c>
      <c r="F30" s="3">
        <v>127507.8</v>
      </c>
      <c r="G30" s="3">
        <v>-11220.49</v>
      </c>
      <c r="H30" s="3">
        <v>0</v>
      </c>
      <c r="I30" s="4">
        <v>1.3403999999999999E-2</v>
      </c>
      <c r="J30" s="3">
        <v>18199990</v>
      </c>
      <c r="K30" s="4">
        <v>0</v>
      </c>
      <c r="L30" s="3">
        <v>0</v>
      </c>
      <c r="M30" s="3">
        <v>997064</v>
      </c>
      <c r="N30" s="4">
        <v>4.0897620000000003</v>
      </c>
    </row>
    <row r="31" spans="1:14" ht="30" x14ac:dyDescent="0.2">
      <c r="A31" s="7"/>
      <c r="B31" s="1" t="s">
        <v>46</v>
      </c>
      <c r="C31" s="3">
        <v>2828</v>
      </c>
      <c r="D31" s="3">
        <v>2828</v>
      </c>
      <c r="E31" s="3">
        <v>190927</v>
      </c>
      <c r="F31" s="3">
        <v>226937.4</v>
      </c>
      <c r="G31" s="3">
        <v>-36010.370000000003</v>
      </c>
      <c r="H31" s="3">
        <v>0</v>
      </c>
      <c r="I31" s="4">
        <v>1.6820999999999999E-2</v>
      </c>
      <c r="J31" s="3">
        <v>24877160</v>
      </c>
      <c r="K31" s="4">
        <v>0</v>
      </c>
      <c r="L31" s="3">
        <v>0</v>
      </c>
      <c r="M31" s="3">
        <v>1184702</v>
      </c>
      <c r="N31" s="4">
        <v>2.8351359999999999</v>
      </c>
    </row>
    <row r="32" spans="1:14" x14ac:dyDescent="0.2">
      <c r="A32" s="1" t="s">
        <v>48</v>
      </c>
      <c r="B32" s="1" t="s">
        <v>47</v>
      </c>
      <c r="C32" s="3">
        <v>19000000</v>
      </c>
      <c r="D32" s="3">
        <v>19000000</v>
      </c>
      <c r="E32" s="3">
        <v>596811.19999999995</v>
      </c>
      <c r="F32" s="3">
        <v>596811.19999999995</v>
      </c>
      <c r="G32" s="3">
        <v>0</v>
      </c>
      <c r="H32" s="3">
        <v>0</v>
      </c>
      <c r="I32" s="4">
        <v>0.999475</v>
      </c>
      <c r="J32" s="3">
        <v>0</v>
      </c>
      <c r="K32" s="4">
        <v>0</v>
      </c>
      <c r="L32" s="3">
        <v>0</v>
      </c>
      <c r="M32" s="3">
        <v>0</v>
      </c>
      <c r="N32" s="4" t="s">
        <v>24</v>
      </c>
    </row>
    <row r="33" spans="1:14" x14ac:dyDescent="0.2">
      <c r="I33" s="15" t="s">
        <v>49</v>
      </c>
      <c r="J33" s="13">
        <f>SUM(J2:J32)</f>
        <v>335696092699</v>
      </c>
      <c r="K33" s="8" t="s">
        <v>52</v>
      </c>
      <c r="L33" s="2">
        <f>SUM(L3:L32)</f>
        <v>14458375481.93622</v>
      </c>
      <c r="M33" s="2">
        <f>SUM(M3:M32)</f>
        <v>-27021605700</v>
      </c>
      <c r="N33" s="2">
        <f>SUM(N3:N32)</f>
        <v>1034.9930780000002</v>
      </c>
    </row>
    <row r="34" spans="1:14" x14ac:dyDescent="0.2">
      <c r="I34" s="14" t="s">
        <v>50</v>
      </c>
      <c r="J34" s="12">
        <f>SUM(J14,J16)</f>
        <v>0</v>
      </c>
    </row>
    <row r="35" spans="1:14" x14ac:dyDescent="0.2">
      <c r="I35" s="14" t="s">
        <v>51</v>
      </c>
      <c r="J35" s="12">
        <f>SUM(J20)</f>
        <v>0</v>
      </c>
    </row>
    <row r="36" spans="1:14" x14ac:dyDescent="0.2">
      <c r="A36" t="s">
        <v>53</v>
      </c>
    </row>
    <row r="37" spans="1:14" x14ac:dyDescent="0.2">
      <c r="A37" t="s">
        <v>56</v>
      </c>
      <c r="C37" s="2">
        <f>SUMIFS($D$2:$D$32,$B$2:$B$32, "Solar PV")+SUMIFS($D$2:$D$32,$B$2:$B$32, "Offshore Wind")+SUMIFS($D$2:$D$32,$B$2:$B$32, "Onshore Wind")+SUMIFS($D$2:$D$32,$B$2:$B$32, "Sewage Gas")</f>
        <v>30321.040000000001</v>
      </c>
    </row>
    <row r="38" spans="1:14" x14ac:dyDescent="0.2">
      <c r="A38" t="s">
        <v>54</v>
      </c>
      <c r="C38" s="2">
        <f>SUMIFS($J$2:$J$32,$B$2:$B$32, "Solar PV")+SUMIFS($J$2:$J$32,$B$2:$B$32, "Offshore Wind")+SUMIFS($J$2:$J$32,$B$2:$B$32, "Onshore Wind")+SUMIFS($J$2:$J$32,$B$2:$B$32, "Sewage Gas")</f>
        <v>0</v>
      </c>
    </row>
    <row r="39" spans="1:14" x14ac:dyDescent="0.2">
      <c r="A39" t="s">
        <v>55</v>
      </c>
      <c r="C39" s="2">
        <f>SUMIFS($J$2:$J$32,$B$2:$B$32, "Offshore Wind")+SUMIFS($J$2:$J$32,$B$2:$B$32, "Onshore Wind")</f>
        <v>0</v>
      </c>
    </row>
  </sheetData>
  <autoFilter ref="A1:N35" xr:uid="{4D4BF803-EC4E-F842-B68E-528EC71F1DE9}"/>
  <mergeCells count="4">
    <mergeCell ref="A2:A23"/>
    <mergeCell ref="A24:A26"/>
    <mergeCell ref="A27:A29"/>
    <mergeCell ref="A30:A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27E0-A6E7-0A4E-A9C8-EA69BF34BB6E}">
  <sheetPr filterMode="1"/>
  <dimension ref="A1:N39"/>
  <sheetViews>
    <sheetView tabSelected="1" topLeftCell="A3" workbookViewId="0">
      <selection activeCell="F40" sqref="F40"/>
    </sheetView>
  </sheetViews>
  <sheetFormatPr baseColWidth="10" defaultColWidth="17.5" defaultRowHeight="16" x14ac:dyDescent="0.2"/>
  <cols>
    <col min="1" max="1" width="11.6640625" customWidth="1"/>
    <col min="2" max="2" width="15.1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5" t="s">
        <v>12</v>
      </c>
      <c r="B2" s="1" t="s">
        <v>13</v>
      </c>
      <c r="C2" s="3">
        <v>357.1</v>
      </c>
      <c r="D2" s="3">
        <v>357.1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3136766</v>
      </c>
      <c r="K2" s="4">
        <v>0</v>
      </c>
      <c r="L2" s="3">
        <v>0</v>
      </c>
      <c r="M2" s="3">
        <v>0</v>
      </c>
      <c r="N2" s="4" t="s">
        <v>24</v>
      </c>
    </row>
    <row r="3" spans="1:14" x14ac:dyDescent="0.2">
      <c r="A3" s="6"/>
      <c r="B3" s="1" t="s">
        <v>14</v>
      </c>
      <c r="C3" s="3">
        <v>338.4</v>
      </c>
      <c r="D3" s="3">
        <v>338.4</v>
      </c>
      <c r="E3" s="3">
        <v>0</v>
      </c>
      <c r="F3" s="3">
        <v>0</v>
      </c>
      <c r="G3" s="3">
        <v>0</v>
      </c>
      <c r="H3" s="3">
        <v>0</v>
      </c>
      <c r="I3" s="4">
        <v>0</v>
      </c>
      <c r="J3" s="3">
        <v>2972506</v>
      </c>
      <c r="K3" s="4">
        <v>0</v>
      </c>
      <c r="L3" s="3">
        <v>0</v>
      </c>
      <c r="M3" s="3">
        <v>0</v>
      </c>
      <c r="N3" s="4" t="s">
        <v>24</v>
      </c>
    </row>
    <row r="4" spans="1:14" x14ac:dyDescent="0.2">
      <c r="A4" s="6"/>
      <c r="B4" s="1" t="s">
        <v>15</v>
      </c>
      <c r="C4" s="3">
        <v>4225.1899999999996</v>
      </c>
      <c r="D4" s="3">
        <v>4225.1899999999996</v>
      </c>
      <c r="E4" s="3">
        <v>0</v>
      </c>
      <c r="F4" s="3">
        <v>0</v>
      </c>
      <c r="G4" s="3">
        <v>0</v>
      </c>
      <c r="H4" s="3">
        <v>0</v>
      </c>
      <c r="I4" s="4">
        <v>0</v>
      </c>
      <c r="J4" s="3">
        <v>37114070</v>
      </c>
      <c r="K4" s="4">
        <v>0</v>
      </c>
      <c r="L4" s="3">
        <v>0</v>
      </c>
      <c r="M4" s="3">
        <v>0</v>
      </c>
      <c r="N4" s="4" t="s">
        <v>24</v>
      </c>
    </row>
    <row r="5" spans="1:14" hidden="1" x14ac:dyDescent="0.2">
      <c r="A5" s="6"/>
      <c r="B5" s="1" t="s">
        <v>16</v>
      </c>
      <c r="C5" s="3">
        <v>5341</v>
      </c>
      <c r="D5" s="3">
        <v>5341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46915340</v>
      </c>
      <c r="K5" s="4">
        <v>0</v>
      </c>
      <c r="L5" s="3">
        <v>0</v>
      </c>
      <c r="M5" s="3">
        <v>0</v>
      </c>
      <c r="N5" s="4" t="s">
        <v>24</v>
      </c>
    </row>
    <row r="6" spans="1:14" ht="30" hidden="1" x14ac:dyDescent="0.2">
      <c r="A6" s="6"/>
      <c r="B6" s="1" t="s">
        <v>17</v>
      </c>
      <c r="C6" s="3">
        <v>29673</v>
      </c>
      <c r="D6" s="3">
        <v>29673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260647600</v>
      </c>
      <c r="K6" s="4">
        <v>0</v>
      </c>
      <c r="L6" s="3">
        <v>0</v>
      </c>
      <c r="M6" s="3">
        <v>0</v>
      </c>
      <c r="N6" s="4" t="s">
        <v>24</v>
      </c>
    </row>
    <row r="7" spans="1:14" x14ac:dyDescent="0.2">
      <c r="A7" s="6"/>
      <c r="B7" s="1" t="s">
        <v>18</v>
      </c>
      <c r="C7" s="3">
        <v>4220.3500000000004</v>
      </c>
      <c r="D7" s="3">
        <v>4220.3500000000004</v>
      </c>
      <c r="E7" s="3">
        <v>4339912</v>
      </c>
      <c r="F7" s="3">
        <v>0</v>
      </c>
      <c r="G7" s="3">
        <v>4339912</v>
      </c>
      <c r="H7" s="3">
        <v>0</v>
      </c>
      <c r="I7" s="4">
        <v>0.11706900000000001</v>
      </c>
      <c r="J7" s="3">
        <v>0</v>
      </c>
      <c r="K7" s="4">
        <v>0</v>
      </c>
      <c r="L7" s="3">
        <v>0</v>
      </c>
      <c r="M7" s="3">
        <v>21.699560000000002</v>
      </c>
      <c r="N7" s="4">
        <v>5.0000000000000004E-6</v>
      </c>
    </row>
    <row r="8" spans="1:14" x14ac:dyDescent="0.2">
      <c r="A8" s="6"/>
      <c r="B8" s="1" t="s">
        <v>19</v>
      </c>
      <c r="C8" s="3">
        <v>5605</v>
      </c>
      <c r="D8" s="3">
        <v>5605</v>
      </c>
      <c r="E8" s="3">
        <v>18208710</v>
      </c>
      <c r="F8" s="3">
        <v>0</v>
      </c>
      <c r="G8" s="3">
        <v>18208710</v>
      </c>
      <c r="H8" s="3">
        <v>0</v>
      </c>
      <c r="I8" s="4">
        <v>0.369838</v>
      </c>
      <c r="J8" s="3">
        <v>0</v>
      </c>
      <c r="K8" s="4">
        <v>0</v>
      </c>
      <c r="L8" s="3">
        <v>0</v>
      </c>
      <c r="M8" s="3">
        <v>91.043559999999999</v>
      </c>
      <c r="N8" s="4">
        <v>5.0000000000000004E-6</v>
      </c>
    </row>
    <row r="9" spans="1:14" x14ac:dyDescent="0.2">
      <c r="A9" s="6"/>
      <c r="B9" s="1" t="s">
        <v>20</v>
      </c>
      <c r="C9" s="3">
        <v>4513</v>
      </c>
      <c r="D9" s="3">
        <v>4513</v>
      </c>
      <c r="E9" s="3">
        <v>21993070</v>
      </c>
      <c r="F9" s="3">
        <v>0</v>
      </c>
      <c r="G9" s="3">
        <v>21993070</v>
      </c>
      <c r="H9" s="3">
        <v>0</v>
      </c>
      <c r="I9" s="4">
        <v>0.55478899999999998</v>
      </c>
      <c r="J9" s="3">
        <v>17649120</v>
      </c>
      <c r="K9" s="4">
        <v>0</v>
      </c>
      <c r="L9" s="3">
        <v>594887900</v>
      </c>
      <c r="M9" s="3">
        <v>594887900</v>
      </c>
      <c r="N9" s="4">
        <v>27.048884999999999</v>
      </c>
    </row>
    <row r="10" spans="1:14" x14ac:dyDescent="0.2">
      <c r="A10" s="6"/>
      <c r="B10" s="1" t="s">
        <v>21</v>
      </c>
      <c r="C10" s="3">
        <v>750.5</v>
      </c>
      <c r="D10" s="3">
        <v>750.5</v>
      </c>
      <c r="E10" s="3">
        <v>0</v>
      </c>
      <c r="F10" s="3">
        <v>0</v>
      </c>
      <c r="G10" s="3">
        <v>0</v>
      </c>
      <c r="H10" s="3">
        <v>0</v>
      </c>
      <c r="I10" s="4">
        <v>0</v>
      </c>
      <c r="J10" s="3">
        <v>6592392</v>
      </c>
      <c r="K10" s="4">
        <v>0</v>
      </c>
      <c r="L10" s="3">
        <v>0</v>
      </c>
      <c r="M10" s="3">
        <v>0</v>
      </c>
      <c r="N10" s="4" t="s">
        <v>24</v>
      </c>
    </row>
    <row r="11" spans="1:14" x14ac:dyDescent="0.2">
      <c r="A11" s="6"/>
      <c r="B11" s="1" t="s">
        <v>22</v>
      </c>
      <c r="C11" s="3">
        <v>406.5</v>
      </c>
      <c r="D11" s="3">
        <v>406.5</v>
      </c>
      <c r="E11" s="3">
        <v>3357407</v>
      </c>
      <c r="F11" s="3">
        <v>0</v>
      </c>
      <c r="G11" s="3">
        <v>3357407</v>
      </c>
      <c r="H11" s="3">
        <v>0</v>
      </c>
      <c r="I11" s="4">
        <v>0.94026699999999996</v>
      </c>
      <c r="J11" s="3">
        <v>0</v>
      </c>
      <c r="K11" s="4">
        <v>0</v>
      </c>
      <c r="L11" s="3">
        <v>0</v>
      </c>
      <c r="M11" s="3">
        <v>16.787040000000001</v>
      </c>
      <c r="N11" s="4">
        <v>5.0000000000000004E-6</v>
      </c>
    </row>
    <row r="12" spans="1:14" x14ac:dyDescent="0.2">
      <c r="A12" s="6"/>
      <c r="B12" s="1" t="s">
        <v>23</v>
      </c>
      <c r="C12" s="3">
        <v>58007.4</v>
      </c>
      <c r="D12" s="3">
        <v>58007.4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275586500</v>
      </c>
      <c r="K12" s="4">
        <v>0</v>
      </c>
      <c r="L12" s="3">
        <v>0</v>
      </c>
      <c r="M12" s="3">
        <v>0</v>
      </c>
      <c r="N12" s="4" t="s">
        <v>24</v>
      </c>
    </row>
    <row r="13" spans="1:14" hidden="1" x14ac:dyDescent="0.2">
      <c r="A13" s="6"/>
      <c r="B13" s="1" t="s">
        <v>25</v>
      </c>
      <c r="C13" s="3">
        <v>7833</v>
      </c>
      <c r="D13" s="3">
        <v>7833</v>
      </c>
      <c r="E13" s="3">
        <v>0</v>
      </c>
      <c r="F13" s="3">
        <v>0</v>
      </c>
      <c r="G13" s="3">
        <v>0</v>
      </c>
      <c r="H13" s="3">
        <v>0</v>
      </c>
      <c r="I13" s="4">
        <v>0</v>
      </c>
      <c r="J13" s="3">
        <v>47406960</v>
      </c>
      <c r="K13" s="4">
        <v>0</v>
      </c>
      <c r="L13" s="3">
        <v>0</v>
      </c>
      <c r="M13" s="3">
        <v>0</v>
      </c>
      <c r="N13" s="4" t="s">
        <v>24</v>
      </c>
    </row>
    <row r="14" spans="1:14" x14ac:dyDescent="0.2">
      <c r="A14" s="6"/>
      <c r="B14" s="1" t="s">
        <v>26</v>
      </c>
      <c r="C14" s="3">
        <v>9713.5</v>
      </c>
      <c r="D14" s="3">
        <v>9713.5</v>
      </c>
      <c r="E14" s="3">
        <v>29263580</v>
      </c>
      <c r="F14" s="3">
        <v>0</v>
      </c>
      <c r="G14" s="3">
        <v>29263580</v>
      </c>
      <c r="H14" s="3">
        <v>0</v>
      </c>
      <c r="I14" s="4">
        <v>0.34297299999999997</v>
      </c>
      <c r="J14" s="3">
        <v>0</v>
      </c>
      <c r="K14" s="4">
        <v>0</v>
      </c>
      <c r="L14" s="3">
        <v>0</v>
      </c>
      <c r="M14" s="3">
        <v>146.31790000000001</v>
      </c>
      <c r="N14" s="4">
        <v>5.0000000000000004E-6</v>
      </c>
    </row>
    <row r="15" spans="1:14" hidden="1" x14ac:dyDescent="0.2">
      <c r="A15" s="6"/>
      <c r="B15" s="1" t="s">
        <v>27</v>
      </c>
      <c r="C15" s="3">
        <v>772</v>
      </c>
      <c r="D15" s="3">
        <v>772</v>
      </c>
      <c r="E15" s="3">
        <v>0</v>
      </c>
      <c r="F15" s="3">
        <v>0</v>
      </c>
      <c r="G15" s="3">
        <v>0</v>
      </c>
      <c r="H15" s="3">
        <v>0</v>
      </c>
      <c r="I15" s="4">
        <v>0</v>
      </c>
      <c r="J15" s="3">
        <v>6781248</v>
      </c>
      <c r="K15" s="4">
        <v>0</v>
      </c>
      <c r="L15" s="3">
        <v>0</v>
      </c>
      <c r="M15" s="3">
        <v>0</v>
      </c>
      <c r="N15" s="4" t="s">
        <v>24</v>
      </c>
    </row>
    <row r="16" spans="1:14" x14ac:dyDescent="0.2">
      <c r="A16" s="6"/>
      <c r="B16" s="1" t="s">
        <v>28</v>
      </c>
      <c r="C16" s="3">
        <v>12237.25</v>
      </c>
      <c r="D16" s="3">
        <v>12237.25</v>
      </c>
      <c r="E16" s="3">
        <v>34018470</v>
      </c>
      <c r="F16" s="3">
        <v>0</v>
      </c>
      <c r="G16" s="3">
        <v>34018470</v>
      </c>
      <c r="H16" s="3">
        <v>0</v>
      </c>
      <c r="I16" s="4">
        <v>0.31647399999999998</v>
      </c>
      <c r="J16" s="3">
        <v>0</v>
      </c>
      <c r="K16" s="4">
        <v>0</v>
      </c>
      <c r="L16" s="3">
        <v>0</v>
      </c>
      <c r="M16" s="3">
        <v>170.0924</v>
      </c>
      <c r="N16" s="4">
        <v>5.0000000000000004E-6</v>
      </c>
    </row>
    <row r="17" spans="1:14" ht="30" x14ac:dyDescent="0.2">
      <c r="A17" s="6"/>
      <c r="B17" s="1" t="s">
        <v>29</v>
      </c>
      <c r="C17" s="3">
        <v>1302.3699999999999</v>
      </c>
      <c r="D17" s="3">
        <v>1302.3699999999999</v>
      </c>
      <c r="E17" s="3">
        <v>0</v>
      </c>
      <c r="F17" s="3">
        <v>0</v>
      </c>
      <c r="G17" s="3">
        <v>0</v>
      </c>
      <c r="H17" s="3">
        <v>0</v>
      </c>
      <c r="I17" s="4">
        <v>0</v>
      </c>
      <c r="J17" s="3">
        <v>11440020</v>
      </c>
      <c r="K17" s="4">
        <v>0</v>
      </c>
      <c r="L17" s="3">
        <v>0</v>
      </c>
      <c r="M17" s="3">
        <v>0</v>
      </c>
      <c r="N17" s="4" t="s">
        <v>24</v>
      </c>
    </row>
    <row r="18" spans="1:14" x14ac:dyDescent="0.2">
      <c r="A18" s="6"/>
      <c r="B18" s="1" t="s">
        <v>30</v>
      </c>
      <c r="C18" s="3">
        <v>50.2</v>
      </c>
      <c r="D18" s="3">
        <v>50.2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440956.8</v>
      </c>
      <c r="K18" s="4">
        <v>0</v>
      </c>
      <c r="L18" s="3">
        <v>0</v>
      </c>
      <c r="M18" s="3">
        <v>0</v>
      </c>
      <c r="N18" s="4" t="s">
        <v>24</v>
      </c>
    </row>
    <row r="19" spans="1:14" x14ac:dyDescent="0.2">
      <c r="A19" s="6"/>
      <c r="B19" s="1" t="s">
        <v>31</v>
      </c>
      <c r="C19" s="3">
        <v>144</v>
      </c>
      <c r="D19" s="3">
        <v>144</v>
      </c>
      <c r="E19" s="3">
        <v>570517.30000000005</v>
      </c>
      <c r="F19" s="3">
        <v>0</v>
      </c>
      <c r="G19" s="3">
        <v>570517.30000000005</v>
      </c>
      <c r="H19" s="3">
        <v>0</v>
      </c>
      <c r="I19" s="4">
        <v>0.45103900000000002</v>
      </c>
      <c r="J19" s="3">
        <v>0</v>
      </c>
      <c r="K19" s="4">
        <v>0</v>
      </c>
      <c r="L19" s="3">
        <v>0</v>
      </c>
      <c r="M19" s="3">
        <v>2.8525900000000002</v>
      </c>
      <c r="N19" s="4">
        <v>5.0000000000000004E-6</v>
      </c>
    </row>
    <row r="20" spans="1:14" x14ac:dyDescent="0.2">
      <c r="A20" s="6"/>
      <c r="B20" s="1" t="s">
        <v>32</v>
      </c>
      <c r="C20" s="3">
        <v>8320.09</v>
      </c>
      <c r="D20" s="3">
        <v>8320.09</v>
      </c>
      <c r="E20" s="3">
        <v>8141124</v>
      </c>
      <c r="F20" s="3">
        <v>0</v>
      </c>
      <c r="G20" s="3">
        <v>8141124</v>
      </c>
      <c r="H20" s="3">
        <v>0</v>
      </c>
      <c r="I20" s="4">
        <v>0.11139499999999999</v>
      </c>
      <c r="J20" s="3">
        <v>0</v>
      </c>
      <c r="K20" s="4">
        <v>0</v>
      </c>
      <c r="L20" s="3">
        <v>0</v>
      </c>
      <c r="M20" s="3">
        <v>40.705620000000003</v>
      </c>
      <c r="N20" s="4">
        <v>5.0000000000000004E-6</v>
      </c>
    </row>
    <row r="21" spans="1:14" x14ac:dyDescent="0.2">
      <c r="A21" s="6"/>
      <c r="B21" s="1" t="s">
        <v>33</v>
      </c>
      <c r="C21" s="3">
        <v>10.5</v>
      </c>
      <c r="D21" s="3">
        <v>10.5</v>
      </c>
      <c r="E21" s="3">
        <v>19699.66</v>
      </c>
      <c r="F21" s="3">
        <v>0</v>
      </c>
      <c r="G21" s="3">
        <v>19699.66</v>
      </c>
      <c r="H21" s="3">
        <v>0</v>
      </c>
      <c r="I21" s="4">
        <v>0.213589</v>
      </c>
      <c r="J21" s="3">
        <v>0</v>
      </c>
      <c r="K21" s="4">
        <v>0</v>
      </c>
      <c r="L21" s="3">
        <v>0</v>
      </c>
      <c r="M21" s="3">
        <v>9.8500000000000004E-2</v>
      </c>
      <c r="N21" s="4">
        <v>3.9999999999999998E-6</v>
      </c>
    </row>
    <row r="22" spans="1:14" x14ac:dyDescent="0.2">
      <c r="A22" s="6"/>
      <c r="B22" s="1" t="s">
        <v>34</v>
      </c>
      <c r="C22" s="3">
        <v>2022.6</v>
      </c>
      <c r="D22" s="3">
        <v>2022.6</v>
      </c>
      <c r="E22" s="3">
        <v>0</v>
      </c>
      <c r="F22" s="3">
        <v>0</v>
      </c>
      <c r="G22" s="3">
        <v>0</v>
      </c>
      <c r="H22" s="3">
        <v>0</v>
      </c>
      <c r="I22" s="4">
        <v>0</v>
      </c>
      <c r="J22" s="3">
        <v>17766520</v>
      </c>
      <c r="K22" s="4">
        <v>0</v>
      </c>
      <c r="L22" s="3">
        <v>0</v>
      </c>
      <c r="M22" s="3">
        <v>0</v>
      </c>
      <c r="N22" s="4" t="s">
        <v>24</v>
      </c>
    </row>
    <row r="23" spans="1:14" x14ac:dyDescent="0.2">
      <c r="A23" s="7"/>
      <c r="B23" s="1" t="s">
        <v>35</v>
      </c>
      <c r="C23" s="3">
        <v>24</v>
      </c>
      <c r="D23" s="3">
        <v>24</v>
      </c>
      <c r="E23" s="3">
        <v>122658.7</v>
      </c>
      <c r="F23" s="3">
        <v>0</v>
      </c>
      <c r="G23" s="3">
        <v>122658.7</v>
      </c>
      <c r="H23" s="3">
        <v>0</v>
      </c>
      <c r="I23" s="4">
        <v>0.58182800000000001</v>
      </c>
      <c r="J23" s="3">
        <v>0</v>
      </c>
      <c r="K23" s="4">
        <v>0</v>
      </c>
      <c r="L23" s="3">
        <v>0</v>
      </c>
      <c r="M23" s="3">
        <v>0.61329</v>
      </c>
      <c r="N23" s="4">
        <v>5.0000000000000004E-6</v>
      </c>
    </row>
    <row r="24" spans="1:14" x14ac:dyDescent="0.2">
      <c r="A24" s="5" t="s">
        <v>36</v>
      </c>
      <c r="B24" s="1" t="s">
        <v>37</v>
      </c>
      <c r="C24" s="3">
        <v>171000</v>
      </c>
      <c r="D24" s="3">
        <v>171000</v>
      </c>
      <c r="E24" s="3">
        <v>973469400</v>
      </c>
      <c r="F24" s="3">
        <v>174981000</v>
      </c>
      <c r="G24" s="3">
        <v>798488400</v>
      </c>
      <c r="H24" s="3">
        <v>-798488400</v>
      </c>
      <c r="I24" s="4">
        <v>0.76458199999999998</v>
      </c>
      <c r="J24" s="3">
        <v>2300552000</v>
      </c>
      <c r="K24" s="4">
        <v>0</v>
      </c>
      <c r="L24" s="3">
        <v>0</v>
      </c>
      <c r="M24" s="3">
        <v>3992.442</v>
      </c>
      <c r="N24" s="4">
        <v>3.0000000000000001E-6</v>
      </c>
    </row>
    <row r="25" spans="1:14" x14ac:dyDescent="0.2">
      <c r="A25" s="6"/>
      <c r="B25" s="1" t="s">
        <v>38</v>
      </c>
      <c r="C25" s="3">
        <v>31513</v>
      </c>
      <c r="D25" s="3">
        <v>31513</v>
      </c>
      <c r="E25" s="3">
        <v>158626900</v>
      </c>
      <c r="F25" s="3">
        <v>27940110</v>
      </c>
      <c r="G25" s="3">
        <v>130686800</v>
      </c>
      <c r="H25" s="3">
        <v>-130686800</v>
      </c>
      <c r="I25" s="4">
        <v>0.67398899999999995</v>
      </c>
      <c r="J25" s="3">
        <v>407497000</v>
      </c>
      <c r="K25" s="4">
        <v>0</v>
      </c>
      <c r="L25" s="3">
        <v>0</v>
      </c>
      <c r="M25" s="3">
        <v>653.43389999999999</v>
      </c>
      <c r="N25" s="4">
        <v>3.9999999999999998E-6</v>
      </c>
    </row>
    <row r="26" spans="1:14" x14ac:dyDescent="0.2">
      <c r="A26" s="6"/>
      <c r="B26" s="1" t="s">
        <v>47</v>
      </c>
      <c r="C26" s="3">
        <v>38000000</v>
      </c>
      <c r="D26" s="3">
        <v>38000000</v>
      </c>
      <c r="E26" s="3">
        <v>0</v>
      </c>
      <c r="F26" s="3">
        <v>0</v>
      </c>
      <c r="G26" s="3">
        <v>0</v>
      </c>
      <c r="H26" s="3">
        <v>0</v>
      </c>
      <c r="I26" s="4">
        <v>0</v>
      </c>
      <c r="J26" s="3">
        <v>333792000000</v>
      </c>
      <c r="K26" s="4">
        <v>0</v>
      </c>
      <c r="L26" s="3">
        <v>0</v>
      </c>
      <c r="M26" s="3">
        <v>0</v>
      </c>
      <c r="N26" s="4" t="s">
        <v>24</v>
      </c>
    </row>
    <row r="27" spans="1:14" x14ac:dyDescent="0.2">
      <c r="A27" s="7"/>
      <c r="B27" s="1" t="s">
        <v>39</v>
      </c>
      <c r="C27" s="3">
        <v>342000000</v>
      </c>
      <c r="D27" s="3">
        <v>342000000</v>
      </c>
      <c r="E27" s="3">
        <v>0</v>
      </c>
      <c r="F27" s="3">
        <v>128525700</v>
      </c>
      <c r="G27" s="3">
        <v>-128525700</v>
      </c>
      <c r="H27" s="3">
        <v>128525700</v>
      </c>
      <c r="I27" s="4">
        <v>4.3000000000000002E-5</v>
      </c>
      <c r="J27" s="3">
        <v>3003999000000</v>
      </c>
      <c r="K27" s="4">
        <v>0</v>
      </c>
      <c r="L27" s="3">
        <v>1285.2570000000001</v>
      </c>
      <c r="M27" s="3">
        <v>-642.62840000000006</v>
      </c>
      <c r="N27" s="4">
        <v>-5.0000000000000004E-6</v>
      </c>
    </row>
    <row r="28" spans="1:14" x14ac:dyDescent="0.2">
      <c r="A28" s="5" t="s">
        <v>40</v>
      </c>
      <c r="B28" s="1" t="s">
        <v>41</v>
      </c>
      <c r="C28" s="3">
        <v>0</v>
      </c>
      <c r="D28" s="3">
        <v>0</v>
      </c>
      <c r="E28" s="3">
        <v>0</v>
      </c>
      <c r="F28" s="3">
        <v>98130220</v>
      </c>
      <c r="G28" s="3">
        <v>-98130220</v>
      </c>
      <c r="H28" s="3">
        <v>0</v>
      </c>
      <c r="I28" s="4" t="s">
        <v>24</v>
      </c>
      <c r="J28" s="3">
        <v>0</v>
      </c>
      <c r="K28" s="4">
        <v>0</v>
      </c>
      <c r="L28" s="3">
        <v>0</v>
      </c>
      <c r="M28" s="3">
        <v>-490.65109999999999</v>
      </c>
      <c r="N28" s="4">
        <v>-5.0000000000000004E-6</v>
      </c>
    </row>
    <row r="29" spans="1:14" x14ac:dyDescent="0.2">
      <c r="A29" s="6"/>
      <c r="B29" s="1" t="s">
        <v>42</v>
      </c>
      <c r="C29" s="3">
        <v>0</v>
      </c>
      <c r="D29" s="3">
        <v>0</v>
      </c>
      <c r="E29" s="3">
        <v>0</v>
      </c>
      <c r="F29" s="3">
        <v>275586500</v>
      </c>
      <c r="G29" s="3">
        <v>-275586500</v>
      </c>
      <c r="H29" s="3">
        <v>0</v>
      </c>
      <c r="I29" s="4" t="s">
        <v>24</v>
      </c>
      <c r="J29" s="3">
        <v>0</v>
      </c>
      <c r="K29" s="4">
        <v>0</v>
      </c>
      <c r="L29" s="3">
        <v>0</v>
      </c>
      <c r="M29" s="3">
        <v>-1377.932</v>
      </c>
      <c r="N29" s="4">
        <v>-5.0000000000000004E-6</v>
      </c>
    </row>
    <row r="30" spans="1:14" x14ac:dyDescent="0.2">
      <c r="A30" s="7"/>
      <c r="B30" s="1" t="s">
        <v>43</v>
      </c>
      <c r="C30" s="3">
        <v>0</v>
      </c>
      <c r="D30" s="3">
        <v>0</v>
      </c>
      <c r="E30" s="3">
        <v>0</v>
      </c>
      <c r="F30" s="3">
        <v>3385030</v>
      </c>
      <c r="G30" s="3">
        <v>-3385030</v>
      </c>
      <c r="H30" s="3">
        <v>0</v>
      </c>
      <c r="I30" s="4" t="s">
        <v>24</v>
      </c>
      <c r="J30" s="3">
        <v>0</v>
      </c>
      <c r="K30" s="4">
        <v>0</v>
      </c>
      <c r="L30" s="3">
        <v>0</v>
      </c>
      <c r="M30" s="3">
        <v>-24477550</v>
      </c>
      <c r="N30" s="4">
        <v>-7.2311170000000002</v>
      </c>
    </row>
    <row r="31" spans="1:14" x14ac:dyDescent="0.2">
      <c r="A31" s="5" t="s">
        <v>44</v>
      </c>
      <c r="B31" s="1" t="s">
        <v>45</v>
      </c>
      <c r="C31" s="3">
        <v>2070.67</v>
      </c>
      <c r="D31" s="3">
        <v>2070.67</v>
      </c>
      <c r="E31" s="3">
        <v>1955.4570000000001</v>
      </c>
      <c r="F31" s="3">
        <v>0</v>
      </c>
      <c r="G31" s="3">
        <v>1955.4570000000001</v>
      </c>
      <c r="H31" s="3">
        <v>0</v>
      </c>
      <c r="I31" s="4">
        <v>1.08E-4</v>
      </c>
      <c r="J31" s="3">
        <v>18186810</v>
      </c>
      <c r="K31" s="4">
        <v>0</v>
      </c>
      <c r="L31" s="3">
        <v>0</v>
      </c>
      <c r="M31" s="3">
        <v>9.7800000000000005E-3</v>
      </c>
      <c r="N31" s="4" t="s">
        <v>24</v>
      </c>
    </row>
    <row r="32" spans="1:14" ht="30" x14ac:dyDescent="0.2">
      <c r="A32" s="7"/>
      <c r="B32" s="1" t="s">
        <v>46</v>
      </c>
      <c r="C32" s="3">
        <v>2828</v>
      </c>
      <c r="D32" s="3">
        <v>2828</v>
      </c>
      <c r="E32" s="3">
        <v>13235.04</v>
      </c>
      <c r="F32" s="3">
        <v>0</v>
      </c>
      <c r="G32" s="3">
        <v>13235.04</v>
      </c>
      <c r="H32" s="3">
        <v>0</v>
      </c>
      <c r="I32" s="4">
        <v>5.3300000000000005E-4</v>
      </c>
      <c r="J32" s="3">
        <v>24827920</v>
      </c>
      <c r="K32" s="4">
        <v>0</v>
      </c>
      <c r="L32" s="3">
        <v>0</v>
      </c>
      <c r="M32" s="3">
        <v>6.6180000000000003E-2</v>
      </c>
      <c r="N32" s="4">
        <v>6.9999999999999999E-6</v>
      </c>
    </row>
    <row r="33" spans="1:14" x14ac:dyDescent="0.2">
      <c r="A33" s="1" t="s">
        <v>48</v>
      </c>
      <c r="B33" s="1" t="s">
        <v>47</v>
      </c>
      <c r="C33" s="3">
        <v>19000000</v>
      </c>
      <c r="D33" s="3">
        <v>19000000</v>
      </c>
      <c r="E33" s="3">
        <v>0</v>
      </c>
      <c r="F33" s="3">
        <v>0</v>
      </c>
      <c r="G33" s="3">
        <v>0</v>
      </c>
      <c r="H33" s="3">
        <v>0</v>
      </c>
      <c r="I33" s="4">
        <v>0</v>
      </c>
      <c r="J33" s="3">
        <v>0</v>
      </c>
      <c r="K33" s="4">
        <v>0</v>
      </c>
      <c r="L33" s="3">
        <v>0</v>
      </c>
      <c r="M33" s="3">
        <v>0</v>
      </c>
      <c r="N33" s="4" t="s">
        <v>24</v>
      </c>
    </row>
    <row r="34" spans="1:14" x14ac:dyDescent="0.2">
      <c r="I34" s="15" t="s">
        <v>49</v>
      </c>
      <c r="J34" s="13">
        <f>SUM(J3:J33)</f>
        <v>3341273376962.7998</v>
      </c>
      <c r="K34" s="8" t="s">
        <v>52</v>
      </c>
      <c r="L34" s="2">
        <f>SUM(L4:L33)</f>
        <v>594889185.25699997</v>
      </c>
      <c r="M34" s="2">
        <f>SUM(M4:M33)</f>
        <v>570412974.95081985</v>
      </c>
      <c r="N34" s="2">
        <f>SUM(N4:N33)</f>
        <v>19.817811000000003</v>
      </c>
    </row>
    <row r="35" spans="1:14" x14ac:dyDescent="0.2">
      <c r="I35" s="14" t="s">
        <v>50</v>
      </c>
      <c r="J35" s="12">
        <f>SUM(J16,J14)</f>
        <v>0</v>
      </c>
    </row>
    <row r="36" spans="1:14" x14ac:dyDescent="0.2">
      <c r="A36" t="s">
        <v>53</v>
      </c>
      <c r="I36" s="14" t="s">
        <v>51</v>
      </c>
      <c r="J36" s="12">
        <f>SUM(J20)</f>
        <v>0</v>
      </c>
    </row>
    <row r="37" spans="1:14" x14ac:dyDescent="0.2">
      <c r="A37" t="s">
        <v>56</v>
      </c>
      <c r="C37" s="2">
        <f>SUMIFS($D$2:$D$32,$B$2:$B$32, "Solar PV")+SUMIFS($D$2:$D$32,$B$2:$B$32, "Offshore Wind")+SUMIFS($D$2:$D$32,$B$2:$B$32, "Onshore Wind")+SUMIFS($D$2:$D$32,$B$2:$B$32, "Sewage Gas")</f>
        <v>30321.040000000001</v>
      </c>
    </row>
    <row r="38" spans="1:14" x14ac:dyDescent="0.2">
      <c r="A38" t="s">
        <v>54</v>
      </c>
      <c r="C38" s="2">
        <f>SUMIFS($J$2:$J$32,$B$2:$B$32, "Solar PV")+SUMIFS($J$2:$J$32,$B$2:$B$32, "Offshore Wind")+SUMIFS($J$2:$J$32,$B$2:$B$32, "Onshore Wind")+SUMIFS($J$2:$J$32,$B$2:$B$32, "Sewage Gas")</f>
        <v>440956.8</v>
      </c>
    </row>
    <row r="39" spans="1:14" x14ac:dyDescent="0.2">
      <c r="A39" t="s">
        <v>55</v>
      </c>
      <c r="C39" s="2">
        <f>SUMIFS($J$2:$J$32,$B$2:$B$32, "Offshore Wind")+SUMIFS($J$2:$J$32,$B$2:$B$32, "Onshore Wind")</f>
        <v>0</v>
      </c>
    </row>
  </sheetData>
  <autoFilter ref="A1:N33" xr:uid="{9B4D27E0-A6E7-0A4E-A9C8-EA69BF34BB6E}">
    <filterColumn colId="1">
      <filters>
        <filter val="AC"/>
        <filter val="Advanced Biofuel"/>
        <filter val="Battery Storage"/>
        <filter val="Biogas"/>
        <filter val="Biomass"/>
        <filter val="Data Centre"/>
        <filter val="DC"/>
        <filter val="DSM"/>
        <filter val="Electricity"/>
        <filter val="Embedded Solar"/>
        <filter val="Embedded Wind"/>
        <filter val="European Exports"/>
        <filter val="European Imports"/>
        <filter val="Landfill Gas"/>
        <filter val="Large Hydro"/>
        <filter val="Load Shedding"/>
        <filter val="Offshore Wind"/>
        <filter val="Onshore Wind"/>
        <filter val="Open Cycle Gas Turbine"/>
        <filter val="Pumped Storage Hydroelectricity"/>
        <filter val="Sewage Gas"/>
        <filter val="Small Hydro"/>
        <filter val="Solar PV"/>
        <filter val="Tidal Stream"/>
        <filter val="Virtual Link"/>
        <filter val="Waste to Energy"/>
        <filter val="Wave Power"/>
      </filters>
    </filterColumn>
  </autoFilter>
  <mergeCells count="4">
    <mergeCell ref="A2:A23"/>
    <mergeCell ref="A24:A27"/>
    <mergeCell ref="A28:A30"/>
    <mergeCell ref="A31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Inflexible</vt:lpstr>
      <vt:lpstr>Spatial</vt:lpstr>
      <vt:lpstr>Temporal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2026-08-14T15:15:38Z</dcterms:modified>
</cp:coreProperties>
</file>