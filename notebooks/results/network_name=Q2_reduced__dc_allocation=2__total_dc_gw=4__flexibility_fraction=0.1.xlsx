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"/>
    </mc:Choice>
  </mc:AlternateContent>
  <xr:revisionPtr revIDLastSave="0" documentId="13_ncr:1_{31272E8D-65C8-2341-BCAD-4C5174657536}" xr6:coauthVersionLast="47" xr6:coauthVersionMax="47" xr10:uidLastSave="{00000000-0000-0000-0000-000000000000}"/>
  <bookViews>
    <workbookView xWindow="4080" yWindow="600" windowWidth="30240" windowHeight="17400" xr2:uid="{D4188A73-9F76-7B43-A2AE-82D891E862BC}"/>
  </bookViews>
  <sheets>
    <sheet name="Inflexible" sheetId="4" r:id="rId1"/>
    <sheet name="Temporal" sheetId="2" r:id="rId2"/>
    <sheet name="Spatial" sheetId="1" r:id="rId3"/>
    <sheet name="Both" sheetId="3" r:id="rId4"/>
  </sheets>
  <definedNames>
    <definedName name="_xlnm._FilterDatabase" localSheetId="3" hidden="1">Both!$A$1:$N$41</definedName>
    <definedName name="_xlnm._FilterDatabase" localSheetId="0" hidden="1">Inflexible!$A$1:$N$35</definedName>
    <definedName name="_xlnm._FilterDatabase" localSheetId="2" hidden="1">Spatial!$A$1:$N$36</definedName>
    <definedName name="_xlnm._FilterDatabase" localSheetId="1" hidden="1">Temporal!$A$1:$N$37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7" i="3" l="1"/>
  <c r="J35" i="1"/>
  <c r="J34" i="4"/>
  <c r="J36" i="2"/>
  <c r="J33" i="4"/>
  <c r="L33" i="4"/>
  <c r="M33" i="4"/>
  <c r="N33" i="4"/>
  <c r="C41" i="4"/>
  <c r="C40" i="4"/>
  <c r="C39" i="4"/>
  <c r="C41" i="3"/>
  <c r="C40" i="3"/>
  <c r="C39" i="3"/>
  <c r="C41" i="2"/>
  <c r="C40" i="2"/>
  <c r="C39" i="2"/>
  <c r="C39" i="1"/>
  <c r="C40" i="1"/>
  <c r="C41" i="1"/>
  <c r="J37" i="2"/>
  <c r="J38" i="3"/>
  <c r="J36" i="1"/>
  <c r="N36" i="3"/>
  <c r="M36" i="3"/>
  <c r="L36" i="3"/>
  <c r="J36" i="3"/>
  <c r="N35" i="2"/>
  <c r="M35" i="2"/>
  <c r="L35" i="2"/>
  <c r="J35" i="2"/>
  <c r="J35" i="4"/>
  <c r="N34" i="1"/>
  <c r="M34" i="1"/>
  <c r="L34" i="1"/>
  <c r="J34" i="1"/>
</calcChain>
</file>

<file path=xl/sharedStrings.xml><?xml version="1.0" encoding="utf-8"?>
<sst xmlns="http://schemas.openxmlformats.org/spreadsheetml/2006/main" count="310" uniqueCount="66">
  <si>
    <t>Optimal Capacity</t>
  </si>
  <si>
    <t>Installed Capacity</t>
  </si>
  <si>
    <t>Supply</t>
  </si>
  <si>
    <t>Withdrawal</t>
  </si>
  <si>
    <t>Energy Balance</t>
  </si>
  <si>
    <t>Transmission</t>
  </si>
  <si>
    <t>Capacity Factor</t>
  </si>
  <si>
    <t>Curtailment</t>
  </si>
  <si>
    <t>Capital Expenditure</t>
  </si>
  <si>
    <t>Operational Expenditure</t>
  </si>
  <si>
    <t>Revenue</t>
  </si>
  <si>
    <t>Market Value</t>
  </si>
  <si>
    <t>Generator</t>
  </si>
  <si>
    <t>Advanced Biofuel</t>
  </si>
  <si>
    <t>Biogas</t>
  </si>
  <si>
    <t>Biomass</t>
  </si>
  <si>
    <t>Combined Cycle Gas Turbine</t>
  </si>
  <si>
    <t>European Imports</t>
  </si>
  <si>
    <t>Landfill Gas</t>
  </si>
  <si>
    <t>Large Hydro</t>
  </si>
  <si>
    <t>Load Shedding</t>
  </si>
  <si>
    <t>NaN</t>
  </si>
  <si>
    <t>Nuclear</t>
  </si>
  <si>
    <t>Offshore Wind</t>
  </si>
  <si>
    <t>Oil</t>
  </si>
  <si>
    <t>Onshore Wind</t>
  </si>
  <si>
    <t>Open Cycle Gas Turbine</t>
  </si>
  <si>
    <t>Sewage Gas</t>
  </si>
  <si>
    <t>Solar PV</t>
  </si>
  <si>
    <t>Waste to Energy</t>
  </si>
  <si>
    <t>Link</t>
  </si>
  <si>
    <t>AC</t>
  </si>
  <si>
    <t>DC</t>
  </si>
  <si>
    <t>Virtual Link</t>
  </si>
  <si>
    <t>Load</t>
  </si>
  <si>
    <t>Data Centre</t>
  </si>
  <si>
    <t>Electricity</t>
  </si>
  <si>
    <t>StorageUnit</t>
  </si>
  <si>
    <t>Battery Storage</t>
  </si>
  <si>
    <t>Pumped Storage Hydroelectricity</t>
  </si>
  <si>
    <t>DSM</t>
  </si>
  <si>
    <t>Store</t>
  </si>
  <si>
    <t>total curtailment:</t>
  </si>
  <si>
    <t>wind curtailment:</t>
  </si>
  <si>
    <t>solar curtailment:</t>
  </si>
  <si>
    <t>total:</t>
  </si>
  <si>
    <t>Summary</t>
  </si>
  <si>
    <t>Total Green Energy curtailment:</t>
  </si>
  <si>
    <t>Total Wind Energy Curtailment:</t>
  </si>
  <si>
    <t>Total Green Capacity:</t>
  </si>
  <si>
    <t>Combined Heat &amp; Power</t>
  </si>
  <si>
    <t>Gas Engine</t>
  </si>
  <si>
    <t>Geothermal</t>
  </si>
  <si>
    <t>Marine Energy</t>
  </si>
  <si>
    <t>Line</t>
  </si>
  <si>
    <t>Electrolysis</t>
  </si>
  <si>
    <t>H2 Power Generation</t>
  </si>
  <si>
    <t>Domestic Battery Storage</t>
  </si>
  <si>
    <t>Liquid Air Energy Storage</t>
  </si>
  <si>
    <t>Hydrogen Gas</t>
  </si>
  <si>
    <t xml:space="preserve">Optimal objective 4.78840493e+07 </t>
  </si>
  <si>
    <t>INFO:gurobipy:Optimal objective 4.78840493e+07</t>
  </si>
  <si>
    <t xml:space="preserve">Optimal objective 4.81281538e+07 </t>
  </si>
  <si>
    <t>INFO:gurobipy:Optimal objective 4.81281538e+07</t>
  </si>
  <si>
    <t xml:space="preserve">Optimal objective 4.81906149e+07 </t>
  </si>
  <si>
    <t>INFO:gurobipy:Optimal objective 4.81906149e+07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</si>
</sst>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1" fontId="0" fillId="0" borderId="0" xfId="0" applyNumberFormat="1"/>
    <xf numFmtId="11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5" xfId="0" applyBorder="1"/>
    <xf numFmtId="11" fontId="0" fillId="0" borderId="6" xfId="0" applyNumberFormat="1" applyBorder="1"/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2E32-7E17-D640-8808-61170EE7E9D2}">
  <dimension ref="A1:N44"/>
  <sheetViews>
    <sheetView tabSelected="1" topLeftCell="A12" workbookViewId="0">
      <selection activeCell="A43" sqref="A43:A44"/>
    </sheetView>
  </sheetViews>
  <sheetFormatPr baseColWidth="10" defaultColWidth="16" defaultRowHeight="16" x14ac:dyDescent="0.2"/>
  <cols>
    <col min="1" max="1" width="8.5" customWidth="1"/>
    <col min="2" max="2" width="19.5" customWidth="1"/>
    <col min="3" max="3" width="21.33203125" customWidth="1"/>
    <col min="4" max="4" width="22.6640625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4">
        <v>372.43929000000003</v>
      </c>
      <c r="D2" s="4">
        <v>372.43929000000003</v>
      </c>
      <c r="E2" s="3">
        <v>0</v>
      </c>
      <c r="F2" s="3">
        <v>0</v>
      </c>
      <c r="G2" s="3">
        <v>0</v>
      </c>
      <c r="H2" s="3">
        <v>0</v>
      </c>
      <c r="I2" s="4">
        <v>0</v>
      </c>
      <c r="J2" s="3">
        <v>804841.3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1"/>
      <c r="B3" s="1" t="s">
        <v>14</v>
      </c>
      <c r="C3" s="4">
        <v>1642.8915400000001</v>
      </c>
      <c r="D3" s="4">
        <v>1642.8915400000001</v>
      </c>
      <c r="E3" s="3">
        <v>0</v>
      </c>
      <c r="F3" s="3">
        <v>0</v>
      </c>
      <c r="G3" s="3">
        <v>0</v>
      </c>
      <c r="H3" s="3">
        <v>0</v>
      </c>
      <c r="I3" s="4">
        <v>0</v>
      </c>
      <c r="J3" s="3">
        <v>3550289</v>
      </c>
      <c r="K3" s="4">
        <v>0</v>
      </c>
      <c r="L3" s="3">
        <v>0</v>
      </c>
      <c r="M3" s="3">
        <v>0</v>
      </c>
      <c r="N3" s="4" t="s">
        <v>21</v>
      </c>
    </row>
    <row r="4" spans="1:14" x14ac:dyDescent="0.2">
      <c r="A4" s="11"/>
      <c r="B4" s="1" t="s">
        <v>15</v>
      </c>
      <c r="C4" s="4">
        <v>9185.8067100000007</v>
      </c>
      <c r="D4" s="4">
        <v>9185.8067100000007</v>
      </c>
      <c r="E4" s="3">
        <v>0</v>
      </c>
      <c r="F4" s="3">
        <v>0</v>
      </c>
      <c r="G4" s="3">
        <v>0</v>
      </c>
      <c r="H4" s="3">
        <v>0</v>
      </c>
      <c r="I4" s="4">
        <v>0</v>
      </c>
      <c r="J4" s="3">
        <v>19850530</v>
      </c>
      <c r="K4" s="4">
        <v>0</v>
      </c>
      <c r="L4" s="3">
        <v>0</v>
      </c>
      <c r="M4" s="3">
        <v>0</v>
      </c>
      <c r="N4" s="4" t="s">
        <v>21</v>
      </c>
    </row>
    <row r="5" spans="1:14" ht="30" x14ac:dyDescent="0.2">
      <c r="A5" s="11"/>
      <c r="B5" s="1" t="s">
        <v>16</v>
      </c>
      <c r="C5" s="4">
        <v>23586</v>
      </c>
      <c r="D5" s="4">
        <v>23586</v>
      </c>
      <c r="E5" s="3">
        <v>0</v>
      </c>
      <c r="F5" s="3">
        <v>0</v>
      </c>
      <c r="G5" s="3">
        <v>0</v>
      </c>
      <c r="H5" s="3">
        <v>0</v>
      </c>
      <c r="I5" s="4">
        <v>0</v>
      </c>
      <c r="J5" s="3">
        <v>50969350</v>
      </c>
      <c r="K5" s="4">
        <v>0</v>
      </c>
      <c r="L5" s="3">
        <v>0</v>
      </c>
      <c r="M5" s="3">
        <v>0</v>
      </c>
      <c r="N5" s="4" t="s">
        <v>21</v>
      </c>
    </row>
    <row r="6" spans="1:14" x14ac:dyDescent="0.2">
      <c r="A6" s="11"/>
      <c r="B6" s="1" t="s">
        <v>50</v>
      </c>
      <c r="C6" s="4">
        <v>3534.0360000000001</v>
      </c>
      <c r="D6" s="4">
        <v>3534.0360000000001</v>
      </c>
      <c r="E6" s="3">
        <v>0</v>
      </c>
      <c r="F6" s="3">
        <v>0</v>
      </c>
      <c r="G6" s="3">
        <v>0</v>
      </c>
      <c r="H6" s="3">
        <v>0</v>
      </c>
      <c r="I6" s="4">
        <v>0</v>
      </c>
      <c r="J6" s="3">
        <v>7637052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1"/>
      <c r="B7" s="1" t="s">
        <v>17</v>
      </c>
      <c r="C7" s="4">
        <v>13695</v>
      </c>
      <c r="D7" s="4">
        <v>13695</v>
      </c>
      <c r="E7" s="3">
        <v>3957175</v>
      </c>
      <c r="F7" s="3">
        <v>0</v>
      </c>
      <c r="G7" s="3">
        <v>3957175</v>
      </c>
      <c r="H7" s="3">
        <v>0</v>
      </c>
      <c r="I7" s="4">
        <v>0.133711</v>
      </c>
      <c r="J7" s="3">
        <v>25637720</v>
      </c>
      <c r="K7" s="4">
        <v>0</v>
      </c>
      <c r="L7" s="3">
        <v>28625940</v>
      </c>
      <c r="M7" s="3">
        <v>28625940</v>
      </c>
      <c r="N7" s="4">
        <v>7.2339349999999998</v>
      </c>
    </row>
    <row r="8" spans="1:14" x14ac:dyDescent="0.2">
      <c r="A8" s="11"/>
      <c r="B8" s="1" t="s">
        <v>51</v>
      </c>
      <c r="C8" s="4">
        <v>4067.2939999999999</v>
      </c>
      <c r="D8" s="4">
        <v>4067.2939999999999</v>
      </c>
      <c r="E8" s="3">
        <v>0</v>
      </c>
      <c r="F8" s="3">
        <v>0</v>
      </c>
      <c r="G8" s="3">
        <v>0</v>
      </c>
      <c r="H8" s="3">
        <v>0</v>
      </c>
      <c r="I8" s="4">
        <v>0</v>
      </c>
      <c r="J8" s="3">
        <v>8789422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4">
        <v>11</v>
      </c>
      <c r="D9" s="4">
        <v>11</v>
      </c>
      <c r="E9" s="3">
        <v>2818.7350000000001</v>
      </c>
      <c r="F9" s="3">
        <v>0</v>
      </c>
      <c r="G9" s="3">
        <v>2818.7350000000001</v>
      </c>
      <c r="H9" s="3">
        <v>0</v>
      </c>
      <c r="I9" s="4">
        <v>0.118579</v>
      </c>
      <c r="J9" s="3">
        <v>20952.259999999998</v>
      </c>
      <c r="K9" s="4">
        <v>0</v>
      </c>
      <c r="L9" s="3">
        <v>35121.440000000002</v>
      </c>
      <c r="M9" s="3">
        <v>48595.199999999997</v>
      </c>
      <c r="N9" s="4">
        <v>17.240023999999998</v>
      </c>
    </row>
    <row r="10" spans="1:14" x14ac:dyDescent="0.2">
      <c r="A10" s="11"/>
      <c r="B10" s="1" t="s">
        <v>18</v>
      </c>
      <c r="C10" s="4">
        <v>834.51107000000002</v>
      </c>
      <c r="D10" s="4">
        <v>834.51107000000002</v>
      </c>
      <c r="E10" s="3">
        <v>0</v>
      </c>
      <c r="F10" s="3">
        <v>0</v>
      </c>
      <c r="G10" s="3">
        <v>0</v>
      </c>
      <c r="H10" s="3">
        <v>0</v>
      </c>
      <c r="I10" s="4">
        <v>0</v>
      </c>
      <c r="J10" s="3">
        <v>1803378</v>
      </c>
      <c r="K10" s="4">
        <v>0</v>
      </c>
      <c r="L10" s="3">
        <v>0</v>
      </c>
      <c r="M10" s="3">
        <v>0</v>
      </c>
      <c r="N10" s="4" t="s">
        <v>21</v>
      </c>
    </row>
    <row r="11" spans="1:14" x14ac:dyDescent="0.2">
      <c r="A11" s="11"/>
      <c r="B11" s="1" t="s">
        <v>19</v>
      </c>
      <c r="C11" s="4">
        <v>1897.296</v>
      </c>
      <c r="D11" s="4">
        <v>1897.296</v>
      </c>
      <c r="E11" s="3">
        <v>1378079</v>
      </c>
      <c r="F11" s="3">
        <v>0</v>
      </c>
      <c r="G11" s="3">
        <v>1378079</v>
      </c>
      <c r="H11" s="3">
        <v>0</v>
      </c>
      <c r="I11" s="4">
        <v>0.33611200000000002</v>
      </c>
      <c r="J11" s="3">
        <v>261943.9</v>
      </c>
      <c r="K11" s="4">
        <v>0</v>
      </c>
      <c r="L11" s="3">
        <v>0</v>
      </c>
      <c r="M11" s="3">
        <v>6364696</v>
      </c>
      <c r="N11" s="4">
        <v>4.6185280000000004</v>
      </c>
    </row>
    <row r="12" spans="1:14" x14ac:dyDescent="0.2">
      <c r="A12" s="11"/>
      <c r="B12" s="1" t="s">
        <v>20</v>
      </c>
      <c r="C12" s="4">
        <v>48629.190949999997</v>
      </c>
      <c r="D12" s="4">
        <v>48629.190949999997</v>
      </c>
      <c r="E12" s="3">
        <v>0</v>
      </c>
      <c r="F12" s="3">
        <v>0</v>
      </c>
      <c r="G12" s="3">
        <v>0</v>
      </c>
      <c r="H12" s="3">
        <v>0</v>
      </c>
      <c r="I12" s="4">
        <v>0</v>
      </c>
      <c r="J12" s="3">
        <v>49149160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4">
        <v>254.358</v>
      </c>
      <c r="D13" s="4">
        <v>254.358</v>
      </c>
      <c r="E13" s="3">
        <v>225097.2</v>
      </c>
      <c r="F13" s="3">
        <v>0</v>
      </c>
      <c r="G13" s="3">
        <v>225097.2</v>
      </c>
      <c r="H13" s="3">
        <v>0</v>
      </c>
      <c r="I13" s="4">
        <v>0.40951500000000002</v>
      </c>
      <c r="J13" s="3">
        <v>37534.44</v>
      </c>
      <c r="K13" s="4">
        <v>0</v>
      </c>
      <c r="L13" s="3">
        <v>0</v>
      </c>
      <c r="M13" s="3">
        <v>978273.7</v>
      </c>
      <c r="N13" s="4">
        <v>4.3460049999999999</v>
      </c>
    </row>
    <row r="14" spans="1:14" x14ac:dyDescent="0.2">
      <c r="A14" s="11"/>
      <c r="B14" s="1" t="s">
        <v>22</v>
      </c>
      <c r="C14" s="4">
        <v>4570</v>
      </c>
      <c r="D14" s="4">
        <v>4570</v>
      </c>
      <c r="E14" s="3">
        <v>1903697</v>
      </c>
      <c r="F14" s="3">
        <v>0</v>
      </c>
      <c r="G14" s="3">
        <v>1903697</v>
      </c>
      <c r="H14" s="3">
        <v>0</v>
      </c>
      <c r="I14" s="4">
        <v>0.19276399999999999</v>
      </c>
      <c r="J14" s="3">
        <v>7972073</v>
      </c>
      <c r="K14" s="4">
        <v>0</v>
      </c>
      <c r="L14" s="3">
        <v>19036970</v>
      </c>
      <c r="M14" s="3">
        <v>28064850</v>
      </c>
      <c r="N14" s="4">
        <v>14.742292000000001</v>
      </c>
    </row>
    <row r="15" spans="1:14" x14ac:dyDescent="0.2">
      <c r="A15" s="11"/>
      <c r="B15" s="1" t="s">
        <v>23</v>
      </c>
      <c r="C15" s="4">
        <v>53544.201999999997</v>
      </c>
      <c r="D15" s="4">
        <v>53544.201999999997</v>
      </c>
      <c r="E15" s="3">
        <v>22848870</v>
      </c>
      <c r="F15" s="3">
        <v>0</v>
      </c>
      <c r="G15" s="3">
        <v>22848870</v>
      </c>
      <c r="H15" s="3">
        <v>0</v>
      </c>
      <c r="I15" s="4">
        <v>0.197468</v>
      </c>
      <c r="J15" s="3">
        <v>7304176</v>
      </c>
      <c r="K15" s="4">
        <v>0</v>
      </c>
      <c r="L15" s="3">
        <v>0</v>
      </c>
      <c r="M15" s="3">
        <v>42245200</v>
      </c>
      <c r="N15" s="4">
        <v>1.848897</v>
      </c>
    </row>
    <row r="16" spans="1:14" x14ac:dyDescent="0.2">
      <c r="A16" s="11"/>
      <c r="B16" s="1" t="s">
        <v>24</v>
      </c>
      <c r="C16" s="4">
        <v>78.5</v>
      </c>
      <c r="D16" s="4">
        <v>78.5</v>
      </c>
      <c r="E16" s="3">
        <v>0</v>
      </c>
      <c r="F16" s="3">
        <v>0</v>
      </c>
      <c r="G16" s="3">
        <v>0</v>
      </c>
      <c r="H16" s="3">
        <v>0</v>
      </c>
      <c r="I16" s="4">
        <v>0</v>
      </c>
      <c r="J16" s="3">
        <v>169638.5</v>
      </c>
      <c r="K16" s="4">
        <v>0</v>
      </c>
      <c r="L16" s="3">
        <v>0</v>
      </c>
      <c r="M16" s="3">
        <v>0</v>
      </c>
      <c r="N16" s="4" t="s">
        <v>21</v>
      </c>
    </row>
    <row r="17" spans="1:14" ht="30" customHeight="1" x14ac:dyDescent="0.2">
      <c r="A17" s="11"/>
      <c r="B17" s="1" t="s">
        <v>25</v>
      </c>
      <c r="C17" s="4">
        <v>27270.741000000002</v>
      </c>
      <c r="D17" s="4">
        <v>27270.741000000002</v>
      </c>
      <c r="E17" s="3">
        <v>9879102</v>
      </c>
      <c r="F17" s="3">
        <v>0</v>
      </c>
      <c r="G17" s="3">
        <v>9879102</v>
      </c>
      <c r="H17" s="3">
        <v>0</v>
      </c>
      <c r="I17" s="4">
        <v>0.16763500000000001</v>
      </c>
      <c r="J17" s="3">
        <v>3205515</v>
      </c>
      <c r="K17" s="4">
        <v>0</v>
      </c>
      <c r="L17" s="3">
        <v>0</v>
      </c>
      <c r="M17" s="3">
        <v>15537000</v>
      </c>
      <c r="N17" s="4">
        <v>1.5727139999999999</v>
      </c>
    </row>
    <row r="18" spans="1:14" x14ac:dyDescent="0.2">
      <c r="A18" s="11"/>
      <c r="B18" s="1" t="s">
        <v>26</v>
      </c>
      <c r="C18" s="4">
        <v>3662.89</v>
      </c>
      <c r="D18" s="4">
        <v>3662.89</v>
      </c>
      <c r="E18" s="3">
        <v>0</v>
      </c>
      <c r="F18" s="3">
        <v>0</v>
      </c>
      <c r="G18" s="3">
        <v>0</v>
      </c>
      <c r="H18" s="3">
        <v>0</v>
      </c>
      <c r="I18" s="4">
        <v>0</v>
      </c>
      <c r="J18" s="3">
        <v>7915505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1"/>
      <c r="B19" s="1" t="s">
        <v>27</v>
      </c>
      <c r="C19" s="4">
        <v>55.819389999999999</v>
      </c>
      <c r="D19" s="4">
        <v>55.819389999999999</v>
      </c>
      <c r="E19" s="3">
        <v>0</v>
      </c>
      <c r="F19" s="3">
        <v>0</v>
      </c>
      <c r="G19" s="3">
        <v>0</v>
      </c>
      <c r="H19" s="3">
        <v>0</v>
      </c>
      <c r="I19" s="4">
        <v>0</v>
      </c>
      <c r="J19" s="3">
        <v>120625.7</v>
      </c>
      <c r="K19" s="4">
        <v>0</v>
      </c>
      <c r="L19" s="3">
        <v>0</v>
      </c>
      <c r="M19" s="3">
        <v>0</v>
      </c>
      <c r="N19" s="4" t="s">
        <v>21</v>
      </c>
    </row>
    <row r="20" spans="1:14" x14ac:dyDescent="0.2">
      <c r="A20" s="11"/>
      <c r="B20" s="1" t="s">
        <v>28</v>
      </c>
      <c r="C20" s="4">
        <v>40470.421999999999</v>
      </c>
      <c r="D20" s="4">
        <v>40470.421999999999</v>
      </c>
      <c r="E20" s="3">
        <v>16457550</v>
      </c>
      <c r="F20" s="3">
        <v>0</v>
      </c>
      <c r="G20" s="3">
        <v>16457550</v>
      </c>
      <c r="H20" s="3">
        <v>0</v>
      </c>
      <c r="I20" s="4">
        <v>0.18817999999999999</v>
      </c>
      <c r="J20" s="3">
        <v>2254347</v>
      </c>
      <c r="K20" s="4">
        <v>0</v>
      </c>
      <c r="L20" s="3">
        <v>0</v>
      </c>
      <c r="M20" s="3">
        <v>52444200</v>
      </c>
      <c r="N20" s="4">
        <v>3.1866349999999999</v>
      </c>
    </row>
    <row r="21" spans="1:14" x14ac:dyDescent="0.2">
      <c r="A21" s="12"/>
      <c r="B21" s="1" t="s">
        <v>29</v>
      </c>
      <c r="C21" s="4">
        <v>4643.1779999999999</v>
      </c>
      <c r="D21" s="4">
        <v>4643.1779999999999</v>
      </c>
      <c r="E21" s="3">
        <v>0</v>
      </c>
      <c r="F21" s="3">
        <v>0</v>
      </c>
      <c r="G21" s="3">
        <v>0</v>
      </c>
      <c r="H21" s="3">
        <v>0</v>
      </c>
      <c r="I21" s="4">
        <v>0</v>
      </c>
      <c r="J21" s="3">
        <v>10033910</v>
      </c>
      <c r="K21" s="4">
        <v>0</v>
      </c>
      <c r="L21" s="3">
        <v>0</v>
      </c>
      <c r="M21" s="3">
        <v>0</v>
      </c>
      <c r="N21" s="4" t="s">
        <v>21</v>
      </c>
    </row>
    <row r="22" spans="1:14" x14ac:dyDescent="0.2">
      <c r="A22" s="1" t="s">
        <v>54</v>
      </c>
      <c r="B22" s="1" t="s">
        <v>31</v>
      </c>
      <c r="C22" s="4">
        <v>230800</v>
      </c>
      <c r="D22" s="4">
        <v>230800</v>
      </c>
      <c r="E22" s="3">
        <v>40463280</v>
      </c>
      <c r="F22" s="3">
        <v>21522060</v>
      </c>
      <c r="G22" s="3">
        <v>18941220</v>
      </c>
      <c r="H22" s="3">
        <v>-18941220</v>
      </c>
      <c r="I22" s="4">
        <v>0.124279</v>
      </c>
      <c r="J22" s="3">
        <v>0</v>
      </c>
      <c r="K22" s="4">
        <v>0</v>
      </c>
      <c r="L22" s="3">
        <v>0</v>
      </c>
      <c r="M22" s="3">
        <v>125385600</v>
      </c>
      <c r="N22" s="4">
        <v>2.0228269999999999</v>
      </c>
    </row>
    <row r="23" spans="1:14" x14ac:dyDescent="0.2">
      <c r="A23" s="10" t="s">
        <v>30</v>
      </c>
      <c r="B23" s="1" t="s">
        <v>32</v>
      </c>
      <c r="C23" s="4">
        <v>12450</v>
      </c>
      <c r="D23" s="4">
        <v>12450</v>
      </c>
      <c r="E23" s="3">
        <v>9554075</v>
      </c>
      <c r="F23" s="3">
        <v>5495434</v>
      </c>
      <c r="G23" s="3">
        <v>4058641</v>
      </c>
      <c r="H23" s="3">
        <v>-4058641</v>
      </c>
      <c r="I23" s="4">
        <v>0.55936900000000001</v>
      </c>
      <c r="J23" s="3">
        <v>30963090</v>
      </c>
      <c r="K23" s="4">
        <v>0</v>
      </c>
      <c r="L23" s="3">
        <v>0</v>
      </c>
      <c r="M23" s="3">
        <v>48140640</v>
      </c>
      <c r="N23" s="4">
        <v>3.1988180000000002</v>
      </c>
    </row>
    <row r="24" spans="1:14" x14ac:dyDescent="0.2">
      <c r="A24" s="11"/>
      <c r="B24" s="1" t="s">
        <v>55</v>
      </c>
      <c r="C24" s="4">
        <v>3653.0947500000002</v>
      </c>
      <c r="D24" s="4">
        <v>3653.0947500000002</v>
      </c>
      <c r="E24" s="3">
        <v>0</v>
      </c>
      <c r="F24" s="3">
        <v>148082.9</v>
      </c>
      <c r="G24" s="3">
        <v>-148082.9</v>
      </c>
      <c r="H24" s="3">
        <v>0</v>
      </c>
      <c r="I24" s="4">
        <v>1.8758E-2</v>
      </c>
      <c r="J24" s="3">
        <v>7746255</v>
      </c>
      <c r="K24" s="4">
        <v>0</v>
      </c>
      <c r="L24" s="3">
        <v>0</v>
      </c>
      <c r="M24" s="3">
        <v>0</v>
      </c>
      <c r="N24" s="4" t="s">
        <v>21</v>
      </c>
    </row>
    <row r="25" spans="1:14" x14ac:dyDescent="0.2">
      <c r="A25" s="12"/>
      <c r="B25" s="1" t="s">
        <v>56</v>
      </c>
      <c r="C25" s="4">
        <v>278.38099999999997</v>
      </c>
      <c r="D25" s="4">
        <v>278.38099999999997</v>
      </c>
      <c r="E25" s="3">
        <v>0</v>
      </c>
      <c r="F25" s="3">
        <v>98516.42</v>
      </c>
      <c r="G25" s="3">
        <v>-98516.42</v>
      </c>
      <c r="H25" s="3">
        <v>0</v>
      </c>
      <c r="I25" s="4">
        <v>0.16376199999999999</v>
      </c>
      <c r="J25" s="3">
        <v>503064.9</v>
      </c>
      <c r="K25" s="4">
        <v>0</v>
      </c>
      <c r="L25" s="3">
        <v>492582.1</v>
      </c>
      <c r="M25" s="3">
        <v>0</v>
      </c>
      <c r="N25" s="4" t="s">
        <v>21</v>
      </c>
    </row>
    <row r="26" spans="1:14" x14ac:dyDescent="0.2">
      <c r="A26" s="10" t="s">
        <v>34</v>
      </c>
      <c r="B26" s="1" t="s">
        <v>35</v>
      </c>
      <c r="C26" s="4">
        <v>0</v>
      </c>
      <c r="D26" s="4">
        <v>0</v>
      </c>
      <c r="E26" s="3">
        <v>0</v>
      </c>
      <c r="F26" s="3">
        <v>1857387</v>
      </c>
      <c r="G26" s="3">
        <v>-1857387</v>
      </c>
      <c r="H26" s="3">
        <v>0</v>
      </c>
      <c r="I26" s="4" t="s">
        <v>21</v>
      </c>
      <c r="J26" s="3">
        <v>0</v>
      </c>
      <c r="K26" s="4">
        <v>0</v>
      </c>
      <c r="L26" s="3">
        <v>0</v>
      </c>
      <c r="M26" s="3">
        <v>-8010709</v>
      </c>
      <c r="N26" s="4">
        <v>-4.3128929999999999</v>
      </c>
    </row>
    <row r="27" spans="1:14" x14ac:dyDescent="0.2">
      <c r="A27" s="12"/>
      <c r="B27" s="1" t="s">
        <v>36</v>
      </c>
      <c r="C27" s="4">
        <v>0</v>
      </c>
      <c r="D27" s="4">
        <v>0</v>
      </c>
      <c r="E27" s="3">
        <v>0</v>
      </c>
      <c r="F27" s="3">
        <v>49149160</v>
      </c>
      <c r="G27" s="3">
        <v>-49149160</v>
      </c>
      <c r="H27" s="3">
        <v>0</v>
      </c>
      <c r="I27" s="4" t="s">
        <v>21</v>
      </c>
      <c r="J27" s="3">
        <v>0</v>
      </c>
      <c r="K27" s="4">
        <v>0</v>
      </c>
      <c r="L27" s="3">
        <v>0</v>
      </c>
      <c r="M27" s="3">
        <v>-208552800</v>
      </c>
      <c r="N27" s="4">
        <v>-4.2432629999999998</v>
      </c>
    </row>
    <row r="28" spans="1:14" ht="16" customHeight="1" x14ac:dyDescent="0.2">
      <c r="A28" s="10" t="s">
        <v>37</v>
      </c>
      <c r="B28" s="1" t="s">
        <v>38</v>
      </c>
      <c r="C28" s="4">
        <v>26471.973000000002</v>
      </c>
      <c r="D28" s="4">
        <v>26471.973000000002</v>
      </c>
      <c r="E28" s="3">
        <v>2881341</v>
      </c>
      <c r="F28" s="3">
        <v>6629712</v>
      </c>
      <c r="G28" s="3">
        <v>-3748371</v>
      </c>
      <c r="H28" s="3">
        <v>0</v>
      </c>
      <c r="I28" s="4">
        <v>0.16625999999999999</v>
      </c>
      <c r="J28" s="3">
        <v>60954300</v>
      </c>
      <c r="K28" s="4">
        <v>0</v>
      </c>
      <c r="L28" s="3">
        <v>0</v>
      </c>
      <c r="M28" s="3">
        <v>10428280</v>
      </c>
      <c r="N28" s="4">
        <v>1.096438</v>
      </c>
    </row>
    <row r="29" spans="1:14" x14ac:dyDescent="0.2">
      <c r="A29" s="11"/>
      <c r="B29" s="1" t="s">
        <v>57</v>
      </c>
      <c r="C29" s="4">
        <v>857.70799999999997</v>
      </c>
      <c r="D29" s="4">
        <v>857.70799999999997</v>
      </c>
      <c r="E29" s="3">
        <v>132246.6</v>
      </c>
      <c r="F29" s="3">
        <v>281707.40000000002</v>
      </c>
      <c r="G29" s="3">
        <v>-149460.79999999999</v>
      </c>
      <c r="H29" s="3">
        <v>0</v>
      </c>
      <c r="I29" s="4">
        <v>0.22333600000000001</v>
      </c>
      <c r="J29" s="3">
        <v>2002968</v>
      </c>
      <c r="K29" s="4">
        <v>0</v>
      </c>
      <c r="L29" s="3">
        <v>0</v>
      </c>
      <c r="M29" s="3">
        <v>350651.7</v>
      </c>
      <c r="N29" s="4">
        <v>0.84707900000000003</v>
      </c>
    </row>
    <row r="30" spans="1:14" x14ac:dyDescent="0.2">
      <c r="A30" s="11"/>
      <c r="B30" s="1" t="s">
        <v>58</v>
      </c>
      <c r="C30" s="4">
        <v>457.99400000000003</v>
      </c>
      <c r="D30" s="4">
        <v>457.99400000000003</v>
      </c>
      <c r="E30" s="3">
        <v>44195.22</v>
      </c>
      <c r="F30" s="3">
        <v>299541.09999999998</v>
      </c>
      <c r="G30" s="3">
        <v>-255345.9</v>
      </c>
      <c r="H30" s="3">
        <v>0</v>
      </c>
      <c r="I30" s="4">
        <v>0.34730499999999997</v>
      </c>
      <c r="J30" s="3">
        <v>1245071</v>
      </c>
      <c r="K30" s="4">
        <v>0</v>
      </c>
      <c r="L30" s="3">
        <v>0</v>
      </c>
      <c r="M30" s="3">
        <v>305302.7</v>
      </c>
      <c r="N30" s="4">
        <v>0.88818900000000001</v>
      </c>
    </row>
    <row r="31" spans="1:14" ht="30" x14ac:dyDescent="0.2">
      <c r="A31" s="12"/>
      <c r="B31" s="1" t="s">
        <v>39</v>
      </c>
      <c r="C31" s="4">
        <v>5300</v>
      </c>
      <c r="D31" s="4">
        <v>5300</v>
      </c>
      <c r="E31" s="3">
        <v>994511</v>
      </c>
      <c r="F31" s="3">
        <v>2489817</v>
      </c>
      <c r="G31" s="3">
        <v>-1495306</v>
      </c>
      <c r="H31" s="3">
        <v>0</v>
      </c>
      <c r="I31" s="4">
        <v>0.30421999999999999</v>
      </c>
      <c r="J31" s="3">
        <v>12948610</v>
      </c>
      <c r="K31" s="4">
        <v>0</v>
      </c>
      <c r="L31" s="3">
        <v>0</v>
      </c>
      <c r="M31" s="3">
        <v>6270738</v>
      </c>
      <c r="N31" s="4">
        <v>1.799698</v>
      </c>
    </row>
    <row r="32" spans="1:14" x14ac:dyDescent="0.2">
      <c r="A32" s="1" t="s">
        <v>41</v>
      </c>
      <c r="B32" s="1" t="s">
        <v>59</v>
      </c>
      <c r="C32" s="4">
        <v>46768.008000000002</v>
      </c>
      <c r="D32" s="4">
        <v>46768.008000000002</v>
      </c>
      <c r="E32" s="3">
        <v>98362.46</v>
      </c>
      <c r="F32" s="3">
        <v>103504.1</v>
      </c>
      <c r="G32" s="3">
        <v>-5141.59</v>
      </c>
      <c r="H32" s="3">
        <v>0</v>
      </c>
      <c r="I32" s="4">
        <v>0.50873800000000002</v>
      </c>
      <c r="J32" s="3">
        <v>0</v>
      </c>
      <c r="K32" s="4">
        <v>0</v>
      </c>
      <c r="L32" s="3">
        <v>0</v>
      </c>
      <c r="M32" s="3">
        <v>0</v>
      </c>
      <c r="N32" s="4" t="s">
        <v>21</v>
      </c>
    </row>
    <row r="33" spans="1:14" x14ac:dyDescent="0.2">
      <c r="I33" s="9" t="s">
        <v>42</v>
      </c>
      <c r="J33" s="7">
        <f>SUM(J2:J30)</f>
        <v>310902712</v>
      </c>
      <c r="K33" s="5" t="s">
        <v>45</v>
      </c>
      <c r="L33" s="2">
        <f>SUM(L1:L30)</f>
        <v>48190613.539999999</v>
      </c>
      <c r="M33" s="2">
        <f>SUM(M1:M30)</f>
        <v>142355720.29999995</v>
      </c>
      <c r="N33" s="2">
        <f>SUM(N1:N30)</f>
        <v>54.286224999999995</v>
      </c>
    </row>
    <row r="34" spans="1:14" x14ac:dyDescent="0.2">
      <c r="I34" s="8" t="s">
        <v>43</v>
      </c>
      <c r="J34" s="2">
        <f>SUM(J15,J17)</f>
        <v>10509691</v>
      </c>
    </row>
    <row r="35" spans="1:14" x14ac:dyDescent="0.2">
      <c r="I35" s="8" t="s">
        <v>44</v>
      </c>
      <c r="J35" s="2">
        <f>SUM(J20)</f>
        <v>2254347</v>
      </c>
    </row>
    <row r="38" spans="1:14" x14ac:dyDescent="0.2">
      <c r="A38" t="s">
        <v>46</v>
      </c>
    </row>
    <row r="39" spans="1:14" x14ac:dyDescent="0.2">
      <c r="A39" t="s">
        <v>49</v>
      </c>
      <c r="C39" s="2">
        <f>SUMIFS($D$2:$D$34,$B$2:$B$34, "Solar PV")+SUMIFS($D$2:$D$34,$B$2:$B$34, "Offshore Wind")+SUMIFS($D$2:$D$34,$B$2:$B$34, "Onshore Wind")+SUMIFS($D$2:$D$34,$B$2:$B$34, "Sewage Gas")</f>
        <v>121341.18438999999</v>
      </c>
    </row>
    <row r="40" spans="1:14" x14ac:dyDescent="0.2">
      <c r="A40" t="s">
        <v>47</v>
      </c>
      <c r="C40" s="2">
        <f>SUMIFS($J$2:$J$34,$B$2:$B$34, "Solar PV")+SUMIFS($J$2:$J$34,$B$2:$B$34, "Offshore Wind")+SUMIFS($J$2:$J$34,$B$2:$B$34, "Onshore Wind")+SUMIFS($J$2:$J$34,$B$2:$B$34, "Sewage Gas")</f>
        <v>12884663.699999999</v>
      </c>
    </row>
    <row r="41" spans="1:14" x14ac:dyDescent="0.2">
      <c r="A41" t="s">
        <v>48</v>
      </c>
      <c r="C41" s="2">
        <f>SUMIFS($J$2:$J$34,$B$2:$B$34, "Offshore Wind")+SUMIFS($J$2:$J$34,$B$2:$B$34, "Onshore Wind")</f>
        <v>10509691</v>
      </c>
    </row>
    <row r="43" spans="1:14" x14ac:dyDescent="0.2">
      <c r="A43" t="s">
        <v>64</v>
      </c>
    </row>
    <row r="44" spans="1:14" x14ac:dyDescent="0.2">
      <c r="A44" t="s">
        <v>65</v>
      </c>
    </row>
  </sheetData>
  <autoFilter ref="A1:N35" xr:uid="{F4972E32-7E17-D640-8808-61170EE7E9D2}"/>
  <mergeCells count="4">
    <mergeCell ref="A2:A21"/>
    <mergeCell ref="A23:A25"/>
    <mergeCell ref="A26:A27"/>
    <mergeCell ref="A28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F803-EC4E-F842-B68E-528EC71F1DE9}">
  <dimension ref="A1:N41"/>
  <sheetViews>
    <sheetView topLeftCell="A17" workbookViewId="0">
      <selection sqref="A1:N34"/>
    </sheetView>
  </sheetViews>
  <sheetFormatPr baseColWidth="10" defaultRowHeight="16" x14ac:dyDescent="0.2"/>
  <cols>
    <col min="2" max="2" width="16.1640625" customWidth="1"/>
    <col min="3" max="3" width="19.1640625" customWidth="1"/>
    <col min="4" max="4" width="14.6640625" customWidth="1"/>
    <col min="5" max="5" width="13.5" customWidth="1"/>
    <col min="6" max="6" width="14.83203125" customWidth="1"/>
    <col min="7" max="7" width="14.6640625" customWidth="1"/>
    <col min="8" max="8" width="18.6640625" customWidth="1"/>
    <col min="9" max="9" width="20.33203125" customWidth="1"/>
    <col min="10" max="10" width="18.1640625" customWidth="1"/>
    <col min="11" max="11" width="17.5" customWidth="1"/>
    <col min="12" max="12" width="24.5" customWidth="1"/>
    <col min="13" max="13" width="17.5" customWidth="1"/>
    <col min="14" max="14" width="18.1640625" customWidth="1"/>
  </cols>
  <sheetData>
    <row r="1" spans="1:14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3">
        <v>372.4393</v>
      </c>
      <c r="D2" s="3">
        <v>372.4393</v>
      </c>
      <c r="E2" s="3">
        <v>0</v>
      </c>
      <c r="F2" s="3">
        <v>0</v>
      </c>
      <c r="G2" s="3">
        <v>0</v>
      </c>
      <c r="H2" s="3">
        <v>0</v>
      </c>
      <c r="I2" s="4">
        <v>0</v>
      </c>
      <c r="J2" s="3">
        <v>804841.3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1"/>
      <c r="B3" s="1" t="s">
        <v>14</v>
      </c>
      <c r="C3" s="3">
        <v>1642.8920000000001</v>
      </c>
      <c r="D3" s="3">
        <v>1642.8920000000001</v>
      </c>
      <c r="E3" s="3">
        <v>0</v>
      </c>
      <c r="F3" s="3">
        <v>0</v>
      </c>
      <c r="G3" s="3">
        <v>0</v>
      </c>
      <c r="H3" s="3">
        <v>0</v>
      </c>
      <c r="I3" s="4">
        <v>0</v>
      </c>
      <c r="J3" s="3">
        <v>3550289</v>
      </c>
      <c r="K3" s="4">
        <v>0</v>
      </c>
      <c r="L3" s="3">
        <v>0</v>
      </c>
      <c r="M3" s="3">
        <v>0</v>
      </c>
      <c r="N3" s="4" t="s">
        <v>21</v>
      </c>
    </row>
    <row r="4" spans="1:14" x14ac:dyDescent="0.2">
      <c r="A4" s="11"/>
      <c r="B4" s="1" t="s">
        <v>15</v>
      </c>
      <c r="C4" s="3">
        <v>9185.8070000000007</v>
      </c>
      <c r="D4" s="3">
        <v>9185.8070000000007</v>
      </c>
      <c r="E4" s="3">
        <v>0</v>
      </c>
      <c r="F4" s="3">
        <v>0</v>
      </c>
      <c r="G4" s="3">
        <v>0</v>
      </c>
      <c r="H4" s="3">
        <v>0</v>
      </c>
      <c r="I4" s="4">
        <v>0</v>
      </c>
      <c r="J4" s="3">
        <v>19850530</v>
      </c>
      <c r="K4" s="4">
        <v>0</v>
      </c>
      <c r="L4" s="3">
        <v>0</v>
      </c>
      <c r="M4" s="3">
        <v>0</v>
      </c>
      <c r="N4" s="4" t="s">
        <v>21</v>
      </c>
    </row>
    <row r="5" spans="1:14" ht="30" x14ac:dyDescent="0.2">
      <c r="A5" s="11"/>
      <c r="B5" s="1" t="s">
        <v>16</v>
      </c>
      <c r="C5" s="3">
        <v>23586</v>
      </c>
      <c r="D5" s="3">
        <v>23586</v>
      </c>
      <c r="E5" s="3">
        <v>0</v>
      </c>
      <c r="F5" s="3">
        <v>0</v>
      </c>
      <c r="G5" s="3">
        <v>0</v>
      </c>
      <c r="H5" s="3">
        <v>0</v>
      </c>
      <c r="I5" s="4">
        <v>0</v>
      </c>
      <c r="J5" s="3">
        <v>50969350</v>
      </c>
      <c r="K5" s="4">
        <v>0</v>
      </c>
      <c r="L5" s="3">
        <v>0</v>
      </c>
      <c r="M5" s="3">
        <v>0</v>
      </c>
      <c r="N5" s="4" t="s">
        <v>21</v>
      </c>
    </row>
    <row r="6" spans="1:14" ht="30" x14ac:dyDescent="0.2">
      <c r="A6" s="11"/>
      <c r="B6" s="1" t="s">
        <v>50</v>
      </c>
      <c r="C6" s="3">
        <v>3534.0360000000001</v>
      </c>
      <c r="D6" s="3">
        <v>3534.0360000000001</v>
      </c>
      <c r="E6" s="3">
        <v>0</v>
      </c>
      <c r="F6" s="3">
        <v>0</v>
      </c>
      <c r="G6" s="3">
        <v>0</v>
      </c>
      <c r="H6" s="3">
        <v>0</v>
      </c>
      <c r="I6" s="4">
        <v>0</v>
      </c>
      <c r="J6" s="3">
        <v>7637052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1"/>
      <c r="B7" s="1" t="s">
        <v>17</v>
      </c>
      <c r="C7" s="3">
        <v>13695</v>
      </c>
      <c r="D7" s="3">
        <v>13695</v>
      </c>
      <c r="E7" s="3">
        <v>3967114</v>
      </c>
      <c r="F7" s="3">
        <v>0</v>
      </c>
      <c r="G7" s="3">
        <v>3967114</v>
      </c>
      <c r="H7" s="3">
        <v>0</v>
      </c>
      <c r="I7" s="4">
        <v>0.134047</v>
      </c>
      <c r="J7" s="3">
        <v>25627780</v>
      </c>
      <c r="K7" s="4">
        <v>0</v>
      </c>
      <c r="L7" s="3">
        <v>28439710</v>
      </c>
      <c r="M7" s="3">
        <v>28439710</v>
      </c>
      <c r="N7" s="4">
        <v>7.1688650000000003</v>
      </c>
    </row>
    <row r="8" spans="1:14" x14ac:dyDescent="0.2">
      <c r="A8" s="11"/>
      <c r="B8" s="1" t="s">
        <v>51</v>
      </c>
      <c r="C8" s="3">
        <v>4067.2939999999999</v>
      </c>
      <c r="D8" s="3">
        <v>4067.2939999999999</v>
      </c>
      <c r="E8" s="3">
        <v>0</v>
      </c>
      <c r="F8" s="3">
        <v>0</v>
      </c>
      <c r="G8" s="3">
        <v>0</v>
      </c>
      <c r="H8" s="3">
        <v>0</v>
      </c>
      <c r="I8" s="4">
        <v>0</v>
      </c>
      <c r="J8" s="3">
        <v>8789422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3">
        <v>11</v>
      </c>
      <c r="D9" s="3">
        <v>11</v>
      </c>
      <c r="E9" s="3">
        <v>2437.0329999999999</v>
      </c>
      <c r="F9" s="3">
        <v>0</v>
      </c>
      <c r="G9" s="3">
        <v>2437.0329999999999</v>
      </c>
      <c r="H9" s="3">
        <v>0</v>
      </c>
      <c r="I9" s="4">
        <v>0.102521</v>
      </c>
      <c r="J9" s="3">
        <v>21333.97</v>
      </c>
      <c r="K9" s="4">
        <v>0</v>
      </c>
      <c r="L9" s="3">
        <v>30365.43</v>
      </c>
      <c r="M9" s="3">
        <v>43578.57</v>
      </c>
      <c r="N9" s="4">
        <v>17.881878</v>
      </c>
    </row>
    <row r="10" spans="1:14" x14ac:dyDescent="0.2">
      <c r="A10" s="11"/>
      <c r="B10" s="1" t="s">
        <v>18</v>
      </c>
      <c r="C10" s="3">
        <v>834.51110000000006</v>
      </c>
      <c r="D10" s="3">
        <v>834.51110000000006</v>
      </c>
      <c r="E10" s="3">
        <v>0</v>
      </c>
      <c r="F10" s="3">
        <v>0</v>
      </c>
      <c r="G10" s="3">
        <v>0</v>
      </c>
      <c r="H10" s="3">
        <v>0</v>
      </c>
      <c r="I10" s="4">
        <v>0</v>
      </c>
      <c r="J10" s="3">
        <v>1803378</v>
      </c>
      <c r="K10" s="4">
        <v>0</v>
      </c>
      <c r="L10" s="3">
        <v>0</v>
      </c>
      <c r="M10" s="3">
        <v>0</v>
      </c>
      <c r="N10" s="4" t="s">
        <v>21</v>
      </c>
    </row>
    <row r="11" spans="1:14" x14ac:dyDescent="0.2">
      <c r="A11" s="11"/>
      <c r="B11" s="1" t="s">
        <v>19</v>
      </c>
      <c r="C11" s="3">
        <v>1897.296</v>
      </c>
      <c r="D11" s="3">
        <v>1897.296</v>
      </c>
      <c r="E11" s="3">
        <v>1383923</v>
      </c>
      <c r="F11" s="3">
        <v>0</v>
      </c>
      <c r="G11" s="3">
        <v>1383923</v>
      </c>
      <c r="H11" s="3">
        <v>0</v>
      </c>
      <c r="I11" s="4">
        <v>0.337538</v>
      </c>
      <c r="J11" s="3">
        <v>256099.20000000001</v>
      </c>
      <c r="K11" s="4">
        <v>0</v>
      </c>
      <c r="L11" s="3">
        <v>0</v>
      </c>
      <c r="M11" s="3">
        <v>6337991</v>
      </c>
      <c r="N11" s="4">
        <v>4.579726</v>
      </c>
    </row>
    <row r="12" spans="1:14" x14ac:dyDescent="0.2">
      <c r="A12" s="11"/>
      <c r="B12" s="1" t="s">
        <v>20</v>
      </c>
      <c r="C12" s="3">
        <v>48629.19</v>
      </c>
      <c r="D12" s="3">
        <v>48629.19</v>
      </c>
      <c r="E12" s="3">
        <v>0</v>
      </c>
      <c r="F12" s="3">
        <v>0</v>
      </c>
      <c r="G12" s="3">
        <v>0</v>
      </c>
      <c r="H12" s="3">
        <v>0</v>
      </c>
      <c r="I12" s="4">
        <v>0</v>
      </c>
      <c r="J12" s="3">
        <v>49149160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3">
        <v>254.358</v>
      </c>
      <c r="D13" s="3">
        <v>254.358</v>
      </c>
      <c r="E13" s="3">
        <v>225641.4</v>
      </c>
      <c r="F13" s="3">
        <v>0</v>
      </c>
      <c r="G13" s="3">
        <v>225641.4</v>
      </c>
      <c r="H13" s="3">
        <v>0</v>
      </c>
      <c r="I13" s="4">
        <v>0.41050500000000001</v>
      </c>
      <c r="J13" s="3">
        <v>36990.28</v>
      </c>
      <c r="K13" s="4">
        <v>0</v>
      </c>
      <c r="L13" s="3">
        <v>0</v>
      </c>
      <c r="M13" s="3">
        <v>975851.5</v>
      </c>
      <c r="N13" s="4">
        <v>4.3247900000000001</v>
      </c>
    </row>
    <row r="14" spans="1:14" x14ac:dyDescent="0.2">
      <c r="A14" s="11"/>
      <c r="B14" s="1" t="s">
        <v>22</v>
      </c>
      <c r="C14" s="3">
        <v>4570</v>
      </c>
      <c r="D14" s="3">
        <v>4570</v>
      </c>
      <c r="E14" s="3">
        <v>1898263</v>
      </c>
      <c r="F14" s="3">
        <v>0</v>
      </c>
      <c r="G14" s="3">
        <v>1898263</v>
      </c>
      <c r="H14" s="3">
        <v>0</v>
      </c>
      <c r="I14" s="4">
        <v>0.192214</v>
      </c>
      <c r="J14" s="3">
        <v>7977507</v>
      </c>
      <c r="K14" s="4">
        <v>0</v>
      </c>
      <c r="L14" s="3">
        <v>18982630</v>
      </c>
      <c r="M14" s="3">
        <v>27878970</v>
      </c>
      <c r="N14" s="4">
        <v>14.68657</v>
      </c>
    </row>
    <row r="15" spans="1:14" x14ac:dyDescent="0.2">
      <c r="A15" s="11"/>
      <c r="B15" s="1" t="s">
        <v>23</v>
      </c>
      <c r="C15" s="3">
        <v>53544.2</v>
      </c>
      <c r="D15" s="3">
        <v>53544.2</v>
      </c>
      <c r="E15" s="3">
        <v>22676330</v>
      </c>
      <c r="F15" s="3">
        <v>0</v>
      </c>
      <c r="G15" s="3">
        <v>22676330</v>
      </c>
      <c r="H15" s="3">
        <v>0</v>
      </c>
      <c r="I15" s="4">
        <v>0.19597700000000001</v>
      </c>
      <c r="J15" s="3">
        <v>7476719</v>
      </c>
      <c r="K15" s="4">
        <v>0</v>
      </c>
      <c r="L15" s="3">
        <v>0</v>
      </c>
      <c r="M15" s="3">
        <v>42124630</v>
      </c>
      <c r="N15" s="4">
        <v>1.857648</v>
      </c>
    </row>
    <row r="16" spans="1:14" x14ac:dyDescent="0.2">
      <c r="A16" s="11"/>
      <c r="B16" s="1" t="s">
        <v>24</v>
      </c>
      <c r="C16" s="3">
        <v>78.5</v>
      </c>
      <c r="D16" s="3">
        <v>78.5</v>
      </c>
      <c r="E16" s="3">
        <v>0</v>
      </c>
      <c r="F16" s="3">
        <v>0</v>
      </c>
      <c r="G16" s="3">
        <v>0</v>
      </c>
      <c r="H16" s="3">
        <v>0</v>
      </c>
      <c r="I16" s="4">
        <v>0</v>
      </c>
      <c r="J16" s="3">
        <v>169638.5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1"/>
      <c r="B17" s="1" t="s">
        <v>25</v>
      </c>
      <c r="C17" s="3">
        <v>27270.74</v>
      </c>
      <c r="D17" s="3">
        <v>27270.74</v>
      </c>
      <c r="E17" s="3">
        <v>9994484</v>
      </c>
      <c r="F17" s="3">
        <v>0</v>
      </c>
      <c r="G17" s="3">
        <v>9994484</v>
      </c>
      <c r="H17" s="3">
        <v>0</v>
      </c>
      <c r="I17" s="4">
        <v>0.16959299999999999</v>
      </c>
      <c r="J17" s="3">
        <v>3090133</v>
      </c>
      <c r="K17" s="4">
        <v>0</v>
      </c>
      <c r="L17" s="3">
        <v>0</v>
      </c>
      <c r="M17" s="3">
        <v>15471040</v>
      </c>
      <c r="N17" s="4">
        <v>1.5479579999999999</v>
      </c>
    </row>
    <row r="18" spans="1:14" ht="30" x14ac:dyDescent="0.2">
      <c r="A18" s="11"/>
      <c r="B18" s="1" t="s">
        <v>26</v>
      </c>
      <c r="C18" s="3">
        <v>3662.89</v>
      </c>
      <c r="D18" s="3">
        <v>3662.89</v>
      </c>
      <c r="E18" s="3">
        <v>0</v>
      </c>
      <c r="F18" s="3">
        <v>0</v>
      </c>
      <c r="G18" s="3">
        <v>0</v>
      </c>
      <c r="H18" s="3">
        <v>0</v>
      </c>
      <c r="I18" s="4">
        <v>0</v>
      </c>
      <c r="J18" s="3">
        <v>7915505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1"/>
      <c r="B19" s="1" t="s">
        <v>27</v>
      </c>
      <c r="C19" s="3">
        <v>55.819389999999999</v>
      </c>
      <c r="D19" s="3">
        <v>55.819389999999999</v>
      </c>
      <c r="E19" s="3">
        <v>0</v>
      </c>
      <c r="F19" s="3">
        <v>0</v>
      </c>
      <c r="G19" s="3">
        <v>0</v>
      </c>
      <c r="H19" s="3">
        <v>0</v>
      </c>
      <c r="I19" s="4">
        <v>0</v>
      </c>
      <c r="J19" s="3">
        <v>120625.7</v>
      </c>
      <c r="K19" s="4">
        <v>0</v>
      </c>
      <c r="L19" s="3">
        <v>0</v>
      </c>
      <c r="M19" s="3">
        <v>0</v>
      </c>
      <c r="N19" s="4" t="s">
        <v>21</v>
      </c>
    </row>
    <row r="20" spans="1:14" x14ac:dyDescent="0.2">
      <c r="A20" s="11"/>
      <c r="B20" s="1" t="s">
        <v>28</v>
      </c>
      <c r="C20" s="3">
        <v>40470.42</v>
      </c>
      <c r="D20" s="3">
        <v>40470.42</v>
      </c>
      <c r="E20" s="3">
        <v>16443110</v>
      </c>
      <c r="F20" s="3">
        <v>0</v>
      </c>
      <c r="G20" s="3">
        <v>16443110</v>
      </c>
      <c r="H20" s="3">
        <v>0</v>
      </c>
      <c r="I20" s="4">
        <v>0.18801499999999999</v>
      </c>
      <c r="J20" s="3">
        <v>2268780</v>
      </c>
      <c r="K20" s="4">
        <v>0</v>
      </c>
      <c r="L20" s="3">
        <v>0</v>
      </c>
      <c r="M20" s="3">
        <v>52528890</v>
      </c>
      <c r="N20" s="4">
        <v>3.1945830000000002</v>
      </c>
    </row>
    <row r="21" spans="1:14" x14ac:dyDescent="0.2">
      <c r="A21" s="12"/>
      <c r="B21" s="1" t="s">
        <v>29</v>
      </c>
      <c r="C21" s="3">
        <v>4643.1779999999999</v>
      </c>
      <c r="D21" s="3">
        <v>4643.1779999999999</v>
      </c>
      <c r="E21" s="3">
        <v>0</v>
      </c>
      <c r="F21" s="3">
        <v>0</v>
      </c>
      <c r="G21" s="3">
        <v>0</v>
      </c>
      <c r="H21" s="3">
        <v>0</v>
      </c>
      <c r="I21" s="4">
        <v>0</v>
      </c>
      <c r="J21" s="3">
        <v>10033910</v>
      </c>
      <c r="K21" s="4">
        <v>0</v>
      </c>
      <c r="L21" s="3">
        <v>0</v>
      </c>
      <c r="M21" s="3">
        <v>0</v>
      </c>
      <c r="N21" s="4" t="s">
        <v>21</v>
      </c>
    </row>
    <row r="22" spans="1:14" x14ac:dyDescent="0.2">
      <c r="A22" s="1" t="s">
        <v>54</v>
      </c>
      <c r="B22" s="1" t="s">
        <v>31</v>
      </c>
      <c r="C22" s="3">
        <v>230800</v>
      </c>
      <c r="D22" s="3">
        <v>230800</v>
      </c>
      <c r="E22" s="3">
        <v>40415220</v>
      </c>
      <c r="F22" s="3">
        <v>21645310</v>
      </c>
      <c r="G22" s="3">
        <v>18769910</v>
      </c>
      <c r="H22" s="3">
        <v>-18769910</v>
      </c>
      <c r="I22" s="4">
        <v>0.12443</v>
      </c>
      <c r="J22" s="3">
        <v>0</v>
      </c>
      <c r="K22" s="4">
        <v>0</v>
      </c>
      <c r="L22" s="3">
        <v>0</v>
      </c>
      <c r="M22" s="3">
        <v>124703200</v>
      </c>
      <c r="N22" s="4">
        <v>2.0093809999999999</v>
      </c>
    </row>
    <row r="23" spans="1:14" x14ac:dyDescent="0.2">
      <c r="A23" s="10" t="s">
        <v>30</v>
      </c>
      <c r="B23" s="1" t="s">
        <v>32</v>
      </c>
      <c r="C23" s="3">
        <v>12450</v>
      </c>
      <c r="D23" s="3">
        <v>12450</v>
      </c>
      <c r="E23" s="3">
        <v>9547646</v>
      </c>
      <c r="F23" s="3">
        <v>5478811</v>
      </c>
      <c r="G23" s="3">
        <v>4068835</v>
      </c>
      <c r="H23" s="3">
        <v>-4068835</v>
      </c>
      <c r="I23" s="4">
        <v>0.55851200000000001</v>
      </c>
      <c r="J23" s="3">
        <v>30973290</v>
      </c>
      <c r="K23" s="4">
        <v>0</v>
      </c>
      <c r="L23" s="3">
        <v>0</v>
      </c>
      <c r="M23" s="3">
        <v>47717870</v>
      </c>
      <c r="N23" s="4">
        <v>3.1755900000000001</v>
      </c>
    </row>
    <row r="24" spans="1:14" x14ac:dyDescent="0.2">
      <c r="A24" s="11"/>
      <c r="B24" s="1" t="s">
        <v>40</v>
      </c>
      <c r="C24" s="3">
        <v>26000000</v>
      </c>
      <c r="D24" s="3">
        <v>26000000</v>
      </c>
      <c r="E24" s="3">
        <v>0</v>
      </c>
      <c r="F24" s="3">
        <v>94069.38</v>
      </c>
      <c r="G24" s="3">
        <v>-94069.38</v>
      </c>
      <c r="H24" s="3">
        <v>0</v>
      </c>
      <c r="I24" s="4">
        <v>1.9999999999999999E-6</v>
      </c>
      <c r="J24" s="3">
        <v>56185910000</v>
      </c>
      <c r="K24" s="4">
        <v>0</v>
      </c>
      <c r="L24" s="3">
        <v>0.94069000000000003</v>
      </c>
      <c r="M24" s="3">
        <v>-371096.2</v>
      </c>
      <c r="N24" s="4">
        <v>-3.9449209999999999</v>
      </c>
    </row>
    <row r="25" spans="1:14" x14ac:dyDescent="0.2">
      <c r="A25" s="11"/>
      <c r="B25" s="1" t="s">
        <v>55</v>
      </c>
      <c r="C25" s="3">
        <v>3653.0949999999998</v>
      </c>
      <c r="D25" s="3">
        <v>3653.0949999999998</v>
      </c>
      <c r="E25" s="3">
        <v>0</v>
      </c>
      <c r="F25" s="3">
        <v>148312.70000000001</v>
      </c>
      <c r="G25" s="3">
        <v>-148312.70000000001</v>
      </c>
      <c r="H25" s="3">
        <v>0</v>
      </c>
      <c r="I25" s="4">
        <v>1.8787000000000002E-2</v>
      </c>
      <c r="J25" s="3">
        <v>7746025</v>
      </c>
      <c r="K25" s="4">
        <v>0</v>
      </c>
      <c r="L25" s="3">
        <v>0</v>
      </c>
      <c r="M25" s="3">
        <v>0</v>
      </c>
      <c r="N25" s="4" t="s">
        <v>21</v>
      </c>
    </row>
    <row r="26" spans="1:14" x14ac:dyDescent="0.2">
      <c r="A26" s="12"/>
      <c r="B26" s="1" t="s">
        <v>56</v>
      </c>
      <c r="C26" s="3">
        <v>278.38099999999997</v>
      </c>
      <c r="D26" s="3">
        <v>278.38099999999997</v>
      </c>
      <c r="E26" s="3">
        <v>0</v>
      </c>
      <c r="F26" s="3">
        <v>98582.65</v>
      </c>
      <c r="G26" s="3">
        <v>-98582.65</v>
      </c>
      <c r="H26" s="3">
        <v>0</v>
      </c>
      <c r="I26" s="4">
        <v>0.16387299999999999</v>
      </c>
      <c r="J26" s="3">
        <v>502998.7</v>
      </c>
      <c r="K26" s="4">
        <v>0</v>
      </c>
      <c r="L26" s="3">
        <v>492913.3</v>
      </c>
      <c r="M26" s="3">
        <v>0</v>
      </c>
      <c r="N26" s="4" t="s">
        <v>21</v>
      </c>
    </row>
    <row r="27" spans="1:14" x14ac:dyDescent="0.2">
      <c r="A27" s="10" t="s">
        <v>34</v>
      </c>
      <c r="B27" s="1" t="s">
        <v>35</v>
      </c>
      <c r="C27" s="3">
        <v>0</v>
      </c>
      <c r="D27" s="3">
        <v>0</v>
      </c>
      <c r="E27" s="3">
        <v>0</v>
      </c>
      <c r="F27" s="3">
        <v>1857387</v>
      </c>
      <c r="G27" s="3">
        <v>-1857387</v>
      </c>
      <c r="H27" s="3">
        <v>0</v>
      </c>
      <c r="I27" s="4" t="s">
        <v>21</v>
      </c>
      <c r="J27" s="3">
        <v>0</v>
      </c>
      <c r="K27" s="4">
        <v>0</v>
      </c>
      <c r="L27" s="3">
        <v>0</v>
      </c>
      <c r="M27" s="3">
        <v>-7978737</v>
      </c>
      <c r="N27" s="4">
        <v>-4.2956789999999998</v>
      </c>
    </row>
    <row r="28" spans="1:14" x14ac:dyDescent="0.2">
      <c r="A28" s="12"/>
      <c r="B28" s="1" t="s">
        <v>36</v>
      </c>
      <c r="C28" s="3">
        <v>0</v>
      </c>
      <c r="D28" s="3">
        <v>0</v>
      </c>
      <c r="E28" s="3">
        <v>0</v>
      </c>
      <c r="F28" s="3">
        <v>49149160</v>
      </c>
      <c r="G28" s="3">
        <v>-49149160</v>
      </c>
      <c r="H28" s="3">
        <v>0</v>
      </c>
      <c r="I28" s="4" t="s">
        <v>21</v>
      </c>
      <c r="J28" s="3">
        <v>0</v>
      </c>
      <c r="K28" s="4">
        <v>0</v>
      </c>
      <c r="L28" s="3">
        <v>0</v>
      </c>
      <c r="M28" s="3">
        <v>-207833200</v>
      </c>
      <c r="N28" s="4">
        <v>-4.2286210000000004</v>
      </c>
    </row>
    <row r="29" spans="1:14" x14ac:dyDescent="0.2">
      <c r="A29" s="10" t="s">
        <v>37</v>
      </c>
      <c r="B29" s="1" t="s">
        <v>38</v>
      </c>
      <c r="C29" s="3">
        <v>26471.97</v>
      </c>
      <c r="D29" s="3">
        <v>26471.97</v>
      </c>
      <c r="E29" s="3">
        <v>3013098</v>
      </c>
      <c r="F29" s="3">
        <v>6713338</v>
      </c>
      <c r="G29" s="3">
        <v>-3700240</v>
      </c>
      <c r="H29" s="3">
        <v>0</v>
      </c>
      <c r="I29" s="4">
        <v>0.17002500000000001</v>
      </c>
      <c r="J29" s="3">
        <v>60906170</v>
      </c>
      <c r="K29" s="4">
        <v>0</v>
      </c>
      <c r="L29" s="3">
        <v>0</v>
      </c>
      <c r="M29" s="3">
        <v>10291550</v>
      </c>
      <c r="N29" s="4">
        <v>1.058101</v>
      </c>
    </row>
    <row r="30" spans="1:14" ht="30" x14ac:dyDescent="0.2">
      <c r="A30" s="11"/>
      <c r="B30" s="1" t="s">
        <v>57</v>
      </c>
      <c r="C30" s="3">
        <v>857.70799999999997</v>
      </c>
      <c r="D30" s="3">
        <v>857.70799999999997</v>
      </c>
      <c r="E30" s="3">
        <v>138955.20000000001</v>
      </c>
      <c r="F30" s="3">
        <v>282168.3</v>
      </c>
      <c r="G30" s="3">
        <v>-143213.1</v>
      </c>
      <c r="H30" s="3">
        <v>0</v>
      </c>
      <c r="I30" s="4">
        <v>0.22720399999999999</v>
      </c>
      <c r="J30" s="3">
        <v>1996720</v>
      </c>
      <c r="K30" s="4">
        <v>0</v>
      </c>
      <c r="L30" s="3">
        <v>0</v>
      </c>
      <c r="M30" s="3">
        <v>345697.4</v>
      </c>
      <c r="N30" s="4">
        <v>0.82089299999999998</v>
      </c>
    </row>
    <row r="31" spans="1:14" ht="30" x14ac:dyDescent="0.2">
      <c r="A31" s="11"/>
      <c r="B31" s="1" t="s">
        <v>58</v>
      </c>
      <c r="C31" s="3">
        <v>457.99400000000003</v>
      </c>
      <c r="D31" s="3">
        <v>457.99400000000003</v>
      </c>
      <c r="E31" s="3">
        <v>43396.959999999999</v>
      </c>
      <c r="F31" s="3">
        <v>300893.09999999998</v>
      </c>
      <c r="G31" s="3">
        <v>-257496.2</v>
      </c>
      <c r="H31" s="3">
        <v>0</v>
      </c>
      <c r="I31" s="4">
        <v>0.34786400000000001</v>
      </c>
      <c r="J31" s="3">
        <v>1247221</v>
      </c>
      <c r="K31" s="4">
        <v>0</v>
      </c>
      <c r="L31" s="3">
        <v>0</v>
      </c>
      <c r="M31" s="3">
        <v>301972.3</v>
      </c>
      <c r="N31" s="4">
        <v>0.87708699999999995</v>
      </c>
    </row>
    <row r="32" spans="1:14" ht="30" x14ac:dyDescent="0.2">
      <c r="A32" s="12"/>
      <c r="B32" s="1" t="s">
        <v>39</v>
      </c>
      <c r="C32" s="3">
        <v>5300</v>
      </c>
      <c r="D32" s="3">
        <v>5300</v>
      </c>
      <c r="E32" s="3">
        <v>979439.8</v>
      </c>
      <c r="F32" s="3">
        <v>2465951</v>
      </c>
      <c r="G32" s="3">
        <v>-1486511</v>
      </c>
      <c r="H32" s="3">
        <v>0</v>
      </c>
      <c r="I32" s="4">
        <v>0.30082100000000001</v>
      </c>
      <c r="J32" s="3">
        <v>12939810</v>
      </c>
      <c r="K32" s="4">
        <v>0</v>
      </c>
      <c r="L32" s="3">
        <v>0</v>
      </c>
      <c r="M32" s="3">
        <v>6209552</v>
      </c>
      <c r="N32" s="4">
        <v>1.802278</v>
      </c>
    </row>
    <row r="33" spans="1:14" x14ac:dyDescent="0.2">
      <c r="A33" s="10" t="s">
        <v>41</v>
      </c>
      <c r="B33" s="1" t="s">
        <v>40</v>
      </c>
      <c r="C33" s="3">
        <v>13000000</v>
      </c>
      <c r="D33" s="3">
        <v>13000000</v>
      </c>
      <c r="E33" s="3">
        <v>47034.69</v>
      </c>
      <c r="F33" s="3">
        <v>47034.69</v>
      </c>
      <c r="G33" s="3">
        <v>0</v>
      </c>
      <c r="H33" s="3">
        <v>0</v>
      </c>
      <c r="I33" s="4">
        <v>0.99992499999999995</v>
      </c>
      <c r="J33" s="3">
        <v>0</v>
      </c>
      <c r="K33" s="4">
        <v>0</v>
      </c>
      <c r="L33" s="3">
        <v>0</v>
      </c>
      <c r="M33" s="3">
        <v>0</v>
      </c>
      <c r="N33" s="4" t="s">
        <v>21</v>
      </c>
    </row>
    <row r="34" spans="1:14" x14ac:dyDescent="0.2">
      <c r="A34" s="12"/>
      <c r="B34" s="1" t="s">
        <v>59</v>
      </c>
      <c r="C34" s="3">
        <v>46768.01</v>
      </c>
      <c r="D34" s="3">
        <v>46768.01</v>
      </c>
      <c r="E34" s="3">
        <v>98428.7</v>
      </c>
      <c r="F34" s="3">
        <v>103664.9</v>
      </c>
      <c r="G34" s="3">
        <v>-5236.2120000000004</v>
      </c>
      <c r="H34" s="3">
        <v>0</v>
      </c>
      <c r="I34" s="4">
        <v>0.5181</v>
      </c>
      <c r="J34" s="3">
        <v>0</v>
      </c>
      <c r="K34" s="4">
        <v>0</v>
      </c>
      <c r="L34" s="3">
        <v>0</v>
      </c>
      <c r="M34" s="3">
        <v>0</v>
      </c>
      <c r="N34" s="4" t="s">
        <v>21</v>
      </c>
    </row>
    <row r="35" spans="1:14" x14ac:dyDescent="0.2">
      <c r="I35" s="9" t="s">
        <v>42</v>
      </c>
      <c r="J35" s="7">
        <f>SUM(J2:J32)</f>
        <v>56509771278.649994</v>
      </c>
      <c r="K35" s="5" t="s">
        <v>45</v>
      </c>
      <c r="L35" s="2">
        <f>SUM(L3:L32)</f>
        <v>47945619.67069</v>
      </c>
      <c r="M35" s="2">
        <f>SUM(M3:M32)</f>
        <v>147187469.57000002</v>
      </c>
      <c r="N35" s="2">
        <f>SUM(N3:N32)</f>
        <v>52.516127000000004</v>
      </c>
    </row>
    <row r="36" spans="1:14" x14ac:dyDescent="0.2">
      <c r="I36" s="8" t="s">
        <v>43</v>
      </c>
      <c r="J36" s="2">
        <f>SUM(J15,J17)</f>
        <v>10566852</v>
      </c>
    </row>
    <row r="37" spans="1:14" x14ac:dyDescent="0.2">
      <c r="I37" s="8" t="s">
        <v>44</v>
      </c>
      <c r="J37" s="2">
        <f>SUM(J20)</f>
        <v>2268780</v>
      </c>
    </row>
    <row r="38" spans="1:14" x14ac:dyDescent="0.2">
      <c r="A38" t="s">
        <v>46</v>
      </c>
    </row>
    <row r="39" spans="1:14" x14ac:dyDescent="0.2">
      <c r="A39" t="s">
        <v>49</v>
      </c>
      <c r="C39" s="2">
        <f>SUMIFS($D$2:$D$32,$B$2:$B$32, "Solar PV")+SUMIFS($D$2:$D$32,$B$2:$B$32, "Offshore Wind")+SUMIFS($D$2:$D$32,$B$2:$B$32, "Onshore Wind")+SUMIFS($D$2:$D$32,$B$2:$B$32, "Sewage Gas")</f>
        <v>121341.17939</v>
      </c>
    </row>
    <row r="40" spans="1:14" x14ac:dyDescent="0.2">
      <c r="A40" t="s">
        <v>47</v>
      </c>
      <c r="C40" s="2">
        <f>SUMIFS($J$2:$J$32,$B$2:$B$32, "Solar PV")+SUMIFS($J$2:$J$32,$B$2:$B$32, "Offshore Wind")+SUMIFS($J$2:$J$32,$B$2:$B$32, "Onshore Wind")+SUMIFS($J$2:$J$32,$B$2:$B$32, "Sewage Gas")</f>
        <v>12956257.699999999</v>
      </c>
    </row>
    <row r="41" spans="1:14" x14ac:dyDescent="0.2">
      <c r="A41" t="s">
        <v>48</v>
      </c>
      <c r="C41" s="2">
        <f>SUMIFS($J$2:$J$32,$B$2:$B$32, "Offshore Wind")+SUMIFS($J$2:$J$32,$B$2:$B$32, "Onshore Wind")</f>
        <v>10566852</v>
      </c>
    </row>
  </sheetData>
  <autoFilter ref="A1:N37" xr:uid="{4D4BF803-EC4E-F842-B68E-528EC71F1DE9}"/>
  <mergeCells count="5">
    <mergeCell ref="A33:A34"/>
    <mergeCell ref="A2:A21"/>
    <mergeCell ref="A23:A26"/>
    <mergeCell ref="A27:A28"/>
    <mergeCell ref="A29:A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0A62-B14B-AA4E-B6C1-C6D101FC58CC}">
  <dimension ref="A1:N44"/>
  <sheetViews>
    <sheetView topLeftCell="A18" workbookViewId="0">
      <selection activeCell="B48" sqref="B48"/>
    </sheetView>
  </sheetViews>
  <sheetFormatPr baseColWidth="10" defaultColWidth="16.83203125" defaultRowHeight="16" x14ac:dyDescent="0.2"/>
  <cols>
    <col min="1" max="1" width="10.33203125" customWidth="1"/>
    <col min="3" max="3" width="18.83203125" customWidth="1"/>
    <col min="4" max="4" width="20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3">
        <v>372.4393</v>
      </c>
      <c r="D2" s="3">
        <v>372.4393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804841.3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1"/>
      <c r="B3" s="1" t="s">
        <v>14</v>
      </c>
      <c r="C3" s="3">
        <v>1642.8920000000001</v>
      </c>
      <c r="D3" s="3">
        <v>1642.8920000000001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3550289</v>
      </c>
      <c r="K3" s="4">
        <v>0</v>
      </c>
      <c r="L3" s="3">
        <v>0</v>
      </c>
      <c r="M3" s="3">
        <v>0</v>
      </c>
      <c r="N3" s="4" t="s">
        <v>21</v>
      </c>
    </row>
    <row r="4" spans="1:14" x14ac:dyDescent="0.2">
      <c r="A4" s="11"/>
      <c r="B4" s="1" t="s">
        <v>15</v>
      </c>
      <c r="C4" s="3">
        <v>9185.8070000000007</v>
      </c>
      <c r="D4" s="3">
        <v>9185.8070000000007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19850530</v>
      </c>
      <c r="K4" s="4">
        <v>0</v>
      </c>
      <c r="L4" s="3">
        <v>0</v>
      </c>
      <c r="M4" s="3">
        <v>0</v>
      </c>
      <c r="N4" s="4" t="s">
        <v>21</v>
      </c>
    </row>
    <row r="5" spans="1:14" ht="30" x14ac:dyDescent="0.2">
      <c r="A5" s="11"/>
      <c r="B5" s="1" t="s">
        <v>16</v>
      </c>
      <c r="C5" s="3">
        <v>23586</v>
      </c>
      <c r="D5" s="3">
        <v>23586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50969350</v>
      </c>
      <c r="K5" s="4">
        <v>0</v>
      </c>
      <c r="L5" s="3">
        <v>0</v>
      </c>
      <c r="M5" s="3">
        <v>0</v>
      </c>
      <c r="N5" s="4" t="s">
        <v>21</v>
      </c>
    </row>
    <row r="6" spans="1:14" ht="30" x14ac:dyDescent="0.2">
      <c r="A6" s="11"/>
      <c r="B6" s="1" t="s">
        <v>50</v>
      </c>
      <c r="C6" s="3">
        <v>3534.0360000000001</v>
      </c>
      <c r="D6" s="3">
        <v>3534.0360000000001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7637052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1"/>
      <c r="B7" s="1" t="s">
        <v>17</v>
      </c>
      <c r="C7" s="3">
        <v>13695</v>
      </c>
      <c r="D7" s="3">
        <v>13695</v>
      </c>
      <c r="E7" s="3">
        <v>3922815</v>
      </c>
      <c r="F7" s="3">
        <v>0</v>
      </c>
      <c r="G7" s="3">
        <v>3922815</v>
      </c>
      <c r="H7" s="3">
        <v>0</v>
      </c>
      <c r="I7" s="3">
        <v>0.13255040000000001</v>
      </c>
      <c r="J7" s="3">
        <v>25672080</v>
      </c>
      <c r="K7" s="4">
        <v>0</v>
      </c>
      <c r="L7" s="3">
        <v>28578830</v>
      </c>
      <c r="M7" s="3">
        <v>28578830</v>
      </c>
      <c r="N7" s="4">
        <v>7.2852880000000004</v>
      </c>
    </row>
    <row r="8" spans="1:14" x14ac:dyDescent="0.2">
      <c r="A8" s="11"/>
      <c r="B8" s="1" t="s">
        <v>51</v>
      </c>
      <c r="C8" s="3">
        <v>4067.2939999999999</v>
      </c>
      <c r="D8" s="3">
        <v>4067.2939999999999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8789422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3">
        <v>11</v>
      </c>
      <c r="D9" s="3">
        <v>11</v>
      </c>
      <c r="E9" s="3">
        <v>2814.36</v>
      </c>
      <c r="F9" s="3">
        <v>0</v>
      </c>
      <c r="G9" s="3">
        <v>2814.36</v>
      </c>
      <c r="H9" s="3">
        <v>0</v>
      </c>
      <c r="I9" s="3">
        <v>0.1183945</v>
      </c>
      <c r="J9" s="3">
        <v>20956.64</v>
      </c>
      <c r="K9" s="4">
        <v>0</v>
      </c>
      <c r="L9" s="3">
        <v>35066.93</v>
      </c>
      <c r="M9" s="3">
        <v>48586.28</v>
      </c>
      <c r="N9" s="4">
        <v>17.263725000000001</v>
      </c>
    </row>
    <row r="10" spans="1:14" x14ac:dyDescent="0.2">
      <c r="A10" s="11"/>
      <c r="B10" s="1" t="s">
        <v>18</v>
      </c>
      <c r="C10" s="3">
        <v>834.51110000000006</v>
      </c>
      <c r="D10" s="3">
        <v>834.51110000000006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1803378</v>
      </c>
      <c r="K10" s="4">
        <v>0</v>
      </c>
      <c r="L10" s="3">
        <v>0</v>
      </c>
      <c r="M10" s="3">
        <v>0</v>
      </c>
      <c r="N10" s="4" t="s">
        <v>21</v>
      </c>
    </row>
    <row r="11" spans="1:14" x14ac:dyDescent="0.2">
      <c r="A11" s="11"/>
      <c r="B11" s="1" t="s">
        <v>19</v>
      </c>
      <c r="C11" s="3">
        <v>1897.296</v>
      </c>
      <c r="D11" s="3">
        <v>1897.296</v>
      </c>
      <c r="E11" s="3">
        <v>1368794</v>
      </c>
      <c r="F11" s="3">
        <v>0</v>
      </c>
      <c r="G11" s="3">
        <v>1368794</v>
      </c>
      <c r="H11" s="3">
        <v>0</v>
      </c>
      <c r="I11" s="3">
        <v>0.33384760000000002</v>
      </c>
      <c r="J11" s="3">
        <v>271228.5</v>
      </c>
      <c r="K11" s="4">
        <v>0</v>
      </c>
      <c r="L11" s="3">
        <v>0</v>
      </c>
      <c r="M11" s="3">
        <v>6359108</v>
      </c>
      <c r="N11" s="4">
        <v>4.6457740000000003</v>
      </c>
    </row>
    <row r="12" spans="1:14" x14ac:dyDescent="0.2">
      <c r="A12" s="11"/>
      <c r="B12" s="1" t="s">
        <v>20</v>
      </c>
      <c r="C12" s="3">
        <v>48629.19</v>
      </c>
      <c r="D12" s="3">
        <v>48629.19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49149160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3">
        <v>254.358</v>
      </c>
      <c r="D13" s="3">
        <v>254.358</v>
      </c>
      <c r="E13" s="3">
        <v>224774</v>
      </c>
      <c r="F13" s="3">
        <v>0</v>
      </c>
      <c r="G13" s="3">
        <v>224774</v>
      </c>
      <c r="H13" s="3">
        <v>0</v>
      </c>
      <c r="I13" s="3">
        <v>0.40892709999999999</v>
      </c>
      <c r="J13" s="3">
        <v>37857.68</v>
      </c>
      <c r="K13" s="4">
        <v>0</v>
      </c>
      <c r="L13" s="3">
        <v>0</v>
      </c>
      <c r="M13" s="3">
        <v>978005.8</v>
      </c>
      <c r="N13" s="4">
        <v>4.3510629999999999</v>
      </c>
    </row>
    <row r="14" spans="1:14" x14ac:dyDescent="0.2">
      <c r="A14" s="11"/>
      <c r="B14" s="1" t="s">
        <v>22</v>
      </c>
      <c r="C14" s="3">
        <v>4570</v>
      </c>
      <c r="D14" s="3">
        <v>4570</v>
      </c>
      <c r="E14" s="3">
        <v>1902226</v>
      </c>
      <c r="F14" s="3">
        <v>0</v>
      </c>
      <c r="G14" s="3">
        <v>1902226</v>
      </c>
      <c r="H14" s="3">
        <v>0</v>
      </c>
      <c r="I14" s="3">
        <v>0.1926155</v>
      </c>
      <c r="J14" s="3">
        <v>7973544</v>
      </c>
      <c r="K14" s="4">
        <v>0</v>
      </c>
      <c r="L14" s="3">
        <v>19022260</v>
      </c>
      <c r="M14" s="3">
        <v>28062380</v>
      </c>
      <c r="N14" s="4">
        <v>14.752389000000001</v>
      </c>
    </row>
    <row r="15" spans="1:14" x14ac:dyDescent="0.2">
      <c r="A15" s="11"/>
      <c r="B15" s="1" t="s">
        <v>23</v>
      </c>
      <c r="C15" s="3">
        <v>53544.2</v>
      </c>
      <c r="D15" s="3">
        <v>53544.2</v>
      </c>
      <c r="E15" s="3">
        <v>22504090</v>
      </c>
      <c r="F15" s="3">
        <v>0</v>
      </c>
      <c r="G15" s="3">
        <v>22504090</v>
      </c>
      <c r="H15" s="3">
        <v>0</v>
      </c>
      <c r="I15" s="3">
        <v>0.19448860000000001</v>
      </c>
      <c r="J15" s="3">
        <v>7648956</v>
      </c>
      <c r="K15" s="4">
        <v>0</v>
      </c>
      <c r="L15" s="3">
        <v>0</v>
      </c>
      <c r="M15" s="3">
        <v>42196130</v>
      </c>
      <c r="N15" s="4">
        <v>1.8750420000000001</v>
      </c>
    </row>
    <row r="16" spans="1:14" x14ac:dyDescent="0.2">
      <c r="A16" s="11"/>
      <c r="B16" s="1" t="s">
        <v>24</v>
      </c>
      <c r="C16" s="3">
        <v>78.5</v>
      </c>
      <c r="D16" s="3">
        <v>78.5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169638.5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1"/>
      <c r="B17" s="1" t="s">
        <v>25</v>
      </c>
      <c r="C17" s="3">
        <v>27270.74</v>
      </c>
      <c r="D17" s="3">
        <v>27270.74</v>
      </c>
      <c r="E17" s="3">
        <v>10010800</v>
      </c>
      <c r="F17" s="3">
        <v>0</v>
      </c>
      <c r="G17" s="3">
        <v>10010800</v>
      </c>
      <c r="H17" s="3">
        <v>0</v>
      </c>
      <c r="I17" s="3">
        <v>0.1698701</v>
      </c>
      <c r="J17" s="3">
        <v>3073820</v>
      </c>
      <c r="K17" s="4">
        <v>0</v>
      </c>
      <c r="L17" s="3">
        <v>0</v>
      </c>
      <c r="M17" s="3">
        <v>15490540</v>
      </c>
      <c r="N17" s="4">
        <v>1.547383</v>
      </c>
    </row>
    <row r="18" spans="1:14" ht="30" x14ac:dyDescent="0.2">
      <c r="A18" s="11"/>
      <c r="B18" s="1" t="s">
        <v>26</v>
      </c>
      <c r="C18" s="3">
        <v>3662.89</v>
      </c>
      <c r="D18" s="3">
        <v>3662.89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7915505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1"/>
      <c r="B19" s="1" t="s">
        <v>27</v>
      </c>
      <c r="C19" s="3">
        <v>55.819389999999999</v>
      </c>
      <c r="D19" s="3">
        <v>55.819389999999999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120625.7</v>
      </c>
      <c r="K19" s="4">
        <v>0</v>
      </c>
      <c r="L19" s="3">
        <v>0</v>
      </c>
      <c r="M19" s="3">
        <v>0</v>
      </c>
      <c r="N19" s="4" t="s">
        <v>21</v>
      </c>
    </row>
    <row r="20" spans="1:14" x14ac:dyDescent="0.2">
      <c r="A20" s="11"/>
      <c r="B20" s="1" t="s">
        <v>28</v>
      </c>
      <c r="C20" s="3">
        <v>40470.42</v>
      </c>
      <c r="D20" s="3">
        <v>40470.42</v>
      </c>
      <c r="E20" s="3">
        <v>16488630</v>
      </c>
      <c r="F20" s="3">
        <v>0</v>
      </c>
      <c r="G20" s="3">
        <v>16488630</v>
      </c>
      <c r="H20" s="3">
        <v>0</v>
      </c>
      <c r="I20" s="3">
        <v>0.18853500000000001</v>
      </c>
      <c r="J20" s="3">
        <v>2223265</v>
      </c>
      <c r="K20" s="4">
        <v>0</v>
      </c>
      <c r="L20" s="3">
        <v>0</v>
      </c>
      <c r="M20" s="3">
        <v>52646250</v>
      </c>
      <c r="N20" s="4">
        <v>3.192882</v>
      </c>
    </row>
    <row r="21" spans="1:14" x14ac:dyDescent="0.2">
      <c r="A21" s="12"/>
      <c r="B21" s="1" t="s">
        <v>29</v>
      </c>
      <c r="C21" s="3">
        <v>4643.1779999999999</v>
      </c>
      <c r="D21" s="3">
        <v>4643.1779999999999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10033910</v>
      </c>
      <c r="K21" s="4">
        <v>0</v>
      </c>
      <c r="L21" s="3">
        <v>0</v>
      </c>
      <c r="M21" s="3">
        <v>0</v>
      </c>
      <c r="N21" s="4" t="s">
        <v>21</v>
      </c>
    </row>
    <row r="22" spans="1:14" x14ac:dyDescent="0.2">
      <c r="A22" s="1" t="s">
        <v>54</v>
      </c>
      <c r="B22" s="1" t="s">
        <v>31</v>
      </c>
      <c r="C22" s="3">
        <v>230800</v>
      </c>
      <c r="D22" s="3">
        <v>230800</v>
      </c>
      <c r="E22" s="3">
        <v>40392240</v>
      </c>
      <c r="F22" s="3">
        <v>21413440</v>
      </c>
      <c r="G22" s="3">
        <v>18978800</v>
      </c>
      <c r="H22" s="3">
        <v>-18978800</v>
      </c>
      <c r="I22" s="3">
        <v>0.123919</v>
      </c>
      <c r="J22" s="3">
        <v>0</v>
      </c>
      <c r="K22" s="4">
        <v>0</v>
      </c>
      <c r="L22" s="3">
        <v>0</v>
      </c>
      <c r="M22" s="3">
        <v>125546100</v>
      </c>
      <c r="N22" s="4">
        <v>2.031304</v>
      </c>
    </row>
    <row r="23" spans="1:14" x14ac:dyDescent="0.2">
      <c r="A23" s="10" t="s">
        <v>30</v>
      </c>
      <c r="B23" s="1" t="s">
        <v>32</v>
      </c>
      <c r="C23" s="3">
        <v>12450</v>
      </c>
      <c r="D23" s="3">
        <v>12450</v>
      </c>
      <c r="E23" s="3">
        <v>9485039</v>
      </c>
      <c r="F23" s="3">
        <v>5461639</v>
      </c>
      <c r="G23" s="3">
        <v>4023400</v>
      </c>
      <c r="H23" s="3">
        <v>-4023400</v>
      </c>
      <c r="I23" s="3">
        <v>0.55554669999999995</v>
      </c>
      <c r="J23" s="3">
        <v>30927850</v>
      </c>
      <c r="K23" s="4">
        <v>0</v>
      </c>
      <c r="L23" s="3">
        <v>0</v>
      </c>
      <c r="M23" s="3">
        <v>48093530</v>
      </c>
      <c r="N23" s="4">
        <v>3.2176740000000001</v>
      </c>
    </row>
    <row r="24" spans="1:14" x14ac:dyDescent="0.2">
      <c r="A24" s="11"/>
      <c r="B24" s="1" t="s">
        <v>55</v>
      </c>
      <c r="C24" s="3">
        <v>3653.0949999999998</v>
      </c>
      <c r="D24" s="3">
        <v>3653.0949999999998</v>
      </c>
      <c r="E24" s="3">
        <v>0</v>
      </c>
      <c r="F24" s="3">
        <v>148022.70000000001</v>
      </c>
      <c r="G24" s="3">
        <v>-148022.70000000001</v>
      </c>
      <c r="H24" s="3">
        <v>0</v>
      </c>
      <c r="I24" s="3">
        <v>1.8750490000000002E-2</v>
      </c>
      <c r="J24" s="3">
        <v>7746315</v>
      </c>
      <c r="K24" s="4">
        <v>0</v>
      </c>
      <c r="L24" s="3">
        <v>0</v>
      </c>
      <c r="M24" s="3">
        <v>0</v>
      </c>
      <c r="N24" s="4" t="s">
        <v>21</v>
      </c>
    </row>
    <row r="25" spans="1:14" x14ac:dyDescent="0.2">
      <c r="A25" s="11"/>
      <c r="B25" s="1" t="s">
        <v>56</v>
      </c>
      <c r="C25" s="3">
        <v>278.38099999999997</v>
      </c>
      <c r="D25" s="3">
        <v>278.38099999999997</v>
      </c>
      <c r="E25" s="3">
        <v>0</v>
      </c>
      <c r="F25" s="3">
        <v>98398.6</v>
      </c>
      <c r="G25" s="3">
        <v>-98398.6</v>
      </c>
      <c r="H25" s="3">
        <v>0</v>
      </c>
      <c r="I25" s="3">
        <v>0.16356660000000001</v>
      </c>
      <c r="J25" s="3">
        <v>503182.7</v>
      </c>
      <c r="K25" s="4">
        <v>0</v>
      </c>
      <c r="L25" s="3">
        <v>491993</v>
      </c>
      <c r="M25" s="3">
        <v>0</v>
      </c>
      <c r="N25" s="4" t="s">
        <v>21</v>
      </c>
    </row>
    <row r="26" spans="1:14" x14ac:dyDescent="0.2">
      <c r="A26" s="12"/>
      <c r="B26" s="1" t="s">
        <v>33</v>
      </c>
      <c r="C26" s="3">
        <v>156000000</v>
      </c>
      <c r="D26" s="3">
        <v>156000000</v>
      </c>
      <c r="E26" s="3">
        <v>0</v>
      </c>
      <c r="F26" s="3">
        <v>14270.94</v>
      </c>
      <c r="G26" s="3">
        <v>-14270.94</v>
      </c>
      <c r="H26" s="3">
        <v>14270.94</v>
      </c>
      <c r="I26" s="3">
        <v>4.2332439999999999E-8</v>
      </c>
      <c r="J26" s="3">
        <v>337116000000</v>
      </c>
      <c r="K26" s="4">
        <v>0</v>
      </c>
      <c r="L26" s="3">
        <v>0.14271</v>
      </c>
      <c r="M26" s="3">
        <v>-92750.52</v>
      </c>
      <c r="N26" s="4">
        <v>-6.4992559999999999</v>
      </c>
    </row>
    <row r="27" spans="1:14" x14ac:dyDescent="0.2">
      <c r="A27" s="10" t="s">
        <v>34</v>
      </c>
      <c r="B27" s="1" t="s">
        <v>35</v>
      </c>
      <c r="C27" s="3">
        <v>0</v>
      </c>
      <c r="D27" s="3">
        <v>0</v>
      </c>
      <c r="E27" s="3">
        <v>0</v>
      </c>
      <c r="F27" s="3">
        <v>1857387</v>
      </c>
      <c r="G27" s="3">
        <v>-1857387</v>
      </c>
      <c r="H27" s="3">
        <v>0</v>
      </c>
      <c r="I27" s="4" t="s">
        <v>21</v>
      </c>
      <c r="J27" s="3">
        <v>0</v>
      </c>
      <c r="K27" s="4">
        <v>0</v>
      </c>
      <c r="L27" s="3">
        <v>0</v>
      </c>
      <c r="M27" s="3">
        <v>-8002104</v>
      </c>
      <c r="N27" s="4">
        <v>-4.3082589999999996</v>
      </c>
    </row>
    <row r="28" spans="1:14" x14ac:dyDescent="0.2">
      <c r="A28" s="12"/>
      <c r="B28" s="1" t="s">
        <v>36</v>
      </c>
      <c r="C28" s="3">
        <v>0</v>
      </c>
      <c r="D28" s="3">
        <v>0</v>
      </c>
      <c r="E28" s="3">
        <v>0</v>
      </c>
      <c r="F28" s="3">
        <v>49149160</v>
      </c>
      <c r="G28" s="3">
        <v>-49149160</v>
      </c>
      <c r="H28" s="3">
        <v>0</v>
      </c>
      <c r="I28" s="4" t="s">
        <v>21</v>
      </c>
      <c r="J28" s="3">
        <v>0</v>
      </c>
      <c r="K28" s="4">
        <v>0</v>
      </c>
      <c r="L28" s="3">
        <v>0</v>
      </c>
      <c r="M28" s="3">
        <v>-208486400</v>
      </c>
      <c r="N28" s="4">
        <v>-4.2419120000000001</v>
      </c>
    </row>
    <row r="29" spans="1:14" x14ac:dyDescent="0.2">
      <c r="A29" s="10" t="s">
        <v>37</v>
      </c>
      <c r="B29" s="1" t="s">
        <v>38</v>
      </c>
      <c r="C29" s="3">
        <v>26471.97</v>
      </c>
      <c r="D29" s="3">
        <v>26471.97</v>
      </c>
      <c r="E29" s="3">
        <v>3653195</v>
      </c>
      <c r="F29" s="3">
        <v>7277650</v>
      </c>
      <c r="G29" s="3">
        <v>-3624455</v>
      </c>
      <c r="H29" s="3">
        <v>0</v>
      </c>
      <c r="I29" s="3">
        <v>0.1910789</v>
      </c>
      <c r="J29" s="3">
        <v>60830390</v>
      </c>
      <c r="K29" s="4">
        <v>0</v>
      </c>
      <c r="L29" s="3">
        <v>0</v>
      </c>
      <c r="M29" s="3">
        <v>10363110</v>
      </c>
      <c r="N29" s="4">
        <v>0.94806100000000004</v>
      </c>
    </row>
    <row r="30" spans="1:14" ht="30" x14ac:dyDescent="0.2">
      <c r="A30" s="11"/>
      <c r="B30" s="1" t="s">
        <v>57</v>
      </c>
      <c r="C30" s="3">
        <v>857.70799999999997</v>
      </c>
      <c r="D30" s="3">
        <v>857.70799999999997</v>
      </c>
      <c r="E30" s="3">
        <v>170851.6</v>
      </c>
      <c r="F30" s="3">
        <v>309122.3</v>
      </c>
      <c r="G30" s="3">
        <v>-138270.6</v>
      </c>
      <c r="H30" s="3">
        <v>0</v>
      </c>
      <c r="I30" s="3">
        <v>0.25895439999999997</v>
      </c>
      <c r="J30" s="3">
        <v>1991778</v>
      </c>
      <c r="K30" s="4">
        <v>0</v>
      </c>
      <c r="L30" s="3">
        <v>0</v>
      </c>
      <c r="M30" s="3">
        <v>348198.1</v>
      </c>
      <c r="N30" s="4">
        <v>0.72545199999999999</v>
      </c>
    </row>
    <row r="31" spans="1:14" ht="30" x14ac:dyDescent="0.2">
      <c r="A31" s="11"/>
      <c r="B31" s="1" t="s">
        <v>58</v>
      </c>
      <c r="C31" s="3">
        <v>457.99400000000003</v>
      </c>
      <c r="D31" s="3">
        <v>457.99400000000003</v>
      </c>
      <c r="E31" s="3">
        <v>47191.040000000001</v>
      </c>
      <c r="F31" s="3">
        <v>294476.59999999998</v>
      </c>
      <c r="G31" s="3">
        <v>-247285.6</v>
      </c>
      <c r="H31" s="3">
        <v>0</v>
      </c>
      <c r="I31" s="3">
        <v>0.34521469999999999</v>
      </c>
      <c r="J31" s="3">
        <v>1237011</v>
      </c>
      <c r="K31" s="4">
        <v>0</v>
      </c>
      <c r="L31" s="3">
        <v>0</v>
      </c>
      <c r="M31" s="3">
        <v>302609.7</v>
      </c>
      <c r="N31" s="4">
        <v>0.88568400000000003</v>
      </c>
    </row>
    <row r="32" spans="1:14" ht="30" x14ac:dyDescent="0.2">
      <c r="A32" s="12"/>
      <c r="B32" s="1" t="s">
        <v>39</v>
      </c>
      <c r="C32" s="3">
        <v>5300</v>
      </c>
      <c r="D32" s="3">
        <v>5300</v>
      </c>
      <c r="E32" s="3">
        <v>1145209</v>
      </c>
      <c r="F32" s="3">
        <v>2555356</v>
      </c>
      <c r="G32" s="3">
        <v>-1410147</v>
      </c>
      <c r="H32" s="3">
        <v>0</v>
      </c>
      <c r="I32" s="3">
        <v>0.32310030000000001</v>
      </c>
      <c r="J32" s="3">
        <v>12863450</v>
      </c>
      <c r="K32" s="4">
        <v>0</v>
      </c>
      <c r="L32" s="3">
        <v>0</v>
      </c>
      <c r="M32" s="3">
        <v>6245326</v>
      </c>
      <c r="N32" s="4">
        <v>1.6876679999999999</v>
      </c>
    </row>
    <row r="33" spans="1:14" x14ac:dyDescent="0.2">
      <c r="A33" s="1" t="s">
        <v>41</v>
      </c>
      <c r="B33" s="1" t="s">
        <v>59</v>
      </c>
      <c r="C33" s="3">
        <v>46768.01</v>
      </c>
      <c r="D33" s="3">
        <v>46768.01</v>
      </c>
      <c r="E33" s="3">
        <v>98183.08</v>
      </c>
      <c r="F33" s="3">
        <v>103400.4</v>
      </c>
      <c r="G33" s="3">
        <v>-5217.3130000000001</v>
      </c>
      <c r="H33" s="3">
        <v>0</v>
      </c>
      <c r="I33" s="3">
        <v>0.51622999999999997</v>
      </c>
      <c r="J33" s="3">
        <v>0</v>
      </c>
      <c r="K33" s="4">
        <v>0</v>
      </c>
      <c r="L33" s="3">
        <v>0</v>
      </c>
      <c r="M33" s="3">
        <v>0</v>
      </c>
      <c r="N33" s="4" t="s">
        <v>21</v>
      </c>
    </row>
    <row r="34" spans="1:14" x14ac:dyDescent="0.2">
      <c r="H34" s="6"/>
      <c r="I34" s="9" t="s">
        <v>42</v>
      </c>
      <c r="J34" s="7">
        <f>SUM(J1:J31)</f>
        <v>337426951936.02002</v>
      </c>
      <c r="K34" s="5" t="s">
        <v>45</v>
      </c>
      <c r="L34" s="2">
        <f>SUM(L2:L31)</f>
        <v>48128150.07271</v>
      </c>
      <c r="M34" s="2">
        <f>SUM(M2:M31)</f>
        <v>142432123.35999998</v>
      </c>
      <c r="N34" s="2">
        <f>SUM(N2:N31)</f>
        <v>47.672293999999994</v>
      </c>
    </row>
    <row r="35" spans="1:14" x14ac:dyDescent="0.2">
      <c r="I35" s="8" t="s">
        <v>43</v>
      </c>
      <c r="J35" s="2">
        <f>SUM(J15,J17)</f>
        <v>10722776</v>
      </c>
    </row>
    <row r="36" spans="1:14" x14ac:dyDescent="0.2">
      <c r="I36" s="8" t="s">
        <v>44</v>
      </c>
      <c r="J36" s="2">
        <f>SUM(J20)</f>
        <v>2223265</v>
      </c>
    </row>
    <row r="38" spans="1:14" x14ac:dyDescent="0.2">
      <c r="A38" t="s">
        <v>46</v>
      </c>
    </row>
    <row r="39" spans="1:14" x14ac:dyDescent="0.2">
      <c r="A39" t="s">
        <v>49</v>
      </c>
      <c r="C39" s="2">
        <f>SUMIFS($D$2:$D$34,$B$2:$B$34, "Solar PV")+SUMIFS($D$2:$D$34,$B$2:$B$34, "Offshore Wind")+SUMIFS($D$2:$D$34,$B$2:$B$34, "Onshore Wind")+SUMIFS($D$2:$D$34,$B$2:$B$34, "Sewage Gas")</f>
        <v>121341.17939</v>
      </c>
    </row>
    <row r="40" spans="1:14" x14ac:dyDescent="0.2">
      <c r="A40" t="s">
        <v>47</v>
      </c>
      <c r="C40" s="2">
        <f>SUMIFS($J$2:$J$34,$B$2:$B$34, "Solar PV")+SUMIFS($J$2:$J$34,$B$2:$B$34, "Offshore Wind")+SUMIFS($J$2:$J$34,$B$2:$B$34, "Onshore Wind")+SUMIFS($J$2:$J$34,$B$2:$B$34, "Sewage Gas")</f>
        <v>13066666.699999999</v>
      </c>
    </row>
    <row r="41" spans="1:14" x14ac:dyDescent="0.2">
      <c r="A41" t="s">
        <v>48</v>
      </c>
      <c r="C41" s="2">
        <f>SUMIFS($J$2:$J$34,$B$2:$B$34, "Offshore Wind")+SUMIFS($J$2:$J$34,$B$2:$B$34, "Onshore Wind")</f>
        <v>10722776</v>
      </c>
    </row>
    <row r="43" spans="1:14" x14ac:dyDescent="0.2">
      <c r="A43" t="s">
        <v>62</v>
      </c>
    </row>
    <row r="44" spans="1:14" x14ac:dyDescent="0.2">
      <c r="A44" t="s">
        <v>63</v>
      </c>
    </row>
  </sheetData>
  <autoFilter ref="A1:N36" xr:uid="{274D0A62-B14B-AA4E-B6C1-C6D101FC58CC}"/>
  <mergeCells count="4">
    <mergeCell ref="A2:A21"/>
    <mergeCell ref="A23:A26"/>
    <mergeCell ref="A27:A28"/>
    <mergeCell ref="A29:A32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27E0-A6E7-0A4E-A9C8-EA69BF34BB6E}">
  <dimension ref="A1:N44"/>
  <sheetViews>
    <sheetView topLeftCell="A14" workbookViewId="0">
      <selection activeCell="A43" sqref="A43:A44"/>
    </sheetView>
  </sheetViews>
  <sheetFormatPr baseColWidth="10" defaultColWidth="17.5" defaultRowHeight="16" x14ac:dyDescent="0.2"/>
  <cols>
    <col min="1" max="1" width="11.6640625" customWidth="1"/>
    <col min="2" max="2" width="15.1640625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3">
        <v>372.4393</v>
      </c>
      <c r="D2" s="3">
        <v>372.4393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804841.3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1"/>
      <c r="B3" s="1" t="s">
        <v>14</v>
      </c>
      <c r="C3" s="3">
        <v>1642.8920000000001</v>
      </c>
      <c r="D3" s="3">
        <v>1642.8920000000001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3550289</v>
      </c>
      <c r="K3" s="4">
        <v>0</v>
      </c>
      <c r="L3" s="3">
        <v>0</v>
      </c>
      <c r="M3" s="3">
        <v>0</v>
      </c>
      <c r="N3" s="4" t="s">
        <v>21</v>
      </c>
    </row>
    <row r="4" spans="1:14" x14ac:dyDescent="0.2">
      <c r="A4" s="11"/>
      <c r="B4" s="1" t="s">
        <v>15</v>
      </c>
      <c r="C4" s="3">
        <v>9185.8070000000007</v>
      </c>
      <c r="D4" s="3">
        <v>9185.8070000000007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19850530</v>
      </c>
      <c r="K4" s="4">
        <v>0</v>
      </c>
      <c r="L4" s="3">
        <v>0</v>
      </c>
      <c r="M4" s="3">
        <v>0</v>
      </c>
      <c r="N4" s="4" t="s">
        <v>21</v>
      </c>
    </row>
    <row r="5" spans="1:14" ht="30" x14ac:dyDescent="0.2">
      <c r="A5" s="11"/>
      <c r="B5" s="1" t="s">
        <v>16</v>
      </c>
      <c r="C5" s="3">
        <v>23586</v>
      </c>
      <c r="D5" s="3">
        <v>23586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50969350</v>
      </c>
      <c r="K5" s="4">
        <v>0</v>
      </c>
      <c r="L5" s="3">
        <v>0</v>
      </c>
      <c r="M5" s="3">
        <v>0</v>
      </c>
      <c r="N5" s="4" t="s">
        <v>21</v>
      </c>
    </row>
    <row r="6" spans="1:14" ht="30" x14ac:dyDescent="0.2">
      <c r="A6" s="11"/>
      <c r="B6" s="1" t="s">
        <v>50</v>
      </c>
      <c r="C6" s="3">
        <v>3534.0360000000001</v>
      </c>
      <c r="D6" s="3">
        <v>3534.0360000000001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7637052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1"/>
      <c r="B7" s="1" t="s">
        <v>17</v>
      </c>
      <c r="C7" s="3">
        <v>13695</v>
      </c>
      <c r="D7" s="3">
        <v>13695</v>
      </c>
      <c r="E7" s="3">
        <v>3918559</v>
      </c>
      <c r="F7" s="3">
        <v>0</v>
      </c>
      <c r="G7" s="3">
        <v>3918559</v>
      </c>
      <c r="H7" s="3">
        <v>0</v>
      </c>
      <c r="I7" s="3">
        <v>0.13240660000000001</v>
      </c>
      <c r="J7" s="3">
        <v>25676340</v>
      </c>
      <c r="K7" s="4">
        <v>0</v>
      </c>
      <c r="L7" s="3">
        <v>28394490</v>
      </c>
      <c r="M7" s="3">
        <v>28394490</v>
      </c>
      <c r="N7" s="4">
        <v>7.2461570000000002</v>
      </c>
    </row>
    <row r="8" spans="1:14" x14ac:dyDescent="0.2">
      <c r="A8" s="11"/>
      <c r="B8" s="1" t="s">
        <v>51</v>
      </c>
      <c r="C8" s="3">
        <v>4067.2939999999999</v>
      </c>
      <c r="D8" s="3">
        <v>4067.2939999999999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8789422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1"/>
      <c r="B9" s="1" t="s">
        <v>52</v>
      </c>
      <c r="C9" s="3">
        <v>11</v>
      </c>
      <c r="D9" s="3">
        <v>11</v>
      </c>
      <c r="E9" s="3">
        <v>2440.15</v>
      </c>
      <c r="F9" s="3">
        <v>0</v>
      </c>
      <c r="G9" s="3">
        <v>2440.15</v>
      </c>
      <c r="H9" s="3">
        <v>0</v>
      </c>
      <c r="I9" s="3">
        <v>0.1026527</v>
      </c>
      <c r="J9" s="3">
        <v>21330.85</v>
      </c>
      <c r="K9" s="4">
        <v>0</v>
      </c>
      <c r="L9" s="3">
        <v>30404.27</v>
      </c>
      <c r="M9" s="3">
        <v>43671.79</v>
      </c>
      <c r="N9" s="4">
        <v>17.897120000000001</v>
      </c>
    </row>
    <row r="10" spans="1:14" x14ac:dyDescent="0.2">
      <c r="A10" s="11"/>
      <c r="B10" s="1" t="s">
        <v>18</v>
      </c>
      <c r="C10" s="3">
        <v>834.51110000000006</v>
      </c>
      <c r="D10" s="3">
        <v>834.51110000000006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1803378</v>
      </c>
      <c r="K10" s="4">
        <v>0</v>
      </c>
      <c r="L10" s="3">
        <v>0</v>
      </c>
      <c r="M10" s="3">
        <v>0</v>
      </c>
      <c r="N10" s="4" t="s">
        <v>21</v>
      </c>
    </row>
    <row r="11" spans="1:14" x14ac:dyDescent="0.2">
      <c r="A11" s="11"/>
      <c r="B11" s="1" t="s">
        <v>19</v>
      </c>
      <c r="C11" s="3">
        <v>1897.296</v>
      </c>
      <c r="D11" s="3">
        <v>1897.296</v>
      </c>
      <c r="E11" s="3">
        <v>1359730</v>
      </c>
      <c r="F11" s="3">
        <v>0</v>
      </c>
      <c r="G11" s="3">
        <v>1359730</v>
      </c>
      <c r="H11" s="3">
        <v>0</v>
      </c>
      <c r="I11" s="3">
        <v>0.33163680000000001</v>
      </c>
      <c r="J11" s="3">
        <v>280293</v>
      </c>
      <c r="K11" s="4">
        <v>0</v>
      </c>
      <c r="L11" s="3">
        <v>0</v>
      </c>
      <c r="M11" s="3">
        <v>6330308</v>
      </c>
      <c r="N11" s="4">
        <v>4.655564</v>
      </c>
    </row>
    <row r="12" spans="1:14" x14ac:dyDescent="0.2">
      <c r="A12" s="11"/>
      <c r="B12" s="1" t="s">
        <v>20</v>
      </c>
      <c r="C12" s="3">
        <v>48629.19</v>
      </c>
      <c r="D12" s="3">
        <v>48629.19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49149160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1"/>
      <c r="B13" s="1" t="s">
        <v>53</v>
      </c>
      <c r="C13" s="3">
        <v>254.358</v>
      </c>
      <c r="D13" s="3">
        <v>254.358</v>
      </c>
      <c r="E13" s="3">
        <v>223843.6</v>
      </c>
      <c r="F13" s="3">
        <v>0</v>
      </c>
      <c r="G13" s="3">
        <v>223843.6</v>
      </c>
      <c r="H13" s="3">
        <v>0</v>
      </c>
      <c r="I13" s="3">
        <v>0.4072344</v>
      </c>
      <c r="J13" s="3">
        <v>38788.06</v>
      </c>
      <c r="K13" s="4">
        <v>0</v>
      </c>
      <c r="L13" s="3">
        <v>0</v>
      </c>
      <c r="M13" s="3">
        <v>974498.1</v>
      </c>
      <c r="N13" s="4">
        <v>4.3534769999999998</v>
      </c>
    </row>
    <row r="14" spans="1:14" x14ac:dyDescent="0.2">
      <c r="A14" s="11"/>
      <c r="B14" s="1" t="s">
        <v>22</v>
      </c>
      <c r="C14" s="3">
        <v>4570</v>
      </c>
      <c r="D14" s="3">
        <v>4570</v>
      </c>
      <c r="E14" s="3">
        <v>1897033</v>
      </c>
      <c r="F14" s="3">
        <v>0</v>
      </c>
      <c r="G14" s="3">
        <v>1897033</v>
      </c>
      <c r="H14" s="3">
        <v>0</v>
      </c>
      <c r="I14" s="3">
        <v>0.1920896</v>
      </c>
      <c r="J14" s="3">
        <v>7978737</v>
      </c>
      <c r="K14" s="4">
        <v>0</v>
      </c>
      <c r="L14" s="3">
        <v>18970330</v>
      </c>
      <c r="M14" s="3">
        <v>27881840</v>
      </c>
      <c r="N14" s="4">
        <v>14.697607</v>
      </c>
    </row>
    <row r="15" spans="1:14" x14ac:dyDescent="0.2">
      <c r="A15" s="11"/>
      <c r="B15" s="1" t="s">
        <v>23</v>
      </c>
      <c r="C15" s="3">
        <v>53544.2</v>
      </c>
      <c r="D15" s="3">
        <v>53544.2</v>
      </c>
      <c r="E15" s="3">
        <v>22575510</v>
      </c>
      <c r="F15" s="3">
        <v>0</v>
      </c>
      <c r="G15" s="3">
        <v>22575510</v>
      </c>
      <c r="H15" s="3">
        <v>0</v>
      </c>
      <c r="I15" s="3">
        <v>0.1951059</v>
      </c>
      <c r="J15" s="3">
        <v>7577537</v>
      </c>
      <c r="K15" s="4">
        <v>0</v>
      </c>
      <c r="L15" s="3">
        <v>0</v>
      </c>
      <c r="M15" s="3">
        <v>42037840</v>
      </c>
      <c r="N15" s="4">
        <v>1.8620989999999999</v>
      </c>
    </row>
    <row r="16" spans="1:14" x14ac:dyDescent="0.2">
      <c r="A16" s="11"/>
      <c r="B16" s="1" t="s">
        <v>24</v>
      </c>
      <c r="C16" s="3">
        <v>78.5</v>
      </c>
      <c r="D16" s="3">
        <v>78.5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169638.5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1"/>
      <c r="B17" s="1" t="s">
        <v>25</v>
      </c>
      <c r="C17" s="3">
        <v>27270.74</v>
      </c>
      <c r="D17" s="3">
        <v>27270.74</v>
      </c>
      <c r="E17" s="3">
        <v>9897110</v>
      </c>
      <c r="F17" s="3">
        <v>0</v>
      </c>
      <c r="G17" s="3">
        <v>9897110</v>
      </c>
      <c r="H17" s="3">
        <v>0</v>
      </c>
      <c r="I17" s="3">
        <v>0.16794100000000001</v>
      </c>
      <c r="J17" s="3">
        <v>3187506</v>
      </c>
      <c r="K17" s="4">
        <v>0</v>
      </c>
      <c r="L17" s="3">
        <v>0</v>
      </c>
      <c r="M17" s="3">
        <v>15410800</v>
      </c>
      <c r="N17" s="4">
        <v>1.5571010000000001</v>
      </c>
    </row>
    <row r="18" spans="1:14" ht="30" x14ac:dyDescent="0.2">
      <c r="A18" s="11"/>
      <c r="B18" s="1" t="s">
        <v>26</v>
      </c>
      <c r="C18" s="3">
        <v>3662.89</v>
      </c>
      <c r="D18" s="3">
        <v>3662.89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7915505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1"/>
      <c r="B19" s="1" t="s">
        <v>27</v>
      </c>
      <c r="C19" s="3">
        <v>55.819389999999999</v>
      </c>
      <c r="D19" s="3">
        <v>55.819389999999999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120625.7</v>
      </c>
      <c r="K19" s="4">
        <v>0</v>
      </c>
      <c r="L19" s="3">
        <v>0</v>
      </c>
      <c r="M19" s="3">
        <v>0</v>
      </c>
      <c r="N19" s="4" t="s">
        <v>21</v>
      </c>
    </row>
    <row r="20" spans="1:14" x14ac:dyDescent="0.2">
      <c r="A20" s="11"/>
      <c r="B20" s="1" t="s">
        <v>28</v>
      </c>
      <c r="C20" s="3">
        <v>40470.42</v>
      </c>
      <c r="D20" s="3">
        <v>40470.42</v>
      </c>
      <c r="E20" s="3">
        <v>16411360</v>
      </c>
      <c r="F20" s="3">
        <v>0</v>
      </c>
      <c r="G20" s="3">
        <v>16411360</v>
      </c>
      <c r="H20" s="3">
        <v>0</v>
      </c>
      <c r="I20" s="3">
        <v>0.1876515</v>
      </c>
      <c r="J20" s="3">
        <v>2300537</v>
      </c>
      <c r="K20" s="4">
        <v>0</v>
      </c>
      <c r="L20" s="3">
        <v>0</v>
      </c>
      <c r="M20" s="3">
        <v>52652410</v>
      </c>
      <c r="N20" s="4">
        <v>3.208291</v>
      </c>
    </row>
    <row r="21" spans="1:14" x14ac:dyDescent="0.2">
      <c r="A21" s="12"/>
      <c r="B21" s="1" t="s">
        <v>29</v>
      </c>
      <c r="C21" s="3">
        <v>4643.1779999999999</v>
      </c>
      <c r="D21" s="3">
        <v>4643.1779999999999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10033910</v>
      </c>
      <c r="K21" s="4">
        <v>0</v>
      </c>
      <c r="L21" s="3">
        <v>0</v>
      </c>
      <c r="M21" s="3">
        <v>0</v>
      </c>
      <c r="N21" s="4" t="s">
        <v>21</v>
      </c>
    </row>
    <row r="22" spans="1:14" x14ac:dyDescent="0.2">
      <c r="A22" s="1" t="s">
        <v>54</v>
      </c>
      <c r="B22" s="1" t="s">
        <v>31</v>
      </c>
      <c r="C22" s="3">
        <v>230800</v>
      </c>
      <c r="D22" s="3">
        <v>230800</v>
      </c>
      <c r="E22" s="3">
        <v>40155890</v>
      </c>
      <c r="F22" s="3">
        <v>21699350</v>
      </c>
      <c r="G22" s="3">
        <v>18456540</v>
      </c>
      <c r="H22" s="3">
        <v>-18456540</v>
      </c>
      <c r="I22" s="3">
        <v>0.1240184</v>
      </c>
      <c r="J22" s="3">
        <v>0</v>
      </c>
      <c r="K22" s="4">
        <v>0</v>
      </c>
      <c r="L22" s="3">
        <v>0</v>
      </c>
      <c r="M22" s="3">
        <v>124563100</v>
      </c>
      <c r="N22" s="4">
        <v>2.0137839999999998</v>
      </c>
    </row>
    <row r="23" spans="1:14" x14ac:dyDescent="0.2">
      <c r="A23" s="10" t="s">
        <v>30</v>
      </c>
      <c r="B23" s="1" t="s">
        <v>32</v>
      </c>
      <c r="C23" s="3">
        <v>12450</v>
      </c>
      <c r="D23" s="3">
        <v>12450</v>
      </c>
      <c r="E23" s="3">
        <v>9528883</v>
      </c>
      <c r="F23" s="3">
        <v>5509848</v>
      </c>
      <c r="G23" s="3">
        <v>4019035</v>
      </c>
      <c r="H23" s="3">
        <v>-4019035</v>
      </c>
      <c r="I23" s="3">
        <v>0.55896820000000003</v>
      </c>
      <c r="J23" s="3">
        <v>30923480</v>
      </c>
      <c r="K23" s="4">
        <v>0</v>
      </c>
      <c r="L23" s="3">
        <v>0</v>
      </c>
      <c r="M23" s="3">
        <v>47680140</v>
      </c>
      <c r="N23" s="4">
        <v>3.17049</v>
      </c>
    </row>
    <row r="24" spans="1:14" x14ac:dyDescent="0.2">
      <c r="A24" s="11"/>
      <c r="B24" s="1" t="s">
        <v>40</v>
      </c>
      <c r="C24" s="3">
        <v>26000000</v>
      </c>
      <c r="D24" s="3">
        <v>26000000</v>
      </c>
      <c r="E24" s="3">
        <v>0</v>
      </c>
      <c r="F24" s="3">
        <v>94070.47</v>
      </c>
      <c r="G24" s="3">
        <v>-94070.47</v>
      </c>
      <c r="H24" s="3">
        <v>0</v>
      </c>
      <c r="I24" s="3">
        <v>1.674269E-6</v>
      </c>
      <c r="J24" s="3">
        <v>56185910000</v>
      </c>
      <c r="K24" s="4">
        <v>0</v>
      </c>
      <c r="L24" s="3">
        <v>0.94069999999999998</v>
      </c>
      <c r="M24" s="3">
        <v>-380194.6</v>
      </c>
      <c r="N24" s="4">
        <v>-4.0415929999999998</v>
      </c>
    </row>
    <row r="25" spans="1:14" x14ac:dyDescent="0.2">
      <c r="A25" s="11"/>
      <c r="B25" s="1" t="s">
        <v>55</v>
      </c>
      <c r="C25" s="3">
        <v>3653.0949999999998</v>
      </c>
      <c r="D25" s="3">
        <v>3653.0949999999998</v>
      </c>
      <c r="E25" s="3">
        <v>0</v>
      </c>
      <c r="F25" s="3">
        <v>147239.20000000001</v>
      </c>
      <c r="G25" s="3">
        <v>-147239.20000000001</v>
      </c>
      <c r="H25" s="3">
        <v>0</v>
      </c>
      <c r="I25" s="3">
        <v>1.8651239999999999E-2</v>
      </c>
      <c r="J25" s="3">
        <v>7747099</v>
      </c>
      <c r="K25" s="4">
        <v>0</v>
      </c>
      <c r="L25" s="3">
        <v>0</v>
      </c>
      <c r="M25" s="3">
        <v>0</v>
      </c>
      <c r="N25" s="4" t="s">
        <v>21</v>
      </c>
    </row>
    <row r="26" spans="1:14" ht="30" x14ac:dyDescent="0.2">
      <c r="A26" s="11"/>
      <c r="B26" s="1" t="s">
        <v>56</v>
      </c>
      <c r="C26" s="3">
        <v>278.38099999999997</v>
      </c>
      <c r="D26" s="3">
        <v>278.38099999999997</v>
      </c>
      <c r="E26" s="3">
        <v>0</v>
      </c>
      <c r="F26" s="3">
        <v>97764.66</v>
      </c>
      <c r="G26" s="3">
        <v>-97764.66</v>
      </c>
      <c r="H26" s="3">
        <v>0</v>
      </c>
      <c r="I26" s="3">
        <v>0.16251280000000001</v>
      </c>
      <c r="J26" s="3">
        <v>503816.7</v>
      </c>
      <c r="K26" s="4">
        <v>0</v>
      </c>
      <c r="L26" s="3">
        <v>488823.3</v>
      </c>
      <c r="M26" s="3">
        <v>0</v>
      </c>
      <c r="N26" s="4" t="s">
        <v>21</v>
      </c>
    </row>
    <row r="27" spans="1:14" x14ac:dyDescent="0.2">
      <c r="A27" s="12"/>
      <c r="B27" s="1" t="s">
        <v>33</v>
      </c>
      <c r="C27" s="3">
        <v>156000000</v>
      </c>
      <c r="D27" s="3">
        <v>156000000</v>
      </c>
      <c r="E27" s="3">
        <v>0</v>
      </c>
      <c r="F27" s="3">
        <v>14276.96</v>
      </c>
      <c r="G27" s="3">
        <v>-14276.96</v>
      </c>
      <c r="H27" s="3">
        <v>14276.96</v>
      </c>
      <c r="I27" s="3">
        <v>4.2350320000000001E-8</v>
      </c>
      <c r="J27" s="3">
        <v>337116000000</v>
      </c>
      <c r="K27" s="4">
        <v>0</v>
      </c>
      <c r="L27" s="3">
        <v>0.14277000000000001</v>
      </c>
      <c r="M27" s="3">
        <v>-92425.78</v>
      </c>
      <c r="N27" s="4">
        <v>-6.4737669999999996</v>
      </c>
    </row>
    <row r="28" spans="1:14" x14ac:dyDescent="0.2">
      <c r="A28" s="10" t="s">
        <v>34</v>
      </c>
      <c r="B28" s="1" t="s">
        <v>35</v>
      </c>
      <c r="C28" s="3">
        <v>0</v>
      </c>
      <c r="D28" s="3">
        <v>0</v>
      </c>
      <c r="E28" s="3">
        <v>0</v>
      </c>
      <c r="F28" s="3">
        <v>1857387</v>
      </c>
      <c r="G28" s="3">
        <v>-1857387</v>
      </c>
      <c r="H28" s="3">
        <v>0</v>
      </c>
      <c r="I28" s="4" t="s">
        <v>21</v>
      </c>
      <c r="J28" s="3">
        <v>0</v>
      </c>
      <c r="K28" s="4">
        <v>0</v>
      </c>
      <c r="L28" s="3">
        <v>0</v>
      </c>
      <c r="M28" s="3">
        <v>-7966126</v>
      </c>
      <c r="N28" s="4">
        <v>-4.2888890000000002</v>
      </c>
    </row>
    <row r="29" spans="1:14" x14ac:dyDescent="0.2">
      <c r="A29" s="12"/>
      <c r="B29" s="1" t="s">
        <v>36</v>
      </c>
      <c r="C29" s="3">
        <v>0</v>
      </c>
      <c r="D29" s="3">
        <v>0</v>
      </c>
      <c r="E29" s="3">
        <v>0</v>
      </c>
      <c r="F29" s="3">
        <v>49149160</v>
      </c>
      <c r="G29" s="3">
        <v>-49149160</v>
      </c>
      <c r="H29" s="3">
        <v>0</v>
      </c>
      <c r="I29" s="4" t="s">
        <v>21</v>
      </c>
      <c r="J29" s="3">
        <v>0</v>
      </c>
      <c r="K29" s="4">
        <v>0</v>
      </c>
      <c r="L29" s="3">
        <v>0</v>
      </c>
      <c r="M29" s="3">
        <v>-207634200</v>
      </c>
      <c r="N29" s="4">
        <v>-4.2245730000000004</v>
      </c>
    </row>
    <row r="30" spans="1:14" x14ac:dyDescent="0.2">
      <c r="A30" s="10" t="s">
        <v>37</v>
      </c>
      <c r="B30" s="1" t="s">
        <v>38</v>
      </c>
      <c r="C30" s="3">
        <v>26471.97</v>
      </c>
      <c r="D30" s="3">
        <v>26471.97</v>
      </c>
      <c r="E30" s="3">
        <v>4037344</v>
      </c>
      <c r="F30" s="3">
        <v>7585570</v>
      </c>
      <c r="G30" s="3">
        <v>-3548226</v>
      </c>
      <c r="H30" s="3">
        <v>0</v>
      </c>
      <c r="I30" s="3">
        <v>0.20317669999999999</v>
      </c>
      <c r="J30" s="3">
        <v>60754160</v>
      </c>
      <c r="K30" s="4">
        <v>0</v>
      </c>
      <c r="L30" s="3">
        <v>0</v>
      </c>
      <c r="M30" s="3">
        <v>10220430</v>
      </c>
      <c r="N30" s="4">
        <v>0.87933399999999995</v>
      </c>
    </row>
    <row r="31" spans="1:14" ht="30" x14ac:dyDescent="0.2">
      <c r="A31" s="11"/>
      <c r="B31" s="1" t="s">
        <v>57</v>
      </c>
      <c r="C31" s="3">
        <v>857.70799999999997</v>
      </c>
      <c r="D31" s="3">
        <v>857.70799999999997</v>
      </c>
      <c r="E31" s="3">
        <v>186256.8</v>
      </c>
      <c r="F31" s="3">
        <v>318577.09999999998</v>
      </c>
      <c r="G31" s="3">
        <v>-132320.29999999999</v>
      </c>
      <c r="H31" s="3">
        <v>0</v>
      </c>
      <c r="I31" s="3">
        <v>0.27236690000000002</v>
      </c>
      <c r="J31" s="3">
        <v>1985827</v>
      </c>
      <c r="K31" s="4">
        <v>0</v>
      </c>
      <c r="L31" s="3">
        <v>0</v>
      </c>
      <c r="M31" s="3">
        <v>343224.3</v>
      </c>
      <c r="N31" s="4">
        <v>0.67987600000000004</v>
      </c>
    </row>
    <row r="32" spans="1:14" ht="30" x14ac:dyDescent="0.2">
      <c r="A32" s="11"/>
      <c r="B32" s="1" t="s">
        <v>58</v>
      </c>
      <c r="C32" s="3">
        <v>457.99400000000003</v>
      </c>
      <c r="D32" s="3">
        <v>457.99400000000003</v>
      </c>
      <c r="E32" s="3">
        <v>47135.46</v>
      </c>
      <c r="F32" s="3">
        <v>290226.59999999998</v>
      </c>
      <c r="G32" s="3">
        <v>-243091.1</v>
      </c>
      <c r="H32" s="3">
        <v>0</v>
      </c>
      <c r="I32" s="3">
        <v>0.34086440000000001</v>
      </c>
      <c r="J32" s="3">
        <v>1232816</v>
      </c>
      <c r="K32" s="4">
        <v>0</v>
      </c>
      <c r="L32" s="3">
        <v>0</v>
      </c>
      <c r="M32" s="3">
        <v>300053.09999999998</v>
      </c>
      <c r="N32" s="4">
        <v>0.88941000000000003</v>
      </c>
    </row>
    <row r="33" spans="1:14" ht="30" x14ac:dyDescent="0.2">
      <c r="A33" s="12"/>
      <c r="B33" s="1" t="s">
        <v>39</v>
      </c>
      <c r="C33" s="3">
        <v>5300</v>
      </c>
      <c r="D33" s="3">
        <v>5300</v>
      </c>
      <c r="E33" s="3">
        <v>1206616</v>
      </c>
      <c r="F33" s="3">
        <v>2564137</v>
      </c>
      <c r="G33" s="3">
        <v>-1357521</v>
      </c>
      <c r="H33" s="3">
        <v>0</v>
      </c>
      <c r="I33" s="3">
        <v>0.32922859999999998</v>
      </c>
      <c r="J33" s="3">
        <v>12810820</v>
      </c>
      <c r="K33" s="4">
        <v>0</v>
      </c>
      <c r="L33" s="3">
        <v>0</v>
      </c>
      <c r="M33" s="3">
        <v>6175152</v>
      </c>
      <c r="N33" s="4">
        <v>1.6376440000000001</v>
      </c>
    </row>
    <row r="34" spans="1:14" x14ac:dyDescent="0.2">
      <c r="A34" s="10" t="s">
        <v>41</v>
      </c>
      <c r="B34" s="1" t="s">
        <v>40</v>
      </c>
      <c r="C34" s="3">
        <v>13000000</v>
      </c>
      <c r="D34" s="3">
        <v>13000000</v>
      </c>
      <c r="E34" s="3">
        <v>47035.24</v>
      </c>
      <c r="F34" s="3">
        <v>47035.24</v>
      </c>
      <c r="G34" s="3">
        <v>0</v>
      </c>
      <c r="H34" s="3">
        <v>0</v>
      </c>
      <c r="I34" s="3">
        <v>0.99992559999999997</v>
      </c>
      <c r="J34" s="3">
        <v>0</v>
      </c>
      <c r="K34" s="4">
        <v>0</v>
      </c>
      <c r="L34" s="3">
        <v>0</v>
      </c>
      <c r="M34" s="3">
        <v>0</v>
      </c>
      <c r="N34" s="4" t="s">
        <v>21</v>
      </c>
    </row>
    <row r="35" spans="1:14" x14ac:dyDescent="0.2">
      <c r="A35" s="12"/>
      <c r="B35" s="1" t="s">
        <v>59</v>
      </c>
      <c r="C35" s="3">
        <v>46768.01</v>
      </c>
      <c r="D35" s="3">
        <v>46768.01</v>
      </c>
      <c r="E35" s="3">
        <v>97652.98</v>
      </c>
      <c r="F35" s="3">
        <v>102955.8</v>
      </c>
      <c r="G35" s="3">
        <v>-5302.78</v>
      </c>
      <c r="H35" s="3">
        <v>0</v>
      </c>
      <c r="I35" s="3">
        <v>0.5246866</v>
      </c>
      <c r="J35" s="3">
        <v>0</v>
      </c>
      <c r="K35" s="4">
        <v>0</v>
      </c>
      <c r="L35" s="3">
        <v>0</v>
      </c>
      <c r="M35" s="3">
        <v>0</v>
      </c>
      <c r="N35" s="4" t="s">
        <v>21</v>
      </c>
    </row>
    <row r="36" spans="1:14" x14ac:dyDescent="0.2">
      <c r="I36" s="9" t="s">
        <v>42</v>
      </c>
      <c r="J36" s="7">
        <f>SUM(J3:J33)</f>
        <v>393624917947.81</v>
      </c>
      <c r="K36" s="5" t="s">
        <v>45</v>
      </c>
      <c r="L36" s="2">
        <f>SUM(L4:L33)</f>
        <v>47884048.653469995</v>
      </c>
      <c r="M36" s="2">
        <f>SUM(M4:M33)</f>
        <v>146935010.91</v>
      </c>
      <c r="N36" s="2">
        <f>SUM(N4:N33)</f>
        <v>45.719132000000009</v>
      </c>
    </row>
    <row r="37" spans="1:14" x14ac:dyDescent="0.2">
      <c r="I37" s="8" t="s">
        <v>43</v>
      </c>
      <c r="J37" s="2">
        <f>SUM(J15,J17)</f>
        <v>10765043</v>
      </c>
    </row>
    <row r="38" spans="1:14" x14ac:dyDescent="0.2">
      <c r="A38" t="s">
        <v>46</v>
      </c>
      <c r="I38" s="8" t="s">
        <v>44</v>
      </c>
      <c r="J38" s="2">
        <f>SUM(J20)</f>
        <v>2300537</v>
      </c>
    </row>
    <row r="39" spans="1:14" x14ac:dyDescent="0.2">
      <c r="A39" t="s">
        <v>49</v>
      </c>
      <c r="C39" s="2">
        <f>SUMIFS($D$2:$D$32,$B$2:$B$32, "Solar PV")+SUMIFS($D$2:$D$32,$B$2:$B$32, "Offshore Wind")+SUMIFS($D$2:$D$32,$B$2:$B$32, "Onshore Wind")+SUMIFS($D$2:$D$32,$B$2:$B$32, "Sewage Gas")</f>
        <v>121341.17939</v>
      </c>
    </row>
    <row r="40" spans="1:14" x14ac:dyDescent="0.2">
      <c r="A40" t="s">
        <v>47</v>
      </c>
      <c r="C40" s="2">
        <f>SUMIFS($J$2:$J$32,$B$2:$B$32, "Solar PV")+SUMIFS($J$2:$J$32,$B$2:$B$32, "Offshore Wind")+SUMIFS($J$2:$J$32,$B$2:$B$32, "Onshore Wind")+SUMIFS($J$2:$J$32,$B$2:$B$32, "Sewage Gas")</f>
        <v>13186205.699999999</v>
      </c>
    </row>
    <row r="41" spans="1:14" x14ac:dyDescent="0.2">
      <c r="A41" t="s">
        <v>48</v>
      </c>
      <c r="C41" s="2">
        <f>SUMIFS($J$2:$J$32,$B$2:$B$32, "Offshore Wind")+SUMIFS($J$2:$J$32,$B$2:$B$32, "Onshore Wind")</f>
        <v>10765043</v>
      </c>
    </row>
    <row r="43" spans="1:14" x14ac:dyDescent="0.2">
      <c r="A43" t="s">
        <v>60</v>
      </c>
    </row>
    <row r="44" spans="1:14" x14ac:dyDescent="0.2">
      <c r="A44" t="s">
        <v>61</v>
      </c>
    </row>
  </sheetData>
  <autoFilter ref="A1:N41" xr:uid="{9B4D27E0-A6E7-0A4E-A9C8-EA69BF34BB6E}"/>
  <mergeCells count="5">
    <mergeCell ref="A34:A35"/>
    <mergeCell ref="A2:A21"/>
    <mergeCell ref="A23:A27"/>
    <mergeCell ref="A28:A29"/>
    <mergeCell ref="A30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Inflexible</vt:lpstr>
      <vt:lpstr>Temporal</vt:lpstr>
      <vt:lpstr>Spatial</vt:lpstr>
      <vt:lpstr>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2026-08-15T20:26:23Z</dcterms:modified>
</cp:coreProperties>
</file>