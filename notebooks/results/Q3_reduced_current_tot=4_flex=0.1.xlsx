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F2E5293C-CB4F-C447-81B3-10A7BE472C40}" xr6:coauthVersionLast="47" xr6:coauthVersionMax="47" xr10:uidLastSave="{00000000-0000-0000-0000-000000000000}"/>
  <bookViews>
    <workbookView xWindow="0" yWindow="660" windowWidth="30240" windowHeight="17400" activeTab="3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3" l="1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<sst xmlns="http://schemas.openxmlformats.org/spreadsheetml/2006/main" count="306" uniqueCount="66">
  <si>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</si>
  <si>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</si>
  <si>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</si>
  <si>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</si>
  <si>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</si>
  <si>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</si>
  <si>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</si>
  <si>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</si>
  <si>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</si>
  <si>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</si>
  <si>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</si>
  <si>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</si>
  <si>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</si>
  <si>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</si>
  <si>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</si>
  <si>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</si>
  <si>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</si>
  <si>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</si>
  <si>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</si>
  <si>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</si>
  <si>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</si>
  <si>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</si>
  <si>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</si>
  <si>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</si>
  <si>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</si>
  <si>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</si>
  <si>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</si>
  <si>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</si>
  <si>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</si>
  <si>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</si>
  <si>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</si>
  <si>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</si>
  <si>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</si>
  <si>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</si>
  <si>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</si>
  <si>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</si>
  <si>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</si>
  <si>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</si>
  <si>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</si>
  <si>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</si>
  <si>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</si>
  <si>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</si>
  <si>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</si>
  <si>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</si>
  <si>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</si>
  <si>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</si>
  <si>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</si>
  <si>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</si>
  <si>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</si>
  <si>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</si>
  <si>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</si>
  <si>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</si>
  <si>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</si>
  <si>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</si>
  <si>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</si>
  <si>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</si>
  <si>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</si>
  <si>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</si>
  <si>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</si>
  <si>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</si>
  <si>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 xml:space="preserve">Optimal objective 4.78840493e+07 </t>
  </si>
  <si>
    <t>INFO:gurobipy:Optimal objective 4.78840493e+07</t>
  </si>
  <si>
    <t xml:space="preserve">Optimal objective 4.81281538e+07 </t>
  </si>
  <si>
    <t>INFO:gurobipy:Optimal objective 4.81281538e+07</t>
  </si>
  <si>
    <t xml:space="preserve">Optimal objective 4.81906149e+07 </t>
  </si>
  <si>
    <t>INFO:gurobipy:Optimal objective 4.81906149e+07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</si>
</sst>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4"/>
  <sheetViews>
    <sheetView topLeftCell="A16" workbookViewId="0">
      <selection sqref="A1:N32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1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4">
        <v>13695</v>
      </c>
      <c r="D7" s="4">
        <v>13695</v>
      </c>
      <c r="E7" s="3">
        <v>3595220</v>
      </c>
      <c r="F7" s="3">
        <v>0</v>
      </c>
      <c r="G7" s="3">
        <v>3595220</v>
      </c>
      <c r="H7" s="3">
        <v>0</v>
      </c>
      <c r="I7" s="4">
        <v>0.120147</v>
      </c>
      <c r="J7" s="3">
        <v>26328360</v>
      </c>
      <c r="K7" s="4">
        <v>0</v>
      </c>
      <c r="L7" s="3">
        <v>40980950</v>
      </c>
      <c r="M7" s="3">
        <v>40980950</v>
      </c>
      <c r="N7" s="4">
        <v>11.398733999999999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4556.2330000000002</v>
      </c>
      <c r="F9" s="3">
        <v>0</v>
      </c>
      <c r="G9" s="3">
        <v>4556.2330000000002</v>
      </c>
      <c r="H9" s="3">
        <v>0</v>
      </c>
      <c r="I9" s="4">
        <v>0.18956600000000001</v>
      </c>
      <c r="J9" s="3">
        <v>19478.77</v>
      </c>
      <c r="K9" s="4">
        <v>0</v>
      </c>
      <c r="L9" s="3">
        <v>56770.66</v>
      </c>
      <c r="M9" s="3">
        <v>97738.34</v>
      </c>
      <c r="N9" s="4">
        <v>21.451595000000001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1037.9960000000001</v>
      </c>
      <c r="F10" s="3">
        <v>0</v>
      </c>
      <c r="G10" s="3">
        <v>1037.9960000000001</v>
      </c>
      <c r="H10" s="3">
        <v>0</v>
      </c>
      <c r="I10" s="4">
        <v>5.6899999999999995E-4</v>
      </c>
      <c r="J10" s="3">
        <v>1822369</v>
      </c>
      <c r="K10" s="4">
        <v>0</v>
      </c>
      <c r="L10" s="3">
        <v>56051.8</v>
      </c>
      <c r="M10" s="3">
        <v>56229.9</v>
      </c>
      <c r="N10" s="4">
        <v>54.171073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1403907</v>
      </c>
      <c r="F11" s="3">
        <v>0</v>
      </c>
      <c r="G11" s="3">
        <v>1403907</v>
      </c>
      <c r="H11" s="3">
        <v>0</v>
      </c>
      <c r="I11" s="4">
        <v>0.33865000000000001</v>
      </c>
      <c r="J11" s="3">
        <v>254330.1</v>
      </c>
      <c r="K11" s="4">
        <v>0</v>
      </c>
      <c r="L11" s="3">
        <v>0</v>
      </c>
      <c r="M11" s="3">
        <v>9271543</v>
      </c>
      <c r="N11" s="4">
        <v>6.6041030000000003</v>
      </c>
    </row>
    <row r="12" spans="1:14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239315.1</v>
      </c>
      <c r="F13" s="3">
        <v>0</v>
      </c>
      <c r="G13" s="3">
        <v>239315.1</v>
      </c>
      <c r="H13" s="3">
        <v>0</v>
      </c>
      <c r="I13" s="4">
        <v>0.43059900000000001</v>
      </c>
      <c r="J13" s="3">
        <v>34454.410000000003</v>
      </c>
      <c r="K13" s="4">
        <v>0</v>
      </c>
      <c r="L13" s="3">
        <v>0</v>
      </c>
      <c r="M13" s="3">
        <v>1985171</v>
      </c>
      <c r="N13" s="4">
        <v>8.2952159999999999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4077556</v>
      </c>
      <c r="F14" s="3">
        <v>0</v>
      </c>
      <c r="G14" s="3">
        <v>4077556</v>
      </c>
      <c r="H14" s="3">
        <v>0</v>
      </c>
      <c r="I14" s="4">
        <v>0.40834999999999999</v>
      </c>
      <c r="J14" s="3">
        <v>5907894</v>
      </c>
      <c r="K14" s="4">
        <v>0</v>
      </c>
      <c r="L14" s="3">
        <v>40775560</v>
      </c>
      <c r="M14" s="3">
        <v>68282830</v>
      </c>
      <c r="N14" s="4">
        <v>16.746019</v>
      </c>
    </row>
    <row r="15" spans="1:14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25457880</v>
      </c>
      <c r="F15" s="3">
        <v>0</v>
      </c>
      <c r="G15" s="3">
        <v>25457880</v>
      </c>
      <c r="H15" s="3">
        <v>0</v>
      </c>
      <c r="I15" s="4">
        <v>0.21759999999999999</v>
      </c>
      <c r="J15" s="3">
        <v>6656963</v>
      </c>
      <c r="K15" s="4">
        <v>0</v>
      </c>
      <c r="L15" s="3">
        <v>0</v>
      </c>
      <c r="M15" s="3">
        <v>102223700</v>
      </c>
      <c r="N15" s="4">
        <v>4.0154059999999996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11289540</v>
      </c>
      <c r="F17" s="3">
        <v>0</v>
      </c>
      <c r="G17" s="3">
        <v>11289540</v>
      </c>
      <c r="H17" s="3">
        <v>0</v>
      </c>
      <c r="I17" s="4">
        <v>0.18946399999999999</v>
      </c>
      <c r="J17" s="3">
        <v>3045595</v>
      </c>
      <c r="K17" s="4">
        <v>0</v>
      </c>
      <c r="L17" s="3">
        <v>0</v>
      </c>
      <c r="M17" s="3">
        <v>41885960</v>
      </c>
      <c r="N17" s="4">
        <v>3.7101570000000001</v>
      </c>
    </row>
    <row r="18" spans="1:14" x14ac:dyDescent="0.2">
      <c r="A18" s="11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13183320</v>
      </c>
      <c r="F20" s="3">
        <v>0</v>
      </c>
      <c r="G20" s="3">
        <v>13183320</v>
      </c>
      <c r="H20" s="3">
        <v>0</v>
      </c>
      <c r="I20" s="4">
        <v>0.149086</v>
      </c>
      <c r="J20" s="3">
        <v>1382226</v>
      </c>
      <c r="K20" s="4">
        <v>0</v>
      </c>
      <c r="L20" s="3">
        <v>0</v>
      </c>
      <c r="M20" s="3">
        <v>90405070</v>
      </c>
      <c r="N20" s="4">
        <v>6.8575369999999998</v>
      </c>
    </row>
    <row r="21" spans="1:14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31647960</v>
      </c>
      <c r="F22" s="3">
        <v>24298710</v>
      </c>
      <c r="G22" s="3">
        <v>7349246</v>
      </c>
      <c r="H22" s="3">
        <v>-7349246</v>
      </c>
      <c r="I22" s="4">
        <v>0.11094</v>
      </c>
      <c r="J22" s="3">
        <v>0</v>
      </c>
      <c r="K22" s="4">
        <v>0</v>
      </c>
      <c r="L22" s="3">
        <v>0</v>
      </c>
      <c r="M22" s="3">
        <v>79045050</v>
      </c>
      <c r="N22" s="4">
        <v>1.4128639999999999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9569832</v>
      </c>
      <c r="F23" s="3">
        <v>5882427</v>
      </c>
      <c r="G23" s="3">
        <v>3687405</v>
      </c>
      <c r="H23" s="3">
        <v>-3687405</v>
      </c>
      <c r="I23" s="4">
        <v>0.56803000000000003</v>
      </c>
      <c r="J23" s="3">
        <v>30890650</v>
      </c>
      <c r="K23" s="4">
        <v>0</v>
      </c>
      <c r="L23" s="3">
        <v>0</v>
      </c>
      <c r="M23" s="3">
        <v>71061070</v>
      </c>
      <c r="N23" s="4">
        <v>4.5987489999999998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121236.6</v>
      </c>
      <c r="G24" s="3">
        <v>-121236.6</v>
      </c>
      <c r="H24" s="3">
        <v>0</v>
      </c>
      <c r="I24" s="4">
        <v>1.5188999999999999E-2</v>
      </c>
      <c r="J24" s="3">
        <v>7860775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77342.539999999994</v>
      </c>
      <c r="G25" s="3">
        <v>-77342.539999999994</v>
      </c>
      <c r="H25" s="3">
        <v>0</v>
      </c>
      <c r="I25" s="4">
        <v>0.12715299999999999</v>
      </c>
      <c r="J25" s="3">
        <v>530919.9</v>
      </c>
      <c r="K25" s="4">
        <v>0</v>
      </c>
      <c r="L25" s="3">
        <v>386712.7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1877552</v>
      </c>
      <c r="G26" s="3">
        <v>-1877552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-14463560</v>
      </c>
      <c r="N26" s="4">
        <v>-7.7034120000000001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52178340</v>
      </c>
      <c r="G27" s="3">
        <v>-52178340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-411649900</v>
      </c>
      <c r="N27" s="4">
        <v>-7.8892879999999996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2570385</v>
      </c>
      <c r="F28" s="3">
        <v>6005830</v>
      </c>
      <c r="G28" s="3">
        <v>-3435445</v>
      </c>
      <c r="H28" s="3">
        <v>0</v>
      </c>
      <c r="I28" s="4">
        <v>0.14827199999999999</v>
      </c>
      <c r="J28" s="3">
        <v>61276710</v>
      </c>
      <c r="K28" s="4">
        <v>0</v>
      </c>
      <c r="L28" s="3">
        <v>0</v>
      </c>
      <c r="M28" s="3">
        <v>16754070</v>
      </c>
      <c r="N28" s="4">
        <v>1.953551</v>
      </c>
    </row>
    <row r="29" spans="1:14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137271</v>
      </c>
      <c r="F29" s="3">
        <v>269261.09999999998</v>
      </c>
      <c r="G29" s="3">
        <v>-131990</v>
      </c>
      <c r="H29" s="3">
        <v>0</v>
      </c>
      <c r="I29" s="4">
        <v>0.216922</v>
      </c>
      <c r="J29" s="3">
        <v>2006082</v>
      </c>
      <c r="K29" s="4">
        <v>0</v>
      </c>
      <c r="L29" s="3">
        <v>0</v>
      </c>
      <c r="M29" s="3">
        <v>549750.9</v>
      </c>
      <c r="N29" s="4">
        <v>1.3522940000000001</v>
      </c>
    </row>
    <row r="30" spans="1:14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31159.93</v>
      </c>
      <c r="F30" s="3">
        <v>253070.3</v>
      </c>
      <c r="G30" s="3">
        <v>-221910.3</v>
      </c>
      <c r="H30" s="3">
        <v>0</v>
      </c>
      <c r="I30" s="4">
        <v>0.28402699999999997</v>
      </c>
      <c r="J30" s="3">
        <v>1222627</v>
      </c>
      <c r="K30" s="4">
        <v>0</v>
      </c>
      <c r="L30" s="3">
        <v>0</v>
      </c>
      <c r="M30" s="3">
        <v>553009.6</v>
      </c>
      <c r="N30" s="4">
        <v>1.94564</v>
      </c>
    </row>
    <row r="31" spans="1:14" ht="30" x14ac:dyDescent="0.2">
      <c r="A31" s="12"/>
      <c r="B31" s="1" t="s">
        <v>39</v>
      </c>
      <c r="C31" s="4">
        <v>5300</v>
      </c>
      <c r="D31" s="4">
        <v>5300</v>
      </c>
      <c r="E31" s="3">
        <v>824624.7</v>
      </c>
      <c r="F31" s="3">
        <v>2241341</v>
      </c>
      <c r="G31" s="3">
        <v>-1416716</v>
      </c>
      <c r="H31" s="3">
        <v>0</v>
      </c>
      <c r="I31" s="4">
        <v>0.26475199999999999</v>
      </c>
      <c r="J31" s="3">
        <v>12997220</v>
      </c>
      <c r="K31" s="4">
        <v>0</v>
      </c>
      <c r="L31" s="3">
        <v>0</v>
      </c>
      <c r="M31" s="3">
        <v>10345200</v>
      </c>
      <c r="N31" s="4">
        <v>3.3742049999999999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75886.86</v>
      </c>
      <c r="F32" s="3">
        <v>83409.899999999994</v>
      </c>
      <c r="G32" s="3">
        <v>-7523.0439999999999</v>
      </c>
      <c r="H32" s="3">
        <v>0</v>
      </c>
      <c r="I32" s="4">
        <v>0.73619599999999996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312478820.88</v>
      </c>
      <c r="K33" s="5" t="s">
        <v>45</v>
      </c>
      <c r="L33" s="2">
        <f>SUM(L1:L30)</f>
        <v>82256045.159999996</v>
      </c>
      <c r="M33" s="2">
        <f>SUM(M1:M30)</f>
        <v>97038682.74000001</v>
      </c>
      <c r="N33" s="2">
        <f>SUM(N1:N30)</f>
        <v>128.92023800000001</v>
      </c>
    </row>
    <row r="34" spans="1:14" x14ac:dyDescent="0.2">
      <c r="I34" s="8" t="s">
        <v>43</v>
      </c>
      <c r="J34" s="2">
        <f>SUM(J15,J17)</f>
        <v>9702558</v>
      </c>
    </row>
    <row r="35" spans="1:14" x14ac:dyDescent="0.2">
      <c r="I35" s="8" t="s">
        <v>44</v>
      </c>
      <c r="J35" s="2">
        <f>SUM(J20)</f>
        <v>1382226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11206749.4</v>
      </c>
    </row>
    <row r="41" spans="1:14" x14ac:dyDescent="0.2">
      <c r="A41" t="s">
        <v>48</v>
      </c>
      <c r="C41" s="2">
        <f>SUMIFS($J$2:$J$34,$B$2:$B$34, "Offshore Wind")+SUMIFS($J$2:$J$34,$B$2:$B$34, "Onshore Wind")</f>
        <v>9702558</v>
      </c>
    </row>
    <row r="43" spans="1:14" x14ac:dyDescent="0.2">
      <c r="A43" t="s">
        <v>64</v>
      </c>
    </row>
    <row r="44" spans="1:14" x14ac:dyDescent="0.2">
      <c r="A44" t="s">
        <v>65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1"/>
  <sheetViews>
    <sheetView topLeftCell="A16" workbookViewId="0">
      <selection sqref="A1:N34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3578870</v>
      </c>
      <c r="F7" s="3">
        <v>0</v>
      </c>
      <c r="G7" s="3">
        <v>3578870</v>
      </c>
      <c r="H7" s="3">
        <v>0</v>
      </c>
      <c r="I7" s="4">
        <v>0.1196</v>
      </c>
      <c r="J7" s="3">
        <v>26344710</v>
      </c>
      <c r="K7" s="4">
        <v>0</v>
      </c>
      <c r="L7" s="3">
        <v>40615870</v>
      </c>
      <c r="M7" s="3">
        <v>40615870</v>
      </c>
      <c r="N7" s="4">
        <v>11.348799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4477.4030000000002</v>
      </c>
      <c r="F9" s="3">
        <v>0</v>
      </c>
      <c r="G9" s="3">
        <v>4477.4030000000002</v>
      </c>
      <c r="H9" s="3">
        <v>0</v>
      </c>
      <c r="I9" s="4">
        <v>0.18628600000000001</v>
      </c>
      <c r="J9" s="3">
        <v>19557.599999999999</v>
      </c>
      <c r="K9" s="4">
        <v>0</v>
      </c>
      <c r="L9" s="3">
        <v>55788.44</v>
      </c>
      <c r="M9" s="3">
        <v>96512.49</v>
      </c>
      <c r="N9" s="4">
        <v>21.555513000000001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1024.431</v>
      </c>
      <c r="F10" s="3">
        <v>0</v>
      </c>
      <c r="G10" s="3">
        <v>1024.431</v>
      </c>
      <c r="H10" s="3">
        <v>0</v>
      </c>
      <c r="I10" s="4">
        <v>5.62E-4</v>
      </c>
      <c r="J10" s="3">
        <v>1822382</v>
      </c>
      <c r="K10" s="4">
        <v>0</v>
      </c>
      <c r="L10" s="3">
        <v>55319.29</v>
      </c>
      <c r="M10" s="3">
        <v>55497.39</v>
      </c>
      <c r="N10" s="4">
        <v>54.173530999999997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1403431</v>
      </c>
      <c r="F11" s="3">
        <v>0</v>
      </c>
      <c r="G11" s="3">
        <v>1403431</v>
      </c>
      <c r="H11" s="3">
        <v>0</v>
      </c>
      <c r="I11" s="4">
        <v>0.338536</v>
      </c>
      <c r="J11" s="3">
        <v>254805.2</v>
      </c>
      <c r="K11" s="4">
        <v>0</v>
      </c>
      <c r="L11" s="3">
        <v>0</v>
      </c>
      <c r="M11" s="3">
        <v>9264847</v>
      </c>
      <c r="N11" s="4">
        <v>6.6015670000000002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237999.3</v>
      </c>
      <c r="F13" s="3">
        <v>0</v>
      </c>
      <c r="G13" s="3">
        <v>237999.3</v>
      </c>
      <c r="H13" s="3">
        <v>0</v>
      </c>
      <c r="I13" s="4">
        <v>0.428232</v>
      </c>
      <c r="J13" s="3">
        <v>35770.22</v>
      </c>
      <c r="K13" s="4">
        <v>0</v>
      </c>
      <c r="L13" s="3">
        <v>0</v>
      </c>
      <c r="M13" s="3">
        <v>1984764</v>
      </c>
      <c r="N13" s="4">
        <v>8.3393669999999993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4076271</v>
      </c>
      <c r="F14" s="3">
        <v>0</v>
      </c>
      <c r="G14" s="3">
        <v>4076271</v>
      </c>
      <c r="H14" s="3">
        <v>0</v>
      </c>
      <c r="I14" s="4">
        <v>0.408221</v>
      </c>
      <c r="J14" s="3">
        <v>5909179</v>
      </c>
      <c r="K14" s="4">
        <v>0</v>
      </c>
      <c r="L14" s="3">
        <v>40762710</v>
      </c>
      <c r="M14" s="3">
        <v>68119540</v>
      </c>
      <c r="N14" s="4">
        <v>16.711241000000001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25513080</v>
      </c>
      <c r="F15" s="3">
        <v>0</v>
      </c>
      <c r="G15" s="3">
        <v>25513080</v>
      </c>
      <c r="H15" s="3">
        <v>0</v>
      </c>
      <c r="I15" s="4">
        <v>0.21807199999999999</v>
      </c>
      <c r="J15" s="3">
        <v>6601768</v>
      </c>
      <c r="K15" s="4">
        <v>0</v>
      </c>
      <c r="L15" s="3">
        <v>0</v>
      </c>
      <c r="M15" s="3">
        <v>102408400</v>
      </c>
      <c r="N15" s="4">
        <v>4.0139579999999997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11093660</v>
      </c>
      <c r="F17" s="3">
        <v>0</v>
      </c>
      <c r="G17" s="3">
        <v>11093660</v>
      </c>
      <c r="H17" s="3">
        <v>0</v>
      </c>
      <c r="I17" s="4">
        <v>0.18617700000000001</v>
      </c>
      <c r="J17" s="3">
        <v>3241476</v>
      </c>
      <c r="K17" s="4">
        <v>0</v>
      </c>
      <c r="L17" s="3">
        <v>0</v>
      </c>
      <c r="M17" s="3">
        <v>41924340</v>
      </c>
      <c r="N17" s="4">
        <v>3.7791269999999999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13239170</v>
      </c>
      <c r="F20" s="3">
        <v>0</v>
      </c>
      <c r="G20" s="3">
        <v>13239170</v>
      </c>
      <c r="H20" s="3">
        <v>0</v>
      </c>
      <c r="I20" s="4">
        <v>0.14971699999999999</v>
      </c>
      <c r="J20" s="3">
        <v>1326375</v>
      </c>
      <c r="K20" s="4">
        <v>0</v>
      </c>
      <c r="L20" s="3">
        <v>0</v>
      </c>
      <c r="M20" s="3">
        <v>90324310</v>
      </c>
      <c r="N20" s="4">
        <v>6.8225069999999999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31125250</v>
      </c>
      <c r="F22" s="3">
        <v>24614260</v>
      </c>
      <c r="G22" s="3">
        <v>6510990</v>
      </c>
      <c r="H22" s="3">
        <v>-6510990</v>
      </c>
      <c r="I22" s="4">
        <v>0.110529</v>
      </c>
      <c r="J22" s="3">
        <v>0</v>
      </c>
      <c r="K22" s="4">
        <v>0</v>
      </c>
      <c r="L22" s="3">
        <v>0</v>
      </c>
      <c r="M22" s="3">
        <v>79795900</v>
      </c>
      <c r="N22" s="4">
        <v>1.431586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9571961</v>
      </c>
      <c r="F23" s="3">
        <v>5901326</v>
      </c>
      <c r="G23" s="3">
        <v>3670636</v>
      </c>
      <c r="H23" s="3">
        <v>-3670636</v>
      </c>
      <c r="I23" s="4">
        <v>0.56880299999999995</v>
      </c>
      <c r="J23" s="3">
        <v>30873890</v>
      </c>
      <c r="K23" s="4">
        <v>0</v>
      </c>
      <c r="L23" s="3">
        <v>0</v>
      </c>
      <c r="M23" s="3">
        <v>70679230</v>
      </c>
      <c r="N23" s="4">
        <v>4.5678229999999997</v>
      </c>
    </row>
    <row r="24" spans="1:14" x14ac:dyDescent="0.2">
      <c r="A24" s="11"/>
      <c r="B24" s="1" t="s">
        <v>40</v>
      </c>
      <c r="C24" s="3">
        <v>20000000</v>
      </c>
      <c r="D24" s="3">
        <v>20000000</v>
      </c>
      <c r="E24" s="3">
        <v>0</v>
      </c>
      <c r="F24" s="3">
        <v>111518.2</v>
      </c>
      <c r="G24" s="3">
        <v>-111518.2</v>
      </c>
      <c r="H24" s="3">
        <v>0</v>
      </c>
      <c r="I24" s="4">
        <v>3.0000000000000001E-6</v>
      </c>
      <c r="J24" s="3">
        <v>43699890000</v>
      </c>
      <c r="K24" s="4">
        <v>0</v>
      </c>
      <c r="L24" s="3">
        <v>1.1151800000000001</v>
      </c>
      <c r="M24" s="3">
        <v>-827404.6</v>
      </c>
      <c r="N24" s="4">
        <v>-7.4194570000000004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120869.4</v>
      </c>
      <c r="G25" s="3">
        <v>-120869.4</v>
      </c>
      <c r="H25" s="3">
        <v>0</v>
      </c>
      <c r="I25" s="4">
        <v>1.5143E-2</v>
      </c>
      <c r="J25" s="3">
        <v>7861143</v>
      </c>
      <c r="K25" s="4">
        <v>0</v>
      </c>
      <c r="L25" s="3">
        <v>0</v>
      </c>
      <c r="M25" s="3">
        <v>0</v>
      </c>
      <c r="N25" s="4" t="s">
        <v>21</v>
      </c>
    </row>
    <row r="26" spans="1:14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76801.570000000007</v>
      </c>
      <c r="G26" s="3">
        <v>-76801.570000000007</v>
      </c>
      <c r="H26" s="3">
        <v>0</v>
      </c>
      <c r="I26" s="4">
        <v>0.12626399999999999</v>
      </c>
      <c r="J26" s="3">
        <v>531460.9</v>
      </c>
      <c r="K26" s="4">
        <v>0</v>
      </c>
      <c r="L26" s="3">
        <v>384007.8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1877552</v>
      </c>
      <c r="G27" s="3">
        <v>-1877552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-14455100</v>
      </c>
      <c r="N27" s="4">
        <v>-7.6989070000000002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52178340</v>
      </c>
      <c r="G28" s="3">
        <v>-52178340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-411335200</v>
      </c>
      <c r="N28" s="4">
        <v>-7.8832560000000003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2757684</v>
      </c>
      <c r="F29" s="3">
        <v>6117331</v>
      </c>
      <c r="G29" s="3">
        <v>-3359648</v>
      </c>
      <c r="H29" s="3">
        <v>0</v>
      </c>
      <c r="I29" s="4">
        <v>0.15343699999999999</v>
      </c>
      <c r="J29" s="3">
        <v>61200910</v>
      </c>
      <c r="K29" s="4">
        <v>0</v>
      </c>
      <c r="L29" s="3">
        <v>0</v>
      </c>
      <c r="M29" s="3">
        <v>16571120</v>
      </c>
      <c r="N29" s="4">
        <v>1.867165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144013.70000000001</v>
      </c>
      <c r="F30" s="3">
        <v>270987.59999999998</v>
      </c>
      <c r="G30" s="3">
        <v>-126973.8</v>
      </c>
      <c r="H30" s="3">
        <v>0</v>
      </c>
      <c r="I30" s="4">
        <v>0.221441</v>
      </c>
      <c r="J30" s="3">
        <v>2001066</v>
      </c>
      <c r="K30" s="4">
        <v>0</v>
      </c>
      <c r="L30" s="3">
        <v>0</v>
      </c>
      <c r="M30" s="3">
        <v>543636.69999999995</v>
      </c>
      <c r="N30" s="4">
        <v>1.3099639999999999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30317.41</v>
      </c>
      <c r="F31" s="3">
        <v>249577.9</v>
      </c>
      <c r="G31" s="3">
        <v>-219260.5</v>
      </c>
      <c r="H31" s="3">
        <v>0</v>
      </c>
      <c r="I31" s="4">
        <v>0.27969500000000003</v>
      </c>
      <c r="J31" s="3">
        <v>1219977</v>
      </c>
      <c r="K31" s="4">
        <v>0</v>
      </c>
      <c r="L31" s="3">
        <v>0</v>
      </c>
      <c r="M31" s="3">
        <v>547098.4</v>
      </c>
      <c r="N31" s="4">
        <v>1.954653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836735.2</v>
      </c>
      <c r="F32" s="3">
        <v>2232238</v>
      </c>
      <c r="G32" s="3">
        <v>-1395503</v>
      </c>
      <c r="H32" s="3">
        <v>0</v>
      </c>
      <c r="I32" s="4">
        <v>0.26501200000000003</v>
      </c>
      <c r="J32" s="3">
        <v>12976000</v>
      </c>
      <c r="K32" s="4">
        <v>0</v>
      </c>
      <c r="L32" s="3">
        <v>0</v>
      </c>
      <c r="M32" s="3">
        <v>10255120</v>
      </c>
      <c r="N32" s="4">
        <v>3.341548</v>
      </c>
    </row>
    <row r="33" spans="1:14" x14ac:dyDescent="0.2">
      <c r="A33" s="10" t="s">
        <v>41</v>
      </c>
      <c r="B33" s="1" t="s">
        <v>40</v>
      </c>
      <c r="C33" s="3">
        <v>10000000</v>
      </c>
      <c r="D33" s="3">
        <v>10000000</v>
      </c>
      <c r="E33" s="3">
        <v>55759.11</v>
      </c>
      <c r="F33" s="3">
        <v>55759.11</v>
      </c>
      <c r="G33" s="3">
        <v>0</v>
      </c>
      <c r="H33" s="3">
        <v>0</v>
      </c>
      <c r="I33" s="4">
        <v>0.99990400000000002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2"/>
      <c r="B34" s="1" t="s">
        <v>59</v>
      </c>
      <c r="C34" s="3">
        <v>46768.01</v>
      </c>
      <c r="D34" s="3">
        <v>46768.01</v>
      </c>
      <c r="E34" s="3">
        <v>75778.559999999998</v>
      </c>
      <c r="F34" s="3">
        <v>83585.600000000006</v>
      </c>
      <c r="G34" s="3">
        <v>-7807.0429999999997</v>
      </c>
      <c r="H34" s="3">
        <v>0</v>
      </c>
      <c r="I34" s="4">
        <v>0.763988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44025349856.620003</v>
      </c>
      <c r="K35" s="5" t="s">
        <v>45</v>
      </c>
      <c r="L35" s="2">
        <f>SUM(L3:L32)</f>
        <v>81873696.645179987</v>
      </c>
      <c r="M35" s="2">
        <f>SUM(M3:M32)</f>
        <v>106568481.37999998</v>
      </c>
      <c r="N35" s="2">
        <f>SUM(N3:N32)</f>
        <v>124.816729</v>
      </c>
    </row>
    <row r="36" spans="1:14" x14ac:dyDescent="0.2">
      <c r="I36" s="8" t="s">
        <v>43</v>
      </c>
      <c r="J36" s="2">
        <f>SUM(J15,J17)</f>
        <v>9843244</v>
      </c>
    </row>
    <row r="37" spans="1:14" x14ac:dyDescent="0.2">
      <c r="I37" s="8" t="s">
        <v>44</v>
      </c>
      <c r="J37" s="2">
        <f>SUM(J20)</f>
        <v>1326375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11291584.4</v>
      </c>
    </row>
    <row r="41" spans="1:14" x14ac:dyDescent="0.2">
      <c r="A41" t="s">
        <v>48</v>
      </c>
      <c r="C41" s="2">
        <f>SUMIFS($J$2:$J$32,$B$2:$B$32, "Offshore Wind")+SUMIFS($J$2:$J$32,$B$2:$B$32, "Onshore Wind")</f>
        <v>9843244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4"/>
  <sheetViews>
    <sheetView topLeftCell="A15" workbookViewId="0">
      <selection sqref="A1:N33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3563871</v>
      </c>
      <c r="F7" s="3">
        <v>0</v>
      </c>
      <c r="G7" s="3">
        <v>3563871</v>
      </c>
      <c r="H7" s="3">
        <v>0</v>
      </c>
      <c r="I7" s="3">
        <v>0.1190991</v>
      </c>
      <c r="J7" s="3">
        <v>26359700</v>
      </c>
      <c r="K7" s="4">
        <v>0</v>
      </c>
      <c r="L7" s="3">
        <v>40925080</v>
      </c>
      <c r="M7" s="3">
        <v>40925080</v>
      </c>
      <c r="N7" s="4">
        <v>11.483323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4562.8919999999998</v>
      </c>
      <c r="F9" s="3">
        <v>0</v>
      </c>
      <c r="G9" s="3">
        <v>4562.8919999999998</v>
      </c>
      <c r="H9" s="3">
        <v>0</v>
      </c>
      <c r="I9" s="3">
        <v>0.1898436</v>
      </c>
      <c r="J9" s="3">
        <v>19472.11</v>
      </c>
      <c r="K9" s="4">
        <v>0</v>
      </c>
      <c r="L9" s="3">
        <v>56853.64</v>
      </c>
      <c r="M9" s="3">
        <v>97778.8</v>
      </c>
      <c r="N9" s="4">
        <v>21.429127999999999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1089.704</v>
      </c>
      <c r="F10" s="3">
        <v>0</v>
      </c>
      <c r="G10" s="3">
        <v>1089.704</v>
      </c>
      <c r="H10" s="3">
        <v>0</v>
      </c>
      <c r="I10" s="3">
        <v>5.976194E-4</v>
      </c>
      <c r="J10" s="3">
        <v>1822317</v>
      </c>
      <c r="K10" s="4">
        <v>0</v>
      </c>
      <c r="L10" s="3">
        <v>58844</v>
      </c>
      <c r="M10" s="3">
        <v>59022.11</v>
      </c>
      <c r="N10" s="4">
        <v>54.163479000000002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1388260</v>
      </c>
      <c r="F11" s="3">
        <v>0</v>
      </c>
      <c r="G11" s="3">
        <v>1388260</v>
      </c>
      <c r="H11" s="3">
        <v>0</v>
      </c>
      <c r="I11" s="3">
        <v>0.33487620000000001</v>
      </c>
      <c r="J11" s="3">
        <v>269976.59999999998</v>
      </c>
      <c r="K11" s="4">
        <v>0</v>
      </c>
      <c r="L11" s="3">
        <v>0</v>
      </c>
      <c r="M11" s="3">
        <v>9274449</v>
      </c>
      <c r="N11" s="4">
        <v>6.6806279999999996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237640</v>
      </c>
      <c r="F13" s="3">
        <v>0</v>
      </c>
      <c r="G13" s="3">
        <v>237640</v>
      </c>
      <c r="H13" s="3">
        <v>0</v>
      </c>
      <c r="I13" s="3">
        <v>0.4275853</v>
      </c>
      <c r="J13" s="3">
        <v>36129.54</v>
      </c>
      <c r="K13" s="4">
        <v>0</v>
      </c>
      <c r="L13" s="3">
        <v>0</v>
      </c>
      <c r="M13" s="3">
        <v>1984900</v>
      </c>
      <c r="N13" s="4">
        <v>8.3525500000000008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4075054</v>
      </c>
      <c r="F14" s="3">
        <v>0</v>
      </c>
      <c r="G14" s="3">
        <v>4075054</v>
      </c>
      <c r="H14" s="3">
        <v>0</v>
      </c>
      <c r="I14" s="3">
        <v>0.4080992</v>
      </c>
      <c r="J14" s="3">
        <v>5910396</v>
      </c>
      <c r="K14" s="4">
        <v>0</v>
      </c>
      <c r="L14" s="3">
        <v>40750540</v>
      </c>
      <c r="M14" s="3">
        <v>68232640</v>
      </c>
      <c r="N14" s="4">
        <v>16.743983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25493350</v>
      </c>
      <c r="F15" s="3">
        <v>0</v>
      </c>
      <c r="G15" s="3">
        <v>25493350</v>
      </c>
      <c r="H15" s="3">
        <v>0</v>
      </c>
      <c r="I15" s="3">
        <v>0.21790290000000001</v>
      </c>
      <c r="J15" s="3">
        <v>6621498</v>
      </c>
      <c r="K15" s="4">
        <v>0</v>
      </c>
      <c r="L15" s="3">
        <v>0</v>
      </c>
      <c r="M15" s="3">
        <v>102199400</v>
      </c>
      <c r="N15" s="4">
        <v>4.0088670000000004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11143500</v>
      </c>
      <c r="F17" s="3">
        <v>0</v>
      </c>
      <c r="G17" s="3">
        <v>11143500</v>
      </c>
      <c r="H17" s="3">
        <v>0</v>
      </c>
      <c r="I17" s="3">
        <v>0.1870137</v>
      </c>
      <c r="J17" s="3">
        <v>3191632</v>
      </c>
      <c r="K17" s="4">
        <v>0</v>
      </c>
      <c r="L17" s="3">
        <v>0</v>
      </c>
      <c r="M17" s="3">
        <v>41883210</v>
      </c>
      <c r="N17" s="4">
        <v>3.7585320000000002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13101050</v>
      </c>
      <c r="F20" s="3">
        <v>0</v>
      </c>
      <c r="G20" s="3">
        <v>13101050</v>
      </c>
      <c r="H20" s="3">
        <v>0</v>
      </c>
      <c r="I20" s="3">
        <v>0.14815519999999999</v>
      </c>
      <c r="J20" s="3">
        <v>1464489</v>
      </c>
      <c r="K20" s="4">
        <v>0</v>
      </c>
      <c r="L20" s="3">
        <v>0</v>
      </c>
      <c r="M20" s="3">
        <v>90378030</v>
      </c>
      <c r="N20" s="4">
        <v>6.8985320000000003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30487430</v>
      </c>
      <c r="F22" s="3">
        <v>24996390</v>
      </c>
      <c r="G22" s="3">
        <v>5491033</v>
      </c>
      <c r="H22" s="3">
        <v>-5491033</v>
      </c>
      <c r="I22" s="3">
        <v>0.11002190000000001</v>
      </c>
      <c r="J22" s="3">
        <v>0</v>
      </c>
      <c r="K22" s="4">
        <v>0</v>
      </c>
      <c r="L22" s="3">
        <v>0</v>
      </c>
      <c r="M22" s="3">
        <v>79289590</v>
      </c>
      <c r="N22" s="4">
        <v>1.4290579999999999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9588130</v>
      </c>
      <c r="F23" s="3">
        <v>5932878</v>
      </c>
      <c r="G23" s="3">
        <v>3655252</v>
      </c>
      <c r="H23" s="3">
        <v>-3655252</v>
      </c>
      <c r="I23" s="3">
        <v>0.57055710000000004</v>
      </c>
      <c r="J23" s="3">
        <v>30858500</v>
      </c>
      <c r="K23" s="4">
        <v>0</v>
      </c>
      <c r="L23" s="3">
        <v>0</v>
      </c>
      <c r="M23" s="3">
        <v>70979110</v>
      </c>
      <c r="N23" s="4">
        <v>4.573099</v>
      </c>
    </row>
    <row r="24" spans="1:14" x14ac:dyDescent="0.2">
      <c r="A24" s="11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123435.7</v>
      </c>
      <c r="G24" s="3">
        <v>-123435.7</v>
      </c>
      <c r="H24" s="3">
        <v>0</v>
      </c>
      <c r="I24" s="3">
        <v>1.5464230000000001E-2</v>
      </c>
      <c r="J24" s="3">
        <v>7858576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1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79057.45</v>
      </c>
      <c r="G25" s="3">
        <v>-79057.45</v>
      </c>
      <c r="H25" s="3">
        <v>0</v>
      </c>
      <c r="I25" s="3">
        <v>0.12997259999999999</v>
      </c>
      <c r="J25" s="3">
        <v>529205</v>
      </c>
      <c r="K25" s="4">
        <v>0</v>
      </c>
      <c r="L25" s="3">
        <v>395287.3</v>
      </c>
      <c r="M25" s="3">
        <v>0</v>
      </c>
      <c r="N25" s="4" t="s">
        <v>21</v>
      </c>
    </row>
    <row r="26" spans="1:14" x14ac:dyDescent="0.2">
      <c r="A26" s="12"/>
      <c r="B26" s="1" t="s">
        <v>33</v>
      </c>
      <c r="C26" s="3">
        <v>90000000</v>
      </c>
      <c r="D26" s="3">
        <v>90000000</v>
      </c>
      <c r="E26" s="3">
        <v>0</v>
      </c>
      <c r="F26" s="3">
        <v>6975.5630000000001</v>
      </c>
      <c r="G26" s="3">
        <v>-6975.5630000000001</v>
      </c>
      <c r="H26" s="3">
        <v>6975.5630000000001</v>
      </c>
      <c r="I26" s="3">
        <v>3.5472000000000002E-8</v>
      </c>
      <c r="J26" s="3">
        <v>196650000000</v>
      </c>
      <c r="K26" s="4">
        <v>0</v>
      </c>
      <c r="L26" s="3">
        <v>6.9760000000000003E-2</v>
      </c>
      <c r="M26" s="3">
        <v>-26675.78</v>
      </c>
      <c r="N26" s="4">
        <v>-3.8241710000000002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1877552</v>
      </c>
      <c r="G27" s="3">
        <v>-1877552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-14459820</v>
      </c>
      <c r="N27" s="4">
        <v>-7.7014230000000001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52178340</v>
      </c>
      <c r="G28" s="3">
        <v>-52178340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-411536500</v>
      </c>
      <c r="N28" s="4">
        <v>-7.8871140000000004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3188142</v>
      </c>
      <c r="F29" s="3">
        <v>6483999</v>
      </c>
      <c r="G29" s="3">
        <v>-3295856</v>
      </c>
      <c r="H29" s="3">
        <v>0</v>
      </c>
      <c r="I29" s="3">
        <v>0.1672187</v>
      </c>
      <c r="J29" s="3">
        <v>61137120</v>
      </c>
      <c r="K29" s="4">
        <v>0</v>
      </c>
      <c r="L29" s="3">
        <v>0</v>
      </c>
      <c r="M29" s="3">
        <v>16751320</v>
      </c>
      <c r="N29" s="4">
        <v>1.731914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165906.79999999999</v>
      </c>
      <c r="F30" s="3">
        <v>289981.2</v>
      </c>
      <c r="G30" s="3">
        <v>-124074.4</v>
      </c>
      <c r="H30" s="3">
        <v>0</v>
      </c>
      <c r="I30" s="3">
        <v>0.2432581</v>
      </c>
      <c r="J30" s="3">
        <v>1998166</v>
      </c>
      <c r="K30" s="4">
        <v>0</v>
      </c>
      <c r="L30" s="3">
        <v>0</v>
      </c>
      <c r="M30" s="3">
        <v>549620.4</v>
      </c>
      <c r="N30" s="4">
        <v>1.2056039999999999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32199.39</v>
      </c>
      <c r="F31" s="3">
        <v>242076.2</v>
      </c>
      <c r="G31" s="3">
        <v>-209876.8</v>
      </c>
      <c r="H31" s="3">
        <v>0</v>
      </c>
      <c r="I31" s="3">
        <v>0.27407900000000002</v>
      </c>
      <c r="J31" s="3">
        <v>1210594</v>
      </c>
      <c r="K31" s="4">
        <v>0</v>
      </c>
      <c r="L31" s="3">
        <v>0</v>
      </c>
      <c r="M31" s="3">
        <v>552913.9</v>
      </c>
      <c r="N31" s="4">
        <v>2.0159069999999999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953585.1</v>
      </c>
      <c r="F32" s="3">
        <v>2283745</v>
      </c>
      <c r="G32" s="3">
        <v>-1330160</v>
      </c>
      <c r="H32" s="3">
        <v>0</v>
      </c>
      <c r="I32" s="3">
        <v>0.27955010000000002</v>
      </c>
      <c r="J32" s="3">
        <v>12910660</v>
      </c>
      <c r="K32" s="4">
        <v>0</v>
      </c>
      <c r="L32" s="3">
        <v>0</v>
      </c>
      <c r="M32" s="3">
        <v>10351250</v>
      </c>
      <c r="N32" s="4">
        <v>3.1974649999999998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77941.759999999995</v>
      </c>
      <c r="F33" s="3">
        <v>85289.29</v>
      </c>
      <c r="G33" s="3">
        <v>-7347.53</v>
      </c>
      <c r="H33" s="3">
        <v>0</v>
      </c>
      <c r="I33" s="3">
        <v>0.71902010000000005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196962527157.95001</v>
      </c>
      <c r="K34" s="5" t="s">
        <v>45</v>
      </c>
      <c r="L34" s="2">
        <f>SUM(L2:L31)</f>
        <v>82186605.009759992</v>
      </c>
      <c r="M34" s="2">
        <f>SUM(M2:M31)</f>
        <v>97134068.430000007</v>
      </c>
      <c r="N34" s="2">
        <f>SUM(N2:N31)</f>
        <v>125.06189599999998</v>
      </c>
    </row>
    <row r="35" spans="1:14" x14ac:dyDescent="0.2">
      <c r="I35" s="8" t="s">
        <v>43</v>
      </c>
      <c r="J35" s="2">
        <f>SUM(J15,J17)</f>
        <v>9813130</v>
      </c>
    </row>
    <row r="36" spans="1:14" x14ac:dyDescent="0.2">
      <c r="I36" s="8" t="s">
        <v>44</v>
      </c>
      <c r="J36" s="2">
        <f>SUM(J20)</f>
        <v>1464489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11399584.4</v>
      </c>
    </row>
    <row r="41" spans="1:14" x14ac:dyDescent="0.2">
      <c r="A41" t="s">
        <v>48</v>
      </c>
      <c r="C41" s="2">
        <f>SUMIFS($J$2:$J$34,$B$2:$B$34, "Offshore Wind")+SUMIFS($J$2:$J$34,$B$2:$B$34, "Onshore Wind")</f>
        <v>9813130</v>
      </c>
    </row>
    <row r="43" spans="1:14" x14ac:dyDescent="0.2">
      <c r="A43" t="s">
        <v>62</v>
      </c>
    </row>
    <row r="44" spans="1:14" x14ac:dyDescent="0.2">
      <c r="A44" t="s">
        <v>63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4"/>
  <sheetViews>
    <sheetView tabSelected="1" topLeftCell="A11" workbookViewId="0">
      <selection sqref="A1:N35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3549767</v>
      </c>
      <c r="F7" s="3">
        <v>0</v>
      </c>
      <c r="G7" s="3">
        <v>3549767</v>
      </c>
      <c r="H7" s="3">
        <v>0</v>
      </c>
      <c r="I7" s="3">
        <v>0.11862780000000001</v>
      </c>
      <c r="J7" s="3">
        <v>26373810</v>
      </c>
      <c r="K7" s="4">
        <v>0</v>
      </c>
      <c r="L7" s="3">
        <v>40561340</v>
      </c>
      <c r="M7" s="3">
        <v>40561340</v>
      </c>
      <c r="N7" s="4">
        <v>11.42648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4477.4030000000002</v>
      </c>
      <c r="F9" s="3">
        <v>0</v>
      </c>
      <c r="G9" s="3">
        <v>4477.4030000000002</v>
      </c>
      <c r="H9" s="3">
        <v>0</v>
      </c>
      <c r="I9" s="3">
        <v>0.18628639999999999</v>
      </c>
      <c r="J9" s="3">
        <v>19557.599999999999</v>
      </c>
      <c r="K9" s="4">
        <v>0</v>
      </c>
      <c r="L9" s="3">
        <v>55788.44</v>
      </c>
      <c r="M9" s="3">
        <v>96401.65</v>
      </c>
      <c r="N9" s="4">
        <v>21.530757000000001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1054.875</v>
      </c>
      <c r="F10" s="3">
        <v>0</v>
      </c>
      <c r="G10" s="3">
        <v>1054.875</v>
      </c>
      <c r="H10" s="3">
        <v>0</v>
      </c>
      <c r="I10" s="3">
        <v>5.7851840000000001E-4</v>
      </c>
      <c r="J10" s="3">
        <v>1822352</v>
      </c>
      <c r="K10" s="4">
        <v>0</v>
      </c>
      <c r="L10" s="3">
        <v>56963.24</v>
      </c>
      <c r="M10" s="3">
        <v>57137.24</v>
      </c>
      <c r="N10" s="4">
        <v>54.164960999999998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1397789</v>
      </c>
      <c r="F11" s="3">
        <v>0</v>
      </c>
      <c r="G11" s="3">
        <v>1397789</v>
      </c>
      <c r="H11" s="3">
        <v>0</v>
      </c>
      <c r="I11" s="3">
        <v>0.3371749</v>
      </c>
      <c r="J11" s="3">
        <v>260447.3</v>
      </c>
      <c r="K11" s="4">
        <v>0</v>
      </c>
      <c r="L11" s="3">
        <v>0</v>
      </c>
      <c r="M11" s="3">
        <v>9260984</v>
      </c>
      <c r="N11" s="4">
        <v>6.6254499999999998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237608.1</v>
      </c>
      <c r="F13" s="3">
        <v>0</v>
      </c>
      <c r="G13" s="3">
        <v>237608.1</v>
      </c>
      <c r="H13" s="3">
        <v>0</v>
      </c>
      <c r="I13" s="3">
        <v>0.42752780000000001</v>
      </c>
      <c r="J13" s="3">
        <v>36161.480000000003</v>
      </c>
      <c r="K13" s="4">
        <v>0</v>
      </c>
      <c r="L13" s="3">
        <v>0</v>
      </c>
      <c r="M13" s="3">
        <v>1983320</v>
      </c>
      <c r="N13" s="4">
        <v>8.3470209999999998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4073912</v>
      </c>
      <c r="F14" s="3">
        <v>0</v>
      </c>
      <c r="G14" s="3">
        <v>4073912</v>
      </c>
      <c r="H14" s="3">
        <v>0</v>
      </c>
      <c r="I14" s="3">
        <v>0.40798489999999998</v>
      </c>
      <c r="J14" s="3">
        <v>5911538</v>
      </c>
      <c r="K14" s="4">
        <v>0</v>
      </c>
      <c r="L14" s="3">
        <v>40739120</v>
      </c>
      <c r="M14" s="3">
        <v>68031800</v>
      </c>
      <c r="N14" s="4">
        <v>16.699376999999998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25494170</v>
      </c>
      <c r="F15" s="3">
        <v>0</v>
      </c>
      <c r="G15" s="3">
        <v>25494170</v>
      </c>
      <c r="H15" s="3">
        <v>0</v>
      </c>
      <c r="I15" s="3">
        <v>0.21790989999999999</v>
      </c>
      <c r="J15" s="3">
        <v>6620674</v>
      </c>
      <c r="K15" s="4">
        <v>0</v>
      </c>
      <c r="L15" s="3">
        <v>0</v>
      </c>
      <c r="M15" s="3">
        <v>102331000</v>
      </c>
      <c r="N15" s="4">
        <v>4.0138980000000002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11226210</v>
      </c>
      <c r="F17" s="3">
        <v>0</v>
      </c>
      <c r="G17" s="3">
        <v>11226210</v>
      </c>
      <c r="H17" s="3">
        <v>0</v>
      </c>
      <c r="I17" s="3">
        <v>0.1884016</v>
      </c>
      <c r="J17" s="3">
        <v>3108928</v>
      </c>
      <c r="K17" s="4">
        <v>0</v>
      </c>
      <c r="L17" s="3">
        <v>0</v>
      </c>
      <c r="M17" s="3">
        <v>41906780</v>
      </c>
      <c r="N17" s="4">
        <v>3.732942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13077560</v>
      </c>
      <c r="F20" s="3">
        <v>0</v>
      </c>
      <c r="G20" s="3">
        <v>13077560</v>
      </c>
      <c r="H20" s="3">
        <v>0</v>
      </c>
      <c r="I20" s="3">
        <v>0.14788960000000001</v>
      </c>
      <c r="J20" s="3">
        <v>1487982</v>
      </c>
      <c r="K20" s="4">
        <v>0</v>
      </c>
      <c r="L20" s="3">
        <v>0</v>
      </c>
      <c r="M20" s="3">
        <v>90262720</v>
      </c>
      <c r="N20" s="4">
        <v>6.9021080000000001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30492620</v>
      </c>
      <c r="F22" s="3">
        <v>24869710</v>
      </c>
      <c r="G22" s="3">
        <v>5622907</v>
      </c>
      <c r="H22" s="3">
        <v>-5622907</v>
      </c>
      <c r="I22" s="3">
        <v>0.109781</v>
      </c>
      <c r="J22" s="3">
        <v>0</v>
      </c>
      <c r="K22" s="4">
        <v>0</v>
      </c>
      <c r="L22" s="3">
        <v>0</v>
      </c>
      <c r="M22" s="3">
        <v>79262580</v>
      </c>
      <c r="N22" s="4">
        <v>1.4317059999999999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9553478</v>
      </c>
      <c r="F23" s="3">
        <v>5912691</v>
      </c>
      <c r="G23" s="3">
        <v>3640787</v>
      </c>
      <c r="H23" s="3">
        <v>-3640787</v>
      </c>
      <c r="I23" s="3">
        <v>0.56854119999999997</v>
      </c>
      <c r="J23" s="3">
        <v>30844040</v>
      </c>
      <c r="K23" s="4">
        <v>0</v>
      </c>
      <c r="L23" s="3">
        <v>0</v>
      </c>
      <c r="M23" s="3">
        <v>70550810</v>
      </c>
      <c r="N23" s="4">
        <v>4.5616219999999998</v>
      </c>
    </row>
    <row r="24" spans="1:14" x14ac:dyDescent="0.2">
      <c r="A24" s="11"/>
      <c r="B24" s="1" t="s">
        <v>40</v>
      </c>
      <c r="C24" s="3">
        <v>20000000</v>
      </c>
      <c r="D24" s="3">
        <v>20000000</v>
      </c>
      <c r="E24" s="3">
        <v>0</v>
      </c>
      <c r="F24" s="3">
        <v>111333.1</v>
      </c>
      <c r="G24" s="3">
        <v>-111333.1</v>
      </c>
      <c r="H24" s="3">
        <v>0</v>
      </c>
      <c r="I24" s="3">
        <v>2.5476700000000002E-6</v>
      </c>
      <c r="J24" s="3">
        <v>43699890000</v>
      </c>
      <c r="K24" s="4">
        <v>0</v>
      </c>
      <c r="L24" s="3">
        <v>1.1133299999999999</v>
      </c>
      <c r="M24" s="3">
        <v>-641395.1</v>
      </c>
      <c r="N24" s="4">
        <v>-5.7610429999999999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122486</v>
      </c>
      <c r="G25" s="3">
        <v>-122486</v>
      </c>
      <c r="H25" s="3">
        <v>0</v>
      </c>
      <c r="I25" s="3">
        <v>1.534525E-2</v>
      </c>
      <c r="J25" s="3">
        <v>7859526</v>
      </c>
      <c r="K25" s="4">
        <v>0</v>
      </c>
      <c r="L25" s="3">
        <v>0</v>
      </c>
      <c r="M25" s="3">
        <v>0</v>
      </c>
      <c r="N25" s="4" t="s">
        <v>21</v>
      </c>
    </row>
    <row r="26" spans="1:14" ht="30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78216.38</v>
      </c>
      <c r="G26" s="3">
        <v>-78216.38</v>
      </c>
      <c r="H26" s="3">
        <v>0</v>
      </c>
      <c r="I26" s="3">
        <v>0.1285898</v>
      </c>
      <c r="J26" s="3">
        <v>530046.1</v>
      </c>
      <c r="K26" s="4">
        <v>0</v>
      </c>
      <c r="L26" s="3">
        <v>391081.9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90000000</v>
      </c>
      <c r="D27" s="3">
        <v>90000000</v>
      </c>
      <c r="E27" s="3">
        <v>0</v>
      </c>
      <c r="F27" s="3">
        <v>6947.3519999999999</v>
      </c>
      <c r="G27" s="3">
        <v>-6947.3519999999999</v>
      </c>
      <c r="H27" s="3">
        <v>6947.3519999999999</v>
      </c>
      <c r="I27" s="3">
        <v>3.5328559999999997E-8</v>
      </c>
      <c r="J27" s="3">
        <v>196650000000</v>
      </c>
      <c r="K27" s="4">
        <v>0</v>
      </c>
      <c r="L27" s="3">
        <v>6.9470000000000004E-2</v>
      </c>
      <c r="M27" s="3">
        <v>-26283.46</v>
      </c>
      <c r="N27" s="4">
        <v>-3.7832319999999999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1877552</v>
      </c>
      <c r="G28" s="3">
        <v>-1877552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-14443990</v>
      </c>
      <c r="N28" s="4">
        <v>-7.6929910000000001</v>
      </c>
    </row>
    <row r="29" spans="1:14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52178340</v>
      </c>
      <c r="G29" s="3">
        <v>-52178340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-411015600</v>
      </c>
      <c r="N29" s="4">
        <v>-7.8771310000000003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3017265</v>
      </c>
      <c r="F30" s="3">
        <v>6347578</v>
      </c>
      <c r="G30" s="3">
        <v>-3330313</v>
      </c>
      <c r="H30" s="3">
        <v>0</v>
      </c>
      <c r="I30" s="3">
        <v>0.16190589999999999</v>
      </c>
      <c r="J30" s="3">
        <v>61171570</v>
      </c>
      <c r="K30" s="4">
        <v>0</v>
      </c>
      <c r="L30" s="3">
        <v>0</v>
      </c>
      <c r="M30" s="3">
        <v>16561660</v>
      </c>
      <c r="N30" s="4">
        <v>1.7684930000000001</v>
      </c>
    </row>
    <row r="31" spans="1:14" ht="30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158043.79999999999</v>
      </c>
      <c r="F31" s="3">
        <v>283805.40000000002</v>
      </c>
      <c r="G31" s="3">
        <v>-125761.5</v>
      </c>
      <c r="H31" s="3">
        <v>0</v>
      </c>
      <c r="I31" s="3">
        <v>0.23576710000000001</v>
      </c>
      <c r="J31" s="3">
        <v>1999854</v>
      </c>
      <c r="K31" s="4">
        <v>0</v>
      </c>
      <c r="L31" s="3">
        <v>0</v>
      </c>
      <c r="M31" s="3">
        <v>543317.6</v>
      </c>
      <c r="N31" s="4">
        <v>1.2296450000000001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31759.77</v>
      </c>
      <c r="F32" s="3">
        <v>247508.5</v>
      </c>
      <c r="G32" s="3">
        <v>-215748.7</v>
      </c>
      <c r="H32" s="3">
        <v>0</v>
      </c>
      <c r="I32" s="3">
        <v>0.27906819999999999</v>
      </c>
      <c r="J32" s="3">
        <v>1216466</v>
      </c>
      <c r="K32" s="4">
        <v>0</v>
      </c>
      <c r="L32" s="3">
        <v>0</v>
      </c>
      <c r="M32" s="3">
        <v>546913</v>
      </c>
      <c r="N32" s="4">
        <v>1.9583790000000001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940147.8</v>
      </c>
      <c r="F33" s="3">
        <v>2282626</v>
      </c>
      <c r="G33" s="3">
        <v>-1342478</v>
      </c>
      <c r="H33" s="3">
        <v>0</v>
      </c>
      <c r="I33" s="3">
        <v>0.27829310000000002</v>
      </c>
      <c r="J33" s="3">
        <v>12922980</v>
      </c>
      <c r="K33" s="4">
        <v>0</v>
      </c>
      <c r="L33" s="3">
        <v>0</v>
      </c>
      <c r="M33" s="3">
        <v>10253000</v>
      </c>
      <c r="N33" s="4">
        <v>3.1814209999999998</v>
      </c>
    </row>
    <row r="34" spans="1:14" x14ac:dyDescent="0.2">
      <c r="A34" s="10" t="s">
        <v>41</v>
      </c>
      <c r="B34" s="1" t="s">
        <v>40</v>
      </c>
      <c r="C34" s="3">
        <v>10000000</v>
      </c>
      <c r="D34" s="3">
        <v>10000000</v>
      </c>
      <c r="E34" s="3">
        <v>55666.57</v>
      </c>
      <c r="F34" s="3">
        <v>55666.57</v>
      </c>
      <c r="G34" s="3">
        <v>0</v>
      </c>
      <c r="H34" s="3">
        <v>0</v>
      </c>
      <c r="I34" s="3">
        <v>0.99990460000000003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77471.09</v>
      </c>
      <c r="F35" s="3">
        <v>84994.880000000005</v>
      </c>
      <c r="G35" s="3">
        <v>-7523.7870000000003</v>
      </c>
      <c r="H35" s="3">
        <v>0</v>
      </c>
      <c r="I35" s="3">
        <v>0.73626840000000005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240674501539.38</v>
      </c>
      <c r="K36" s="5" t="s">
        <v>45</v>
      </c>
      <c r="L36" s="2">
        <f>SUM(L4:L33)</f>
        <v>81804294.762800023</v>
      </c>
      <c r="M36" s="2">
        <f>SUM(M4:M33)</f>
        <v>106082494.92999998</v>
      </c>
      <c r="N36" s="2">
        <f>SUM(N4:N33)</f>
        <v>122.45986299999998</v>
      </c>
    </row>
    <row r="37" spans="1:14" x14ac:dyDescent="0.2">
      <c r="I37" s="8" t="s">
        <v>43</v>
      </c>
      <c r="J37" s="2">
        <f>SUM(J15,J17)</f>
        <v>9729602</v>
      </c>
    </row>
    <row r="38" spans="1:14" x14ac:dyDescent="0.2">
      <c r="A38" t="s">
        <v>46</v>
      </c>
      <c r="I38" s="8" t="s">
        <v>44</v>
      </c>
      <c r="J38" s="2">
        <f>SUM(J20)</f>
        <v>1487982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11339549.4</v>
      </c>
    </row>
    <row r="41" spans="1:14" x14ac:dyDescent="0.2">
      <c r="A41" t="s">
        <v>48</v>
      </c>
      <c r="C41" s="2">
        <f>SUMIFS($J$2:$J$32,$B$2:$B$32, "Offshore Wind")+SUMIFS($J$2:$J$32,$B$2:$B$32, "Onshore Wind")</f>
        <v>9729602</v>
      </c>
    </row>
    <row r="43" spans="1:14" x14ac:dyDescent="0.2">
      <c r="A43" t="s">
        <v>60</v>
      </c>
    </row>
    <row r="44" spans="1:14" x14ac:dyDescent="0.2">
      <c r="A44" t="s">
        <v>61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2026-08-16T07:23:08Z</dcterms:modified>
</cp:coreProperties>
</file>