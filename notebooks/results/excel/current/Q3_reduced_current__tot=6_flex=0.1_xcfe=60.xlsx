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current/"/>
    </mc:Choice>
  </mc:AlternateContent>
  <xr:revisionPtr revIDLastSave="0" documentId="13_ncr:1_{72753091-61D6-E24C-99CD-82786A620872}" xr6:coauthVersionLast="47" xr6:coauthVersionMax="47" xr10:uidLastSave="{00000000-0000-0000-0000-000000000000}"/>
  <bookViews>
    <workbookView xWindow="9620" yWindow="660" windowWidth="20620" windowHeight="17400" xr2:uid="{D4188A73-9F76-7B43-A2AE-82D891E862BC}"/>
  </bookViews>
  <sheets>
    <sheet name="Summary" sheetId="8" r:id="rId1"/>
    <sheet name="Inflexible" sheetId="9" r:id="rId2"/>
    <sheet name="Temporal" sheetId="10" r:id="rId3"/>
    <sheet name="Spatial" sheetId="11" r:id="rId4"/>
    <sheet name="Both" sheetId="12" r:id="rId5"/>
    <sheet name="CFE" sheetId="13" r:id="rId6"/>
    <sheet name="CFE_both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8" l="1"/>
  <c r="F23" i="8"/>
  <c r="E23" i="8"/>
  <c r="D23" i="8"/>
  <c r="C23" i="8"/>
  <c r="E11" i="8"/>
  <c r="B7" i="8"/>
  <c r="D14" i="8"/>
  <c r="B13" i="8"/>
  <c r="F13" i="8"/>
  <c r="C15" i="8"/>
  <c r="B15" i="8"/>
  <c r="B14" i="8"/>
  <c r="B12" i="8"/>
  <c r="B8" i="8"/>
  <c r="C12" i="8"/>
  <c r="E13" i="8"/>
  <c r="F11" i="8"/>
  <c r="E12" i="8"/>
  <c r="G15" i="8"/>
  <c r="G13" i="8"/>
  <c r="E14" i="8"/>
  <c r="E15" i="8"/>
  <c r="F12" i="8"/>
  <c r="D13" i="8"/>
  <c r="G11" i="8"/>
  <c r="F15" i="8"/>
  <c r="B11" i="8"/>
  <c r="G12" i="8"/>
  <c r="D12" i="8"/>
  <c r="C11" i="8"/>
  <c r="D15" i="8"/>
  <c r="C13" i="8"/>
  <c r="D11" i="8"/>
  <c r="G14" i="8"/>
  <c r="C14" i="8"/>
  <c r="F14" i="8"/>
  <c r="F20" i="8" l="1"/>
  <c r="C21" i="8"/>
  <c r="C18" i="8"/>
  <c r="C20" i="8"/>
  <c r="D20" i="8"/>
  <c r="D21" i="8"/>
  <c r="F21" i="8"/>
  <c r="E18" i="8"/>
  <c r="D19" i="8"/>
  <c r="E22" i="8"/>
  <c r="C22" i="8"/>
  <c r="E20" i="8"/>
  <c r="E19" i="8"/>
  <c r="G20" i="8"/>
  <c r="G22" i="8"/>
  <c r="F18" i="8"/>
  <c r="F19" i="8"/>
  <c r="G18" i="8"/>
  <c r="F22" i="8"/>
  <c r="C19" i="8"/>
  <c r="E21" i="8"/>
  <c r="G21" i="8"/>
  <c r="G19" i="8"/>
  <c r="D22" i="8"/>
  <c r="D18" i="8"/>
</calcChain>
</file>

<file path=xl/sharedStrings.xml><?xml version="1.0" encoding="utf-8"?>
<sst xmlns="http://schemas.openxmlformats.org/spreadsheetml/2006/main" count="323" uniqueCount="78">
  <si>
    <t>BIG SUMMARY</t>
  </si>
  <si>
    <t xml:space="preserve">Data Centre Allocation: </t>
  </si>
  <si>
    <t>Flexibility:</t>
  </si>
  <si>
    <t>x_CFE: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</si>
  <si>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</si>
  <si>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</si>
  <si>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</si>
  <si>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</si>
  <si>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</si>
  <si>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</si>
  <si>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</si>
  <si>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</si>
  <si>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</si>
  <si>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</si>
  <si>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</si>
  <si>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</si>
  <si>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</si>
  <si>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</si>
  <si>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</si>
  <si>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Objective Reduction w.r.t. Inflexible</t>
  </si>
  <si>
    <t>DC Cost Reduction w.r.t. Inflexible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</si>
  <si>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</si>
  <si>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</si>
  <si>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</si>
  <si>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</si>
  <si>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Hydrogen Gas</t>
  </si>
  <si>
    <t>Store</t>
  </si>
  <si>
    <t>Pumped Storage Hydroelectricity</t>
  </si>
  <si>
    <t>Liquid Air Energy Storage</t>
  </si>
  <si>
    <t>Domestic Battery Storage</t>
  </si>
  <si>
    <t>Battery Storage</t>
  </si>
  <si>
    <t>StorageUnit</t>
  </si>
  <si>
    <t>Electricity</t>
  </si>
  <si>
    <t>Data Centre</t>
  </si>
  <si>
    <t>Load</t>
  </si>
  <si>
    <t>H2 Power Generation</t>
  </si>
  <si>
    <t>Electrolysis</t>
  </si>
  <si>
    <t>DC</t>
  </si>
  <si>
    <t>Link</t>
  </si>
  <si>
    <t>AC</t>
  </si>
  <si>
    <t>Line</t>
  </si>
  <si>
    <t>Waste to Energy</t>
  </si>
  <si>
    <t>Solar PV</t>
  </si>
  <si>
    <t>Sewage Gas</t>
  </si>
  <si>
    <t>Open Cycle Gas Turbine</t>
  </si>
  <si>
    <t>Onshore Wind</t>
  </si>
  <si>
    <t>Oil</t>
  </si>
  <si>
    <t>Offshore Wind</t>
  </si>
  <si>
    <t>Nuclear</t>
  </si>
  <si>
    <t>Marine Energy</t>
  </si>
  <si>
    <t>Load Shedding</t>
  </si>
  <si>
    <t>Large Hydro</t>
  </si>
  <si>
    <t>Landfill Gas</t>
  </si>
  <si>
    <t>Geothermal</t>
  </si>
  <si>
    <t>Gas Engine</t>
  </si>
  <si>
    <t>European Imports</t>
  </si>
  <si>
    <t>Combined Heat &amp; Power</t>
  </si>
  <si>
    <t>Combined Cycle Gas Turbine</t>
  </si>
  <si>
    <t>Biomass</t>
  </si>
  <si>
    <t>Biogas</t>
  </si>
  <si>
    <t>Advanced Biofuel</t>
  </si>
  <si>
    <t>Generator</t>
  </si>
  <si>
    <t>Market Value</t>
  </si>
  <si>
    <t>Revenue</t>
  </si>
  <si>
    <t>Operational Expenditure</t>
  </si>
  <si>
    <t>Capital Expenditure</t>
  </si>
  <si>
    <t>Curtailment</t>
  </si>
  <si>
    <t>Capacity Factor</t>
  </si>
  <si>
    <t>Transmission</t>
  </si>
  <si>
    <t>Energy Balance</t>
  </si>
  <si>
    <t>Withdrawal</t>
  </si>
  <si>
    <t>Supply</t>
  </si>
  <si>
    <t>Installed Capacity</t>
  </si>
  <si>
    <t>Optimal Capacity</t>
  </si>
  <si>
    <t>DSM</t>
  </si>
  <si>
    <t>Virtual Link</t>
  </si>
  <si>
    <t>-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</si>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</sst>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13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0" fontId="6" fillId="0" borderId="0" xfId="2" applyFont="1"/>
    <xf numFmtId="10" fontId="2" fillId="0" borderId="0" xfId="2" applyNumberFormat="1"/>
    <xf numFmtId="0" fontId="5" fillId="0" borderId="0" xfId="4"/>
    <xf numFmtId="0" fontId="7" fillId="0" borderId="1" xfId="4" applyFont="1" applyBorder="1" applyAlignment="1">
      <alignment horizontal="center" vertical="top"/>
    </xf>
    <xf numFmtId="0" fontId="7" fillId="0" borderId="1" xfId="4" applyFont="1" applyBorder="1" applyAlignment="1">
      <alignment horizontal="center" vertical="top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4"/>
  <sheetViews>
    <sheetView tabSelected="1" workbookViewId="0">
      <selection activeCell="B7" sqref="B7"/>
    </sheetView>
  </sheetViews>
  <sheetFormatPr baseColWidth="10" defaultRowHeight="16" x14ac:dyDescent="0.2"/>
  <cols>
    <col min="1" max="1" width="45.1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0</v>
      </c>
    </row>
    <row r="3" spans="1:7" x14ac:dyDescent="0.2">
      <c r="A3" s="4" t="s">
        <v>1</v>
      </c>
      <c r="B3" s="2" t="s">
        <v>77</v>
      </c>
    </row>
    <row r="4" spans="1:7" x14ac:dyDescent="0.2">
      <c r="A4" s="4" t="s">
        <v>4</v>
      </c>
      <c r="B4" s="2">
        <v>6</v>
      </c>
      <c r="D4" s="1"/>
    </row>
    <row r="5" spans="1:7" x14ac:dyDescent="0.2">
      <c r="A5" s="4" t="s">
        <v>2</v>
      </c>
      <c r="B5" s="6">
        <v>0.1</v>
      </c>
      <c r="D5" s="1"/>
    </row>
    <row r="6" spans="1:7" x14ac:dyDescent="0.2">
      <c r="A6" s="4" t="s">
        <v>3</v>
      </c>
      <c r="B6" s="6">
        <v>0.6</v>
      </c>
      <c r="D6" s="1"/>
    </row>
    <row r="7" spans="1:7" x14ac:dyDescent="0.2">
      <c r="A7" s="4" t="s">
        <v>5</v>
      </c>
      <c r="B7" s="3">
        <f ca="1">SUMIFS(INDIRECT(B$10&amp;"!$D$2:$D$35"), INDIRECT(B$10&amp;"!$B$2:$B$35"), "Solar PV")
+SUMIFS(INDIRECT(B$10&amp;"!$D$2:$D$35"), INDIRECT(B$10&amp;"!$B$2:$B$35"), "Offshore Wind")
+SUMIFS(INDIRECT(B$10&amp;"!$D$2:$D$35"), INDIRECT(B$10&amp;"!$B$2:$B$35"), "Onshore Wind")
+SUMIFS(INDIRECT(B$10&amp;"!$D$2:$D$35"), INDIRECT(B$10&amp;"!$B$2:$B$35"), "Large Hydro")
+SUMIFS(INDIRECT(B$10&amp;"!$D$2:$D$35"), INDIRECT(B$10&amp;"!$B$2:$B$35"), "Marine Energy")</f>
        <v>123437.01899999999</v>
      </c>
      <c r="D7" s="1"/>
    </row>
    <row r="8" spans="1:7" x14ac:dyDescent="0.2">
      <c r="A8" s="4" t="s">
        <v>16</v>
      </c>
      <c r="B8" s="3">
        <f ca="1">SUMIFS(INDIRECT(B$10&amp;"!$D$2:$D$35"), INDIRECT(B$10&amp;"!$B$2:$B$35"), "Battery Storage")
+SUMIFS(INDIRECT(B$10&amp;"!$D$2:$D$35"), INDIRECT(B$10&amp;"!$B$2:$B$35"), "Domestic Battery Storage")
+SUMIFS(INDIRECT(B$10&amp;"!$D$2:$D$35"), INDIRECT(B$10&amp;"!$B$2:$B$35"), "Liquid Air Energy Storage")
+SUMIFS(INDIRECT(B$10&amp;"!$D$2:$D$35"), INDIRECT(B$10&amp;"!$B$2:$B$35"), "Pumped Storage Hydroelectricity")</f>
        <v>33087.675000000003</v>
      </c>
      <c r="D8" s="1"/>
    </row>
    <row r="10" spans="1:7" x14ac:dyDescent="0.2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18</v>
      </c>
    </row>
    <row r="11" spans="1:7" x14ac:dyDescent="0.2">
      <c r="A11" s="4" t="s">
        <v>6</v>
      </c>
      <c r="B11" s="3">
        <f ca="1">SUMIFS(INDIRECT(B$10&amp;"!$J$2:$J$35"), INDIRECT(B$10&amp;"!$B$2:$B$35"), "Solar PV")
+SUMIFS(INDIRECT(B$10&amp;"!$J$2:$J$35"), INDIRECT(B$10&amp;"!$B$2:$B$35"), "Offshore Wind")
+SUMIFS(INDIRECT(B$10&amp;"!$J$2:$J$35"), INDIRECT(B$10&amp;"!$B$2:$B$35"), "Onshore Wind")
+SUMIFS(INDIRECT(B$10&amp;"!$J$2:$J$35"), INDIRECT(B$10&amp;"!$B$2:$B$35"), "Large Hydro")
+SUMIFS(INDIRECT(B$10&amp;"!$J$2:$J$35"), INDIRECT(B$10&amp;"!$B$2:$B$35"), "Marine Energy")</f>
        <v>11059664.402249999</v>
      </c>
      <c r="C11" s="3">
        <f t="shared" ref="C11:G11" ca="1" si="0">SUMIFS(INDIRECT(C$10&amp;"!$J$2:$J$35"), INDIRECT(C$10&amp;"!$B$2:$B$35"), "Solar PV")
+SUMIFS(INDIRECT(C$10&amp;"!$J$2:$J$35"), INDIRECT(C$10&amp;"!$B$2:$B$35"), "Offshore Wind")
+SUMIFS(INDIRECT(C$10&amp;"!$J$2:$J$35"), INDIRECT(C$10&amp;"!$B$2:$B$35"), "Onshore Wind")
+SUMIFS(INDIRECT(C$10&amp;"!$J$2:$J$35"), INDIRECT(C$10&amp;"!$B$2:$B$35"), "Large Hydro")
+SUMIFS(INDIRECT(C$10&amp;"!$J$2:$J$35"), INDIRECT(C$10&amp;"!$B$2:$B$35"), "Marine Energy")</f>
        <v>11006724.964639999</v>
      </c>
      <c r="D11" s="3">
        <f t="shared" ca="1" si="0"/>
        <v>11446747.117069999</v>
      </c>
      <c r="E11" s="3">
        <f t="shared" ca="1" si="0"/>
        <v>11035493.237600001</v>
      </c>
      <c r="F11" s="3">
        <f t="shared" ca="1" si="0"/>
        <v>0</v>
      </c>
      <c r="G11" s="3">
        <f t="shared" ca="1" si="0"/>
        <v>0</v>
      </c>
    </row>
    <row r="12" spans="1:7" x14ac:dyDescent="0.2">
      <c r="A12" s="4" t="s">
        <v>7</v>
      </c>
      <c r="B12" s="3">
        <f ca="1">SUMIFS(INDIRECT(B$10&amp;"!$J$2:$J$35"), INDIRECT(B$10&amp;"!$B$2:$B$35"), "Offshore Wind")</f>
        <v>6327287.2891699998</v>
      </c>
      <c r="C12" s="3">
        <f t="shared" ref="C12:G12" ca="1" si="1">SUMIFS(INDIRECT(C$10&amp;"!$J$2:$J$35"), INDIRECT(C$10&amp;"!$B$2:$B$35"), "Offshore Wind")</f>
        <v>6256330.6511899997</v>
      </c>
      <c r="D12" s="3">
        <f t="shared" ca="1" si="1"/>
        <v>6294979.0171299996</v>
      </c>
      <c r="E12" s="3">
        <f t="shared" ca="1" si="1"/>
        <v>6192668.1666999999</v>
      </c>
      <c r="F12" s="3">
        <f t="shared" ca="1" si="1"/>
        <v>0</v>
      </c>
      <c r="G12" s="3">
        <f t="shared" ca="1" si="1"/>
        <v>0</v>
      </c>
    </row>
    <row r="13" spans="1:7" x14ac:dyDescent="0.2">
      <c r="A13" s="4" t="s">
        <v>8</v>
      </c>
      <c r="B13" s="5">
        <f ca="1">SUMIFS(INDIRECT(B$10&amp;"!$J$2:$J$35"), INDIRECT(B$10&amp;"!$B$2:$B$35"), "Onshore Wind")</f>
        <v>3196606.8970400002</v>
      </c>
      <c r="C13" s="5">
        <f t="shared" ref="C13:G13" ca="1" si="2">SUMIFS(INDIRECT(C$10&amp;"!$J$2:$J$35"), INDIRECT(C$10&amp;"!$B$2:$B$35"), "Onshore Wind")</f>
        <v>3070031.7595600002</v>
      </c>
      <c r="D13" s="5">
        <f t="shared" ca="1" si="2"/>
        <v>3343276.4767399998</v>
      </c>
      <c r="E13" s="5">
        <f t="shared" ca="1" si="2"/>
        <v>3108616.8574999999</v>
      </c>
      <c r="F13" s="5">
        <f t="shared" ca="1" si="2"/>
        <v>0</v>
      </c>
      <c r="G13" s="5">
        <f t="shared" ca="1" si="2"/>
        <v>0</v>
      </c>
    </row>
    <row r="14" spans="1:7" x14ac:dyDescent="0.2">
      <c r="A14" s="4" t="s">
        <v>9</v>
      </c>
      <c r="B14" s="5">
        <f ca="1">SUMIFS(INDIRECT(B$10&amp;"!$J$2:$J$35"), INDIRECT(B$10&amp;"!$B$2:$B$35"), "Solar PV")</f>
        <v>1258001.33115</v>
      </c>
      <c r="C14" s="5">
        <f t="shared" ref="C14:G14" ca="1" si="3">SUMIFS(INDIRECT(C$10&amp;"!$J$2:$J$35"), INDIRECT(C$10&amp;"!$B$2:$B$35"), "Solar PV")</f>
        <v>1398532.4677500001</v>
      </c>
      <c r="D14" s="5">
        <f t="shared" ca="1" si="3"/>
        <v>1492696.10839</v>
      </c>
      <c r="E14" s="5">
        <f t="shared" ca="1" si="3"/>
        <v>1431287.48309</v>
      </c>
      <c r="F14" s="5">
        <f t="shared" ca="1" si="3"/>
        <v>0</v>
      </c>
      <c r="G14" s="5">
        <f t="shared" ca="1" si="3"/>
        <v>0</v>
      </c>
    </row>
    <row r="15" spans="1:7" x14ac:dyDescent="0.2">
      <c r="A15" s="4" t="s">
        <v>17</v>
      </c>
      <c r="B15" s="3">
        <f ca="1">-SUMIFS(INDIRECT(B$10&amp;"!$M$2:$M$35"), INDIRECT(B$10&amp;"!$B$2:$B$35"), "Data Centre")</f>
        <v>23020626.60743</v>
      </c>
      <c r="C15" s="3">
        <f t="shared" ref="C15:G15" ca="1" si="4">-SUMIFS(INDIRECT(C$10&amp;"!$M$2:$M$35"), INDIRECT(C$10&amp;"!$B$2:$B$35"), "Data Centre")</f>
        <v>22936675.137430001</v>
      </c>
      <c r="D15" s="3">
        <f t="shared" ca="1" si="4"/>
        <v>22984173.95975</v>
      </c>
      <c r="E15" s="3">
        <f t="shared" ca="1" si="4"/>
        <v>22739616.1919</v>
      </c>
      <c r="F15" s="3">
        <f t="shared" ca="1" si="4"/>
        <v>0</v>
      </c>
      <c r="G15" s="3">
        <f t="shared" ca="1" si="4"/>
        <v>0</v>
      </c>
    </row>
    <row r="16" spans="1:7" x14ac:dyDescent="0.2">
      <c r="A16" s="4" t="s">
        <v>10</v>
      </c>
      <c r="B16" s="3">
        <v>89703375.299086705</v>
      </c>
      <c r="C16" s="3">
        <v>89104428.981443107</v>
      </c>
      <c r="D16" s="3">
        <v>89595746.530322507</v>
      </c>
      <c r="E16" s="3">
        <v>87546565.338318497</v>
      </c>
      <c r="F16" s="3" t="s">
        <v>76</v>
      </c>
      <c r="G16" s="3" t="s">
        <v>76</v>
      </c>
    </row>
    <row r="17" spans="1:7" x14ac:dyDescent="0.2">
      <c r="A17" s="4"/>
      <c r="B17" s="3"/>
      <c r="C17" s="3"/>
      <c r="D17" s="3"/>
      <c r="E17" s="3"/>
      <c r="F17" s="3"/>
      <c r="G17" s="3"/>
    </row>
    <row r="18" spans="1:7" x14ac:dyDescent="0.2">
      <c r="A18" s="8" t="s">
        <v>21</v>
      </c>
      <c r="C18" s="9">
        <f ca="1">1-C$11/$B$11</f>
        <v>4.7867128408733972E-3</v>
      </c>
      <c r="D18" s="9">
        <f t="shared" ref="D18:G18" ca="1" si="5">1-D$11/$B$11</f>
        <v>-3.4999499147664093E-2</v>
      </c>
      <c r="E18" s="9">
        <f t="shared" ca="1" si="5"/>
        <v>2.1855242411407128E-3</v>
      </c>
      <c r="F18" s="9">
        <f t="shared" ca="1" si="5"/>
        <v>1</v>
      </c>
      <c r="G18" s="9">
        <f t="shared" ca="1" si="5"/>
        <v>1</v>
      </c>
    </row>
    <row r="19" spans="1:7" x14ac:dyDescent="0.2">
      <c r="A19" s="8" t="s">
        <v>22</v>
      </c>
      <c r="C19" s="9">
        <f ca="1">1-C$12/$B$12</f>
        <v>1.1214385365660884E-2</v>
      </c>
      <c r="D19" s="9">
        <f t="shared" ref="D19:G19" ca="1" si="6">1-D$12/$B$12</f>
        <v>5.1061806684991051E-3</v>
      </c>
      <c r="E19" s="9">
        <f t="shared" ca="1" si="6"/>
        <v>2.1275961769654184E-2</v>
      </c>
      <c r="F19" s="9">
        <f t="shared" ca="1" si="6"/>
        <v>1</v>
      </c>
      <c r="G19" s="9">
        <f t="shared" ca="1" si="6"/>
        <v>1</v>
      </c>
    </row>
    <row r="20" spans="1:7" x14ac:dyDescent="0.2">
      <c r="A20" s="8" t="s">
        <v>23</v>
      </c>
      <c r="C20" s="9">
        <f ca="1">1-C$13/$B$13</f>
        <v>3.9596716630126205E-2</v>
      </c>
      <c r="D20" s="9">
        <f t="shared" ref="D20:G20" ca="1" si="7">1-D$13/$B$13</f>
        <v>-4.5882895339997232E-2</v>
      </c>
      <c r="E20" s="9">
        <f t="shared" ca="1" si="7"/>
        <v>2.7526074482751572E-2</v>
      </c>
      <c r="F20" s="9">
        <f t="shared" ca="1" si="7"/>
        <v>1</v>
      </c>
      <c r="G20" s="9">
        <f t="shared" ca="1" si="7"/>
        <v>1</v>
      </c>
    </row>
    <row r="21" spans="1:7" x14ac:dyDescent="0.2">
      <c r="A21" s="8" t="s">
        <v>24</v>
      </c>
      <c r="C21" s="9">
        <f ca="1">1-C$14/$B$14</f>
        <v>-0.11170984729525979</v>
      </c>
      <c r="D21" s="9">
        <f t="shared" ref="D21:G21" ca="1" si="8">1-D$14/$B$14</f>
        <v>-0.18656162869514148</v>
      </c>
      <c r="E21" s="9">
        <f t="shared" ca="1" si="8"/>
        <v>-0.13774719282815928</v>
      </c>
      <c r="F21" s="9">
        <f t="shared" ca="1" si="8"/>
        <v>1</v>
      </c>
      <c r="G21" s="9">
        <f t="shared" ca="1" si="8"/>
        <v>1</v>
      </c>
    </row>
    <row r="22" spans="1:7" x14ac:dyDescent="0.2">
      <c r="A22" s="8" t="s">
        <v>20</v>
      </c>
      <c r="C22" s="9">
        <f ca="1">1-C$15/$B$15</f>
        <v>3.6467934358008769E-3</v>
      </c>
      <c r="D22" s="9">
        <f t="shared" ref="D22:G22" ca="1" si="9">1-D$15/$B$15</f>
        <v>1.5834776481815638E-3</v>
      </c>
      <c r="E22" s="9">
        <f t="shared" ca="1" si="9"/>
        <v>1.2206896898249608E-2</v>
      </c>
      <c r="F22" s="9">
        <f t="shared" ca="1" si="9"/>
        <v>1</v>
      </c>
      <c r="G22" s="9">
        <f t="shared" ca="1" si="9"/>
        <v>1</v>
      </c>
    </row>
    <row r="23" spans="1:7" x14ac:dyDescent="0.2">
      <c r="A23" s="8" t="s">
        <v>19</v>
      </c>
      <c r="C23" s="9">
        <f>1-C$16/$B$16</f>
        <v>6.6769652273017677E-3</v>
      </c>
      <c r="D23" s="9">
        <f t="shared" ref="D23:G23" si="10">1-D$16/$B$16</f>
        <v>1.1998296430356659E-3</v>
      </c>
      <c r="E23" s="9">
        <f t="shared" si="10"/>
        <v>2.4043799395251586E-2</v>
      </c>
      <c r="F23" s="9" t="e">
        <f t="shared" si="10"/>
        <v>#VALUE!</v>
      </c>
      <c r="G23" s="9" t="e">
        <f t="shared" si="10"/>
        <v>#VALUE!</v>
      </c>
    </row>
    <row r="24" spans="1:7" x14ac:dyDescent="0.2">
      <c r="A24" s="8"/>
    </row>
  </sheetData>
  <conditionalFormatting sqref="B11:G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5CA2-7D51-D644-BFDE-CF15F08F4459}">
  <dimension ref="A1:N32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3883656.0958199999</v>
      </c>
      <c r="F7" s="10">
        <v>0</v>
      </c>
      <c r="G7" s="10">
        <v>3883656.0958199999</v>
      </c>
      <c r="H7" s="10">
        <v>0</v>
      </c>
      <c r="I7" s="10">
        <v>0.1297858327856882</v>
      </c>
      <c r="J7" s="10">
        <v>26039918.904180001</v>
      </c>
      <c r="K7" s="10">
        <v>0</v>
      </c>
      <c r="L7" s="10">
        <v>46151179.488880001</v>
      </c>
      <c r="M7" s="10">
        <v>46151179.488880001</v>
      </c>
      <c r="N7" s="10">
        <v>11.883436198522199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5130.6059999999998</v>
      </c>
      <c r="F9" s="10">
        <v>0</v>
      </c>
      <c r="G9" s="10">
        <v>5130.6059999999998</v>
      </c>
      <c r="H9" s="10">
        <v>0</v>
      </c>
      <c r="I9" s="10">
        <v>0.21346363636363641</v>
      </c>
      <c r="J9" s="10">
        <v>18904.394</v>
      </c>
      <c r="K9" s="10">
        <v>0</v>
      </c>
      <c r="L9" s="10">
        <v>63927.350760000001</v>
      </c>
      <c r="M9" s="10">
        <v>111139.04814</v>
      </c>
      <c r="N9" s="10">
        <v>21.662003321834671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8285.7210899999991</v>
      </c>
      <c r="F10" s="10">
        <v>0</v>
      </c>
      <c r="G10" s="10">
        <v>8285.7210899999991</v>
      </c>
      <c r="H10" s="10">
        <v>0</v>
      </c>
      <c r="I10" s="10">
        <v>4.5440859160801794E-3</v>
      </c>
      <c r="J10" s="10">
        <v>1815120.95854</v>
      </c>
      <c r="K10" s="10">
        <v>0</v>
      </c>
      <c r="L10" s="10">
        <v>447428.93875999999</v>
      </c>
      <c r="M10" s="10">
        <v>450534.18374000001</v>
      </c>
      <c r="N10" s="10">
        <v>54.37479859391523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1413113.40811</v>
      </c>
      <c r="F11" s="10">
        <v>0</v>
      </c>
      <c r="G11" s="10">
        <v>1413113.40811</v>
      </c>
      <c r="H11" s="10">
        <v>0</v>
      </c>
      <c r="I11" s="10">
        <v>0.3408713400544775</v>
      </c>
      <c r="J11" s="10">
        <v>245123.29589000001</v>
      </c>
      <c r="K11" s="10">
        <v>0</v>
      </c>
      <c r="L11" s="10">
        <v>0</v>
      </c>
      <c r="M11" s="10">
        <v>9931155.3615199998</v>
      </c>
      <c r="N11" s="10">
        <v>7.0278544111415977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241123.96181000001</v>
      </c>
      <c r="F13" s="10">
        <v>0</v>
      </c>
      <c r="G13" s="10">
        <v>241123.96181000001</v>
      </c>
      <c r="H13" s="10">
        <v>0</v>
      </c>
      <c r="I13" s="10">
        <v>0.43385393815016632</v>
      </c>
      <c r="J13" s="10">
        <v>32645.589</v>
      </c>
      <c r="K13" s="10">
        <v>0</v>
      </c>
      <c r="L13" s="10">
        <v>0</v>
      </c>
      <c r="M13" s="10">
        <v>2112040.0103500001</v>
      </c>
      <c r="N13" s="10">
        <v>8.7591457762104614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4260981.7299600001</v>
      </c>
      <c r="F14" s="10">
        <v>0</v>
      </c>
      <c r="G14" s="10">
        <v>4260981.7299600001</v>
      </c>
      <c r="H14" s="10">
        <v>0</v>
      </c>
      <c r="I14" s="10">
        <v>0.4267190481400438</v>
      </c>
      <c r="J14" s="10">
        <v>5724468.2700399999</v>
      </c>
      <c r="K14" s="10">
        <v>0</v>
      </c>
      <c r="L14" s="10">
        <v>42609817.299570002</v>
      </c>
      <c r="M14" s="10">
        <v>74053493.47168</v>
      </c>
      <c r="N14" s="10">
        <v>17.379444071772401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25787558.8204</v>
      </c>
      <c r="F15" s="10">
        <v>0</v>
      </c>
      <c r="G15" s="10">
        <v>25787558.8204</v>
      </c>
      <c r="H15" s="10">
        <v>0</v>
      </c>
      <c r="I15" s="10">
        <v>0.22041763588147231</v>
      </c>
      <c r="J15" s="10">
        <v>6327287.2891699998</v>
      </c>
      <c r="K15" s="10">
        <v>0</v>
      </c>
      <c r="L15" s="10">
        <v>0</v>
      </c>
      <c r="M15" s="10">
        <v>108546527.69296999</v>
      </c>
      <c r="N15" s="10">
        <v>4.2092595276895119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11138527.459380001</v>
      </c>
      <c r="F17" s="10">
        <v>0</v>
      </c>
      <c r="G17" s="10">
        <v>11138527.459380001</v>
      </c>
      <c r="H17" s="10">
        <v>0</v>
      </c>
      <c r="I17" s="10">
        <v>0.18693016959091791</v>
      </c>
      <c r="J17" s="10">
        <v>3196606.8970400002</v>
      </c>
      <c r="K17" s="10">
        <v>0</v>
      </c>
      <c r="L17" s="10">
        <v>0</v>
      </c>
      <c r="M17" s="10">
        <v>44843748.995420001</v>
      </c>
      <c r="N17" s="10">
        <v>4.0260033602759187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13307540.12806</v>
      </c>
      <c r="F20" s="10">
        <v>0</v>
      </c>
      <c r="G20" s="10">
        <v>13307540.12806</v>
      </c>
      <c r="H20" s="10">
        <v>0</v>
      </c>
      <c r="I20" s="10">
        <v>0.1504903353861741</v>
      </c>
      <c r="J20" s="10">
        <v>1258001.33115</v>
      </c>
      <c r="K20" s="10">
        <v>0</v>
      </c>
      <c r="L20" s="10">
        <v>0</v>
      </c>
      <c r="M20" s="10">
        <v>96237035.115130007</v>
      </c>
      <c r="N20" s="10">
        <v>7.2317674191443002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31882101.781800002</v>
      </c>
      <c r="F22" s="10">
        <v>24424378.212730002</v>
      </c>
      <c r="G22" s="10">
        <v>7457723.5690700002</v>
      </c>
      <c r="H22" s="10">
        <v>-7457723.5690700002</v>
      </c>
      <c r="I22" s="10">
        <v>0.1116531891681109</v>
      </c>
      <c r="J22" s="10">
        <v>0</v>
      </c>
      <c r="K22" s="10">
        <v>0</v>
      </c>
      <c r="L22" s="10">
        <v>0</v>
      </c>
      <c r="M22" s="10">
        <v>90220073.531430006</v>
      </c>
      <c r="N22" s="10">
        <v>1.6023035633156339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9770668.1872199997</v>
      </c>
      <c r="F23" s="10">
        <v>5787431.1658600001</v>
      </c>
      <c r="G23" s="10">
        <v>3983237.0213500001</v>
      </c>
      <c r="H23" s="10">
        <v>-3983237.0213500001</v>
      </c>
      <c r="I23" s="10">
        <v>0.57192061044176712</v>
      </c>
      <c r="J23" s="10">
        <v>31186487.02135</v>
      </c>
      <c r="K23" s="10">
        <v>0</v>
      </c>
      <c r="L23" s="10">
        <v>0</v>
      </c>
      <c r="M23" s="10">
        <v>80152152.691009998</v>
      </c>
      <c r="N23" s="10">
        <v>5.1517959172472558</v>
      </c>
    </row>
    <row r="24" spans="1:14" x14ac:dyDescent="0.2">
      <c r="A24" s="12"/>
      <c r="B24" s="11" t="s">
        <v>36</v>
      </c>
      <c r="C24" s="10">
        <v>3653.0947500000002</v>
      </c>
      <c r="D24" s="10">
        <v>3653.0947500000002</v>
      </c>
      <c r="E24" s="10">
        <v>0</v>
      </c>
      <c r="F24" s="10">
        <v>134177.36817999999</v>
      </c>
      <c r="G24" s="10">
        <v>-134177.36817999999</v>
      </c>
      <c r="H24" s="10">
        <v>0</v>
      </c>
      <c r="I24" s="10">
        <v>1.6809969136442469E-2</v>
      </c>
      <c r="J24" s="10">
        <v>7847834.6704500001</v>
      </c>
      <c r="K24" s="10">
        <v>0</v>
      </c>
      <c r="L24" s="10">
        <v>0</v>
      </c>
      <c r="M24" s="10">
        <v>0</v>
      </c>
    </row>
    <row r="25" spans="1:14" x14ac:dyDescent="0.2">
      <c r="A25" s="12"/>
      <c r="B25" s="11" t="s">
        <v>35</v>
      </c>
      <c r="C25" s="10">
        <v>278.38099999999997</v>
      </c>
      <c r="D25" s="10">
        <v>278.38099999999997</v>
      </c>
      <c r="E25" s="10">
        <v>0</v>
      </c>
      <c r="F25" s="10">
        <v>86204.444220000005</v>
      </c>
      <c r="G25" s="10">
        <v>-86204.444220000005</v>
      </c>
      <c r="H25" s="10">
        <v>0</v>
      </c>
      <c r="I25" s="10">
        <v>0.14172242358494291</v>
      </c>
      <c r="J25" s="10">
        <v>522058.04077999998</v>
      </c>
      <c r="K25" s="10">
        <v>0</v>
      </c>
      <c r="L25" s="10">
        <v>431022.22110000002</v>
      </c>
      <c r="M25" s="10">
        <v>0</v>
      </c>
    </row>
    <row r="26" spans="1:14" x14ac:dyDescent="0.2">
      <c r="A26" s="12" t="s">
        <v>34</v>
      </c>
      <c r="B26" s="11" t="s">
        <v>33</v>
      </c>
      <c r="C26" s="10">
        <v>0</v>
      </c>
      <c r="D26" s="10">
        <v>0</v>
      </c>
      <c r="E26" s="10">
        <v>0</v>
      </c>
      <c r="F26" s="10">
        <v>2816325.9093499999</v>
      </c>
      <c r="G26" s="10">
        <v>-2816325.9093499999</v>
      </c>
      <c r="H26" s="10">
        <v>0</v>
      </c>
      <c r="J26" s="10">
        <v>0</v>
      </c>
      <c r="K26" s="10">
        <v>0</v>
      </c>
      <c r="L26" s="10">
        <v>0</v>
      </c>
      <c r="M26" s="10">
        <v>-23020626.60743</v>
      </c>
      <c r="N26" s="10">
        <v>-8.1739924254133456</v>
      </c>
    </row>
    <row r="27" spans="1:14" x14ac:dyDescent="0.2">
      <c r="A27" s="12"/>
      <c r="B27" s="11" t="s">
        <v>32</v>
      </c>
      <c r="C27" s="10">
        <v>0</v>
      </c>
      <c r="D27" s="10">
        <v>0</v>
      </c>
      <c r="E27" s="10">
        <v>0</v>
      </c>
      <c r="F27" s="10">
        <v>52178335.791649997</v>
      </c>
      <c r="G27" s="10">
        <v>-52178335.791649997</v>
      </c>
      <c r="H27" s="10">
        <v>0</v>
      </c>
      <c r="J27" s="10">
        <v>0</v>
      </c>
      <c r="K27" s="10">
        <v>0</v>
      </c>
      <c r="L27" s="10">
        <v>0</v>
      </c>
      <c r="M27" s="10">
        <v>-436433311.17158002</v>
      </c>
      <c r="N27" s="10">
        <v>-8.3642627658763473</v>
      </c>
    </row>
    <row r="28" spans="1:14" x14ac:dyDescent="0.2">
      <c r="A28" s="12" t="s">
        <v>31</v>
      </c>
      <c r="B28" s="11" t="s">
        <v>30</v>
      </c>
      <c r="C28" s="10">
        <v>26471.973000000002</v>
      </c>
      <c r="D28" s="10">
        <v>26471.973000000002</v>
      </c>
      <c r="E28" s="10">
        <v>2675332.6084599998</v>
      </c>
      <c r="F28" s="10">
        <v>6004660.7578600002</v>
      </c>
      <c r="G28" s="10">
        <v>-3329328.1494</v>
      </c>
      <c r="H28" s="10">
        <v>0</v>
      </c>
      <c r="I28" s="10">
        <v>0.15006576993713311</v>
      </c>
      <c r="J28" s="10">
        <v>61170589.154399998</v>
      </c>
      <c r="K28" s="10">
        <v>0</v>
      </c>
      <c r="L28" s="10">
        <v>0</v>
      </c>
      <c r="M28" s="10">
        <v>17613505.957839999</v>
      </c>
      <c r="N28" s="10">
        <v>2.0292073049811559</v>
      </c>
    </row>
    <row r="29" spans="1:14" x14ac:dyDescent="0.2">
      <c r="A29" s="12"/>
      <c r="B29" s="11" t="s">
        <v>29</v>
      </c>
      <c r="C29" s="10">
        <v>857.70799999999997</v>
      </c>
      <c r="D29" s="10">
        <v>857.70799999999997</v>
      </c>
      <c r="E29" s="10">
        <v>140908.41373999999</v>
      </c>
      <c r="F29" s="10">
        <v>267718.18800999998</v>
      </c>
      <c r="G29" s="10">
        <v>-126809.77426000001</v>
      </c>
      <c r="H29" s="10">
        <v>0</v>
      </c>
      <c r="I29" s="10">
        <v>0.21803977577450601</v>
      </c>
      <c r="J29" s="10">
        <v>2000901.7542600001</v>
      </c>
      <c r="K29" s="10">
        <v>0</v>
      </c>
      <c r="L29" s="10">
        <v>0</v>
      </c>
      <c r="M29" s="10">
        <v>577226.20273000002</v>
      </c>
      <c r="N29" s="10">
        <v>1.412600662002286</v>
      </c>
    </row>
    <row r="30" spans="1:14" x14ac:dyDescent="0.2">
      <c r="A30" s="12"/>
      <c r="B30" s="11" t="s">
        <v>28</v>
      </c>
      <c r="C30" s="10">
        <v>457.99400000000003</v>
      </c>
      <c r="D30" s="10">
        <v>457.99400000000003</v>
      </c>
      <c r="E30" s="10">
        <v>31184.295010000002</v>
      </c>
      <c r="F30" s="10">
        <v>247567.58014999999</v>
      </c>
      <c r="G30" s="10">
        <v>-216383.28513</v>
      </c>
      <c r="H30" s="10">
        <v>0</v>
      </c>
      <c r="I30" s="10">
        <v>0.27855218627318262</v>
      </c>
      <c r="J30" s="10">
        <v>1217100.1751300001</v>
      </c>
      <c r="K30" s="10">
        <v>0</v>
      </c>
      <c r="L30" s="10">
        <v>0</v>
      </c>
      <c r="M30" s="10">
        <v>583918.00471999997</v>
      </c>
      <c r="N30" s="10">
        <v>2.0947589904403849</v>
      </c>
    </row>
    <row r="31" spans="1:14" x14ac:dyDescent="0.2">
      <c r="A31" s="12"/>
      <c r="B31" s="11" t="s">
        <v>27</v>
      </c>
      <c r="C31" s="10">
        <v>5300</v>
      </c>
      <c r="D31" s="10">
        <v>5300</v>
      </c>
      <c r="E31" s="10">
        <v>822158.03760000004</v>
      </c>
      <c r="F31" s="10">
        <v>2209398.8379000002</v>
      </c>
      <c r="G31" s="10">
        <v>-1387240.8003</v>
      </c>
      <c r="H31" s="10">
        <v>0</v>
      </c>
      <c r="I31" s="10">
        <v>0.26178117358490571</v>
      </c>
      <c r="J31" s="10">
        <v>12967740.8003</v>
      </c>
      <c r="K31" s="10">
        <v>0</v>
      </c>
      <c r="L31" s="10">
        <v>0</v>
      </c>
      <c r="M31" s="10">
        <v>11055532.13541</v>
      </c>
      <c r="N31" s="10">
        <v>3.6468166606846668</v>
      </c>
    </row>
    <row r="32" spans="1:14" x14ac:dyDescent="0.2">
      <c r="A32" s="11" t="s">
        <v>26</v>
      </c>
      <c r="B32" s="11" t="s">
        <v>25</v>
      </c>
      <c r="C32" s="10">
        <v>46768.008000000002</v>
      </c>
      <c r="D32" s="10">
        <v>46768.008000000002</v>
      </c>
      <c r="E32" s="10">
        <v>85145.793799999999</v>
      </c>
      <c r="F32" s="10">
        <v>92865.507299999997</v>
      </c>
      <c r="G32" s="10">
        <v>-7719.7135099999996</v>
      </c>
      <c r="H32" s="10">
        <v>0</v>
      </c>
      <c r="I32" s="10">
        <v>0.75544155312323757</v>
      </c>
      <c r="J32" s="10">
        <v>0</v>
      </c>
      <c r="K32" s="10">
        <v>0</v>
      </c>
      <c r="L32" s="10">
        <v>0</v>
      </c>
      <c r="M32" s="10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9E5C-2A4E-684A-A332-9AB4709CD842}">
  <dimension ref="A1:N34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3842248.3077600002</v>
      </c>
      <c r="F7" s="10">
        <v>0</v>
      </c>
      <c r="G7" s="10">
        <v>3842248.3077600002</v>
      </c>
      <c r="H7" s="10">
        <v>0</v>
      </c>
      <c r="I7" s="10">
        <v>0.12840204746257761</v>
      </c>
      <c r="J7" s="10">
        <v>26081326.69224</v>
      </c>
      <c r="K7" s="10">
        <v>0</v>
      </c>
      <c r="L7" s="10">
        <v>45667256.707740001</v>
      </c>
      <c r="M7" s="10">
        <v>45667256.707740001</v>
      </c>
      <c r="N7" s="10">
        <v>11.885555845025021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5124.3720000000003</v>
      </c>
      <c r="F9" s="10">
        <v>0</v>
      </c>
      <c r="G9" s="10">
        <v>5124.3720000000003</v>
      </c>
      <c r="H9" s="10">
        <v>0</v>
      </c>
      <c r="I9" s="10">
        <v>0.21320454545454551</v>
      </c>
      <c r="J9" s="10">
        <v>18910.628000000001</v>
      </c>
      <c r="K9" s="10">
        <v>0</v>
      </c>
      <c r="L9" s="10">
        <v>63849.67512</v>
      </c>
      <c r="M9" s="10">
        <v>110473.09970999999</v>
      </c>
      <c r="N9" s="10">
        <v>21.558371175780831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6837.7521800000004</v>
      </c>
      <c r="F10" s="10">
        <v>0</v>
      </c>
      <c r="G10" s="10">
        <v>6837.7521800000004</v>
      </c>
      <c r="H10" s="10">
        <v>0</v>
      </c>
      <c r="I10" s="10">
        <v>3.7499921960292269E-3</v>
      </c>
      <c r="J10" s="10">
        <v>1816568.9274500001</v>
      </c>
      <c r="K10" s="10">
        <v>0</v>
      </c>
      <c r="L10" s="10">
        <v>369238.61762999999</v>
      </c>
      <c r="M10" s="10">
        <v>371487.64921</v>
      </c>
      <c r="N10" s="10">
        <v>54.328844734310941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1412092.6785299999</v>
      </c>
      <c r="F11" s="10">
        <v>0</v>
      </c>
      <c r="G11" s="10">
        <v>1412092.6785299999</v>
      </c>
      <c r="H11" s="10">
        <v>0</v>
      </c>
      <c r="I11" s="10">
        <v>0.34062511595449518</v>
      </c>
      <c r="J11" s="10">
        <v>246144.02546999999</v>
      </c>
      <c r="K11" s="10">
        <v>0</v>
      </c>
      <c r="L11" s="10">
        <v>0</v>
      </c>
      <c r="M11" s="10">
        <v>9895668.4989199992</v>
      </c>
      <c r="N11" s="10">
        <v>7.0078038683319379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238083.49014000001</v>
      </c>
      <c r="F13" s="10">
        <v>0</v>
      </c>
      <c r="G13" s="10">
        <v>238083.49014000001</v>
      </c>
      <c r="H13" s="10">
        <v>0</v>
      </c>
      <c r="I13" s="10">
        <v>0.42838322364541309</v>
      </c>
      <c r="J13" s="10">
        <v>35686.060669999999</v>
      </c>
      <c r="K13" s="10">
        <v>0</v>
      </c>
      <c r="L13" s="10">
        <v>0</v>
      </c>
      <c r="M13" s="10">
        <v>2103889.2850000001</v>
      </c>
      <c r="N13" s="10">
        <v>8.8367706563805779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4257794.5470200004</v>
      </c>
      <c r="F14" s="10">
        <v>0</v>
      </c>
      <c r="G14" s="10">
        <v>4257794.5470200004</v>
      </c>
      <c r="H14" s="10">
        <v>0</v>
      </c>
      <c r="I14" s="10">
        <v>0.42639986652078782</v>
      </c>
      <c r="J14" s="10">
        <v>5727655.4529799996</v>
      </c>
      <c r="K14" s="10">
        <v>0</v>
      </c>
      <c r="L14" s="10">
        <v>42577945.470239997</v>
      </c>
      <c r="M14" s="10">
        <v>73617101.105580002</v>
      </c>
      <c r="N14" s="10">
        <v>17.289960868702881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25858515.458379999</v>
      </c>
      <c r="F15" s="10">
        <v>0</v>
      </c>
      <c r="G15" s="10">
        <v>25858515.458379999</v>
      </c>
      <c r="H15" s="10">
        <v>0</v>
      </c>
      <c r="I15" s="10">
        <v>0.22102413348134309</v>
      </c>
      <c r="J15" s="10">
        <v>6256330.6511899997</v>
      </c>
      <c r="K15" s="10">
        <v>0</v>
      </c>
      <c r="L15" s="10">
        <v>0</v>
      </c>
      <c r="M15" s="10">
        <v>108407198.67453</v>
      </c>
      <c r="N15" s="10">
        <v>4.192321050087803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11265102.59685</v>
      </c>
      <c r="F17" s="10">
        <v>0</v>
      </c>
      <c r="G17" s="10">
        <v>11265102.59685</v>
      </c>
      <c r="H17" s="10">
        <v>0</v>
      </c>
      <c r="I17" s="10">
        <v>0.18905439203137159</v>
      </c>
      <c r="J17" s="10">
        <v>3070031.7595600002</v>
      </c>
      <c r="K17" s="10">
        <v>0</v>
      </c>
      <c r="L17" s="10">
        <v>0</v>
      </c>
      <c r="M17" s="10">
        <v>44743725.371760003</v>
      </c>
      <c r="N17" s="10">
        <v>3.971887962615082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13167008.99147</v>
      </c>
      <c r="F20" s="10">
        <v>0</v>
      </c>
      <c r="G20" s="10">
        <v>13167008.99147</v>
      </c>
      <c r="H20" s="10">
        <v>0</v>
      </c>
      <c r="I20" s="10">
        <v>0.1489011177101143</v>
      </c>
      <c r="J20" s="10">
        <v>1398532.4677500001</v>
      </c>
      <c r="K20" s="10">
        <v>0</v>
      </c>
      <c r="L20" s="10">
        <v>0</v>
      </c>
      <c r="M20" s="10">
        <v>96143260.15422</v>
      </c>
      <c r="N20" s="10">
        <v>7.3018299174160992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30928080.76712</v>
      </c>
      <c r="F22" s="10">
        <v>24752869.029849999</v>
      </c>
      <c r="G22" s="10">
        <v>6175211.7372700004</v>
      </c>
      <c r="H22" s="10">
        <v>-6175211.7372700004</v>
      </c>
      <c r="I22" s="10">
        <v>0.1104127912478336</v>
      </c>
      <c r="J22" s="10">
        <v>0</v>
      </c>
      <c r="K22" s="10">
        <v>0</v>
      </c>
      <c r="L22" s="10">
        <v>0</v>
      </c>
      <c r="M22" s="10">
        <v>89488728.148499995</v>
      </c>
      <c r="N22" s="10">
        <v>1.60716957015656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9784067.1941299997</v>
      </c>
      <c r="F23" s="10">
        <v>5843299.699</v>
      </c>
      <c r="G23" s="10">
        <v>3940767.4951399998</v>
      </c>
      <c r="H23" s="10">
        <v>-3940767.4951399998</v>
      </c>
      <c r="I23" s="10">
        <v>0.57446690682730916</v>
      </c>
      <c r="J23" s="10">
        <v>31144017.495140001</v>
      </c>
      <c r="K23" s="10">
        <v>0</v>
      </c>
      <c r="L23" s="10">
        <v>0</v>
      </c>
      <c r="M23" s="10">
        <v>79296674.677860007</v>
      </c>
      <c r="N23" s="10">
        <v>5.0742185338433812</v>
      </c>
    </row>
    <row r="24" spans="1:14" x14ac:dyDescent="0.2">
      <c r="A24" s="12"/>
      <c r="B24" s="11" t="s">
        <v>74</v>
      </c>
      <c r="C24" s="10">
        <v>32000000</v>
      </c>
      <c r="D24" s="10">
        <v>32000000</v>
      </c>
      <c r="E24" s="10">
        <v>0</v>
      </c>
      <c r="F24" s="10">
        <v>167573.01316</v>
      </c>
      <c r="G24" s="10">
        <v>-167573.01316</v>
      </c>
      <c r="H24" s="10">
        <v>0</v>
      </c>
      <c r="I24" s="10">
        <v>2.3966390624999998E-6</v>
      </c>
      <c r="J24" s="10">
        <v>69919832426.986847</v>
      </c>
      <c r="K24" s="10">
        <v>0</v>
      </c>
      <c r="L24" s="10">
        <v>1.6757299999999999</v>
      </c>
      <c r="M24" s="10">
        <v>-1307260.1002100001</v>
      </c>
      <c r="N24" s="10">
        <v>-7.8011379216598247</v>
      </c>
    </row>
    <row r="25" spans="1:14" x14ac:dyDescent="0.2">
      <c r="A25" s="12"/>
      <c r="B25" s="11" t="s">
        <v>36</v>
      </c>
      <c r="C25" s="10">
        <v>3653.0947500000002</v>
      </c>
      <c r="D25" s="10">
        <v>3653.0947500000002</v>
      </c>
      <c r="E25" s="10">
        <v>0</v>
      </c>
      <c r="F25" s="10">
        <v>132886.39722000001</v>
      </c>
      <c r="G25" s="10">
        <v>-132886.39722000001</v>
      </c>
      <c r="H25" s="10">
        <v>0</v>
      </c>
      <c r="I25" s="10">
        <v>1.6648232296739639E-2</v>
      </c>
      <c r="J25" s="10">
        <v>7849125.6414200002</v>
      </c>
      <c r="K25" s="10">
        <v>0</v>
      </c>
      <c r="L25" s="10">
        <v>0</v>
      </c>
      <c r="M25" s="10">
        <v>0</v>
      </c>
    </row>
    <row r="26" spans="1:14" x14ac:dyDescent="0.2">
      <c r="A26" s="12"/>
      <c r="B26" s="11" t="s">
        <v>35</v>
      </c>
      <c r="C26" s="10">
        <v>278.38099999999997</v>
      </c>
      <c r="D26" s="10">
        <v>278.38099999999997</v>
      </c>
      <c r="E26" s="10">
        <v>0</v>
      </c>
      <c r="F26" s="10">
        <v>85227.366989999995</v>
      </c>
      <c r="G26" s="10">
        <v>-85227.366989999995</v>
      </c>
      <c r="H26" s="10">
        <v>0</v>
      </c>
      <c r="I26" s="10">
        <v>0.14011609987750601</v>
      </c>
      <c r="J26" s="10">
        <v>523035.11800999998</v>
      </c>
      <c r="K26" s="10">
        <v>0</v>
      </c>
      <c r="L26" s="10">
        <v>426136.83496000001</v>
      </c>
      <c r="M26" s="10">
        <v>0</v>
      </c>
    </row>
    <row r="27" spans="1:14" x14ac:dyDescent="0.2">
      <c r="A27" s="12" t="s">
        <v>34</v>
      </c>
      <c r="B27" s="11" t="s">
        <v>33</v>
      </c>
      <c r="C27" s="10">
        <v>0</v>
      </c>
      <c r="D27" s="10">
        <v>0</v>
      </c>
      <c r="E27" s="10">
        <v>0</v>
      </c>
      <c r="F27" s="10">
        <v>2816325.9093499999</v>
      </c>
      <c r="G27" s="10">
        <v>-2816325.9093499999</v>
      </c>
      <c r="H27" s="10">
        <v>0</v>
      </c>
      <c r="J27" s="10">
        <v>0</v>
      </c>
      <c r="K27" s="10">
        <v>0</v>
      </c>
      <c r="L27" s="10">
        <v>0</v>
      </c>
      <c r="M27" s="10">
        <v>-22936675.137430001</v>
      </c>
      <c r="N27" s="10">
        <v>-8.1441835676694474</v>
      </c>
    </row>
    <row r="28" spans="1:14" x14ac:dyDescent="0.2">
      <c r="A28" s="12"/>
      <c r="B28" s="11" t="s">
        <v>32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-434846945.90219003</v>
      </c>
      <c r="N28" s="10">
        <v>-8.3338600085505572</v>
      </c>
    </row>
    <row r="29" spans="1:14" x14ac:dyDescent="0.2">
      <c r="A29" s="12" t="s">
        <v>31</v>
      </c>
      <c r="B29" s="11" t="s">
        <v>30</v>
      </c>
      <c r="C29" s="10">
        <v>26471.973000000002</v>
      </c>
      <c r="D29" s="10">
        <v>26471.973000000002</v>
      </c>
      <c r="E29" s="10">
        <v>2663630.0481099999</v>
      </c>
      <c r="F29" s="10">
        <v>6020257.8100899998</v>
      </c>
      <c r="G29" s="10">
        <v>-3356627.76198</v>
      </c>
      <c r="H29" s="10">
        <v>0</v>
      </c>
      <c r="I29" s="10">
        <v>0.15013310077038841</v>
      </c>
      <c r="J29" s="10">
        <v>61197888.76698</v>
      </c>
      <c r="K29" s="10">
        <v>0</v>
      </c>
      <c r="L29" s="10">
        <v>0</v>
      </c>
      <c r="M29" s="10">
        <v>17333797.89012</v>
      </c>
      <c r="N29" s="10">
        <v>1.9960872545776951</v>
      </c>
    </row>
    <row r="30" spans="1:14" x14ac:dyDescent="0.2">
      <c r="A30" s="12"/>
      <c r="B30" s="11" t="s">
        <v>29</v>
      </c>
      <c r="C30" s="10">
        <v>857.70799999999997</v>
      </c>
      <c r="D30" s="10">
        <v>857.70799999999997</v>
      </c>
      <c r="E30" s="10">
        <v>142189.02958999999</v>
      </c>
      <c r="F30" s="10">
        <v>269215.56173999998</v>
      </c>
      <c r="G30" s="10">
        <v>-127026.53215</v>
      </c>
      <c r="H30" s="10">
        <v>0</v>
      </c>
      <c r="I30" s="10">
        <v>0.21952208677078919</v>
      </c>
      <c r="J30" s="10">
        <v>2001118.5121500001</v>
      </c>
      <c r="K30" s="10">
        <v>0</v>
      </c>
      <c r="L30" s="10">
        <v>0</v>
      </c>
      <c r="M30" s="10">
        <v>567778.19383999996</v>
      </c>
      <c r="N30" s="10">
        <v>1.380096911159282</v>
      </c>
    </row>
    <row r="31" spans="1:14" x14ac:dyDescent="0.2">
      <c r="A31" s="12"/>
      <c r="B31" s="11" t="s">
        <v>28</v>
      </c>
      <c r="C31" s="10">
        <v>457.99400000000003</v>
      </c>
      <c r="D31" s="10">
        <v>457.99400000000003</v>
      </c>
      <c r="E31" s="10">
        <v>32261.389190000002</v>
      </c>
      <c r="F31" s="10">
        <v>247303.55540000001</v>
      </c>
      <c r="G31" s="10">
        <v>-215042.16621</v>
      </c>
      <c r="H31" s="10">
        <v>0</v>
      </c>
      <c r="I31" s="10">
        <v>0.27936466416590611</v>
      </c>
      <c r="J31" s="10">
        <v>1215759.0562100001</v>
      </c>
      <c r="K31" s="10">
        <v>0</v>
      </c>
      <c r="L31" s="10">
        <v>0</v>
      </c>
      <c r="M31" s="10">
        <v>576791.79718999995</v>
      </c>
      <c r="N31" s="10">
        <v>2.0631764599404718</v>
      </c>
    </row>
    <row r="32" spans="1:14" x14ac:dyDescent="0.2">
      <c r="A32" s="12"/>
      <c r="B32" s="11" t="s">
        <v>27</v>
      </c>
      <c r="C32" s="10">
        <v>5300</v>
      </c>
      <c r="D32" s="10">
        <v>5300</v>
      </c>
      <c r="E32" s="10">
        <v>852104.07394000003</v>
      </c>
      <c r="F32" s="10">
        <v>2219800.5806100001</v>
      </c>
      <c r="G32" s="10">
        <v>-1367696.50667</v>
      </c>
      <c r="H32" s="10">
        <v>0</v>
      </c>
      <c r="I32" s="10">
        <v>0.26526528679245281</v>
      </c>
      <c r="J32" s="10">
        <v>12948196.50667</v>
      </c>
      <c r="K32" s="10">
        <v>0</v>
      </c>
      <c r="L32" s="10">
        <v>0</v>
      </c>
      <c r="M32" s="10">
        <v>10927070.192199999</v>
      </c>
      <c r="N32" s="10">
        <v>3.55709939985889</v>
      </c>
    </row>
    <row r="33" spans="1:13" x14ac:dyDescent="0.2">
      <c r="A33" s="12" t="s">
        <v>26</v>
      </c>
      <c r="B33" s="11" t="s">
        <v>74</v>
      </c>
      <c r="C33" s="10">
        <v>16000000</v>
      </c>
      <c r="D33" s="10">
        <v>16000000</v>
      </c>
      <c r="E33" s="10">
        <v>83786.506580000001</v>
      </c>
      <c r="F33" s="10">
        <v>83786.506580000001</v>
      </c>
      <c r="G33" s="10">
        <v>0</v>
      </c>
      <c r="H33" s="10">
        <v>0</v>
      </c>
      <c r="I33" s="10">
        <v>0.93743515479874995</v>
      </c>
      <c r="J33" s="10">
        <v>0</v>
      </c>
      <c r="K33" s="10">
        <v>0</v>
      </c>
      <c r="L33" s="10">
        <v>0</v>
      </c>
      <c r="M33" s="10">
        <v>0</v>
      </c>
    </row>
    <row r="34" spans="1:13" x14ac:dyDescent="0.2">
      <c r="A34" s="12"/>
      <c r="B34" s="11" t="s">
        <v>25</v>
      </c>
      <c r="C34" s="10">
        <v>46768.008000000002</v>
      </c>
      <c r="D34" s="10">
        <v>46768.008000000002</v>
      </c>
      <c r="E34" s="10">
        <v>83983.558510000003</v>
      </c>
      <c r="F34" s="10">
        <v>91776.669559999995</v>
      </c>
      <c r="G34" s="10">
        <v>-7793.1110600000002</v>
      </c>
      <c r="H34" s="10">
        <v>0</v>
      </c>
      <c r="I34" s="10">
        <v>0.76262414618984842</v>
      </c>
      <c r="J34" s="10">
        <v>0</v>
      </c>
      <c r="K34" s="10">
        <v>0</v>
      </c>
      <c r="L34" s="10">
        <v>0</v>
      </c>
      <c r="M34" s="10">
        <v>0</v>
      </c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FF99-7C01-2A49-91CF-D5A901136DAE}">
  <dimension ref="A1:N33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3862902.6082199998</v>
      </c>
      <c r="F7" s="10">
        <v>0</v>
      </c>
      <c r="G7" s="10">
        <v>3862902.6082199998</v>
      </c>
      <c r="H7" s="10">
        <v>0</v>
      </c>
      <c r="I7" s="10">
        <v>0.129092282584885</v>
      </c>
      <c r="J7" s="10">
        <v>26060672.39178</v>
      </c>
      <c r="K7" s="10">
        <v>0</v>
      </c>
      <c r="L7" s="10">
        <v>46073384.879430003</v>
      </c>
      <c r="M7" s="10">
        <v>46073384.879430003</v>
      </c>
      <c r="N7" s="10">
        <v>11.927141235631741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5130.6059999999998</v>
      </c>
      <c r="F9" s="10">
        <v>0</v>
      </c>
      <c r="G9" s="10">
        <v>5130.6059999999998</v>
      </c>
      <c r="H9" s="10">
        <v>0</v>
      </c>
      <c r="I9" s="10">
        <v>0.21346363636363641</v>
      </c>
      <c r="J9" s="10">
        <v>18904.394</v>
      </c>
      <c r="K9" s="10">
        <v>0</v>
      </c>
      <c r="L9" s="10">
        <v>63927.350760000001</v>
      </c>
      <c r="M9" s="10">
        <v>111083.11945</v>
      </c>
      <c r="N9" s="10">
        <v>21.65110514884374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8149.71756</v>
      </c>
      <c r="F10" s="10">
        <v>0</v>
      </c>
      <c r="G10" s="10">
        <v>8149.71756</v>
      </c>
      <c r="H10" s="10">
        <v>0</v>
      </c>
      <c r="I10" s="10">
        <v>4.4695033224664109E-3</v>
      </c>
      <c r="J10" s="10">
        <v>1815256.9620699999</v>
      </c>
      <c r="K10" s="10">
        <v>0</v>
      </c>
      <c r="L10" s="10">
        <v>440084.74845999997</v>
      </c>
      <c r="M10" s="10">
        <v>442738.72229000001</v>
      </c>
      <c r="N10" s="10">
        <v>54.325621673793847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1379692.41982</v>
      </c>
      <c r="F11" s="10">
        <v>0</v>
      </c>
      <c r="G11" s="10">
        <v>1379692.41982</v>
      </c>
      <c r="H11" s="10">
        <v>0</v>
      </c>
      <c r="I11" s="10">
        <v>0.3328095247130653</v>
      </c>
      <c r="J11" s="10">
        <v>278544.28418000002</v>
      </c>
      <c r="K11" s="10">
        <v>0</v>
      </c>
      <c r="L11" s="10">
        <v>0</v>
      </c>
      <c r="M11" s="10">
        <v>9926914.0411300007</v>
      </c>
      <c r="N11" s="10">
        <v>7.1950196137965552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236518.32018000001</v>
      </c>
      <c r="F13" s="10">
        <v>0</v>
      </c>
      <c r="G13" s="10">
        <v>236518.32018000001</v>
      </c>
      <c r="H13" s="10">
        <v>0</v>
      </c>
      <c r="I13" s="10">
        <v>0.42556699612357379</v>
      </c>
      <c r="J13" s="10">
        <v>37251.230629999998</v>
      </c>
      <c r="K13" s="10">
        <v>0</v>
      </c>
      <c r="L13" s="10">
        <v>0</v>
      </c>
      <c r="M13" s="10">
        <v>2109652.88142</v>
      </c>
      <c r="N13" s="10">
        <v>8.9196172582969755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4257113.5833700001</v>
      </c>
      <c r="F14" s="10">
        <v>0</v>
      </c>
      <c r="G14" s="10">
        <v>4257113.5833700001</v>
      </c>
      <c r="H14" s="10">
        <v>0</v>
      </c>
      <c r="I14" s="10">
        <v>0.42633167177242892</v>
      </c>
      <c r="J14" s="10">
        <v>5728336.4166299999</v>
      </c>
      <c r="K14" s="10">
        <v>0</v>
      </c>
      <c r="L14" s="10">
        <v>42571135.83371</v>
      </c>
      <c r="M14" s="10">
        <v>73953816.121309996</v>
      </c>
      <c r="N14" s="10">
        <v>17.371821193404781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25819867.092429999</v>
      </c>
      <c r="F15" s="10">
        <v>0</v>
      </c>
      <c r="G15" s="10">
        <v>25819867.092429999</v>
      </c>
      <c r="H15" s="10">
        <v>0</v>
      </c>
      <c r="I15" s="10">
        <v>0.22069378884384161</v>
      </c>
      <c r="J15" s="10">
        <v>6294979.0171299996</v>
      </c>
      <c r="K15" s="10">
        <v>0</v>
      </c>
      <c r="L15" s="10">
        <v>0</v>
      </c>
      <c r="M15" s="10">
        <v>108316142.02767</v>
      </c>
      <c r="N15" s="10">
        <v>4.1950696979702871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10991857.87968</v>
      </c>
      <c r="F17" s="10">
        <v>0</v>
      </c>
      <c r="G17" s="10">
        <v>10991857.87968</v>
      </c>
      <c r="H17" s="10">
        <v>0</v>
      </c>
      <c r="I17" s="10">
        <v>0.18446871575656851</v>
      </c>
      <c r="J17" s="10">
        <v>3343276.4767399998</v>
      </c>
      <c r="K17" s="10">
        <v>0</v>
      </c>
      <c r="L17" s="10">
        <v>0</v>
      </c>
      <c r="M17" s="10">
        <v>44758339.906640001</v>
      </c>
      <c r="N17" s="10">
        <v>4.0719540239522631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13072845.35083</v>
      </c>
      <c r="F20" s="10">
        <v>0</v>
      </c>
      <c r="G20" s="10">
        <v>13072845.35083</v>
      </c>
      <c r="H20" s="10">
        <v>0</v>
      </c>
      <c r="I20" s="10">
        <v>0.147836253844845</v>
      </c>
      <c r="J20" s="10">
        <v>1492696.10839</v>
      </c>
      <c r="K20" s="10">
        <v>0</v>
      </c>
      <c r="L20" s="10">
        <v>0</v>
      </c>
      <c r="M20" s="10">
        <v>95985360.123640001</v>
      </c>
      <c r="N20" s="10">
        <v>7.34234649058524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31185702.525710002</v>
      </c>
      <c r="F22" s="10">
        <v>24678792.794840001</v>
      </c>
      <c r="G22" s="10">
        <v>6506909.7308700001</v>
      </c>
      <c r="H22" s="10">
        <v>-6506909.7308700001</v>
      </c>
      <c r="I22" s="10">
        <v>0.1107767536828423</v>
      </c>
      <c r="J22" s="10">
        <v>0</v>
      </c>
      <c r="K22" s="10">
        <v>0</v>
      </c>
      <c r="L22" s="10">
        <v>0</v>
      </c>
      <c r="M22" s="10">
        <v>89474647.406849995</v>
      </c>
      <c r="N22" s="10">
        <v>1.601637084140147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9805399.0986400004</v>
      </c>
      <c r="F23" s="10">
        <v>5843447.7055900004</v>
      </c>
      <c r="G23" s="10">
        <v>3961951.39304</v>
      </c>
      <c r="H23" s="10">
        <v>-3961951.39304</v>
      </c>
      <c r="I23" s="10">
        <v>0.57525651566265057</v>
      </c>
      <c r="J23" s="10">
        <v>31165201.393040001</v>
      </c>
      <c r="K23" s="10">
        <v>0</v>
      </c>
      <c r="L23" s="10">
        <v>0</v>
      </c>
      <c r="M23" s="10">
        <v>79990557.03418</v>
      </c>
      <c r="N23" s="10">
        <v>5.1115943565609916</v>
      </c>
    </row>
    <row r="24" spans="1:14" x14ac:dyDescent="0.2">
      <c r="A24" s="12"/>
      <c r="B24" s="11" t="s">
        <v>36</v>
      </c>
      <c r="C24" s="10">
        <v>3653.0947500000002</v>
      </c>
      <c r="D24" s="10">
        <v>3653.0947500000002</v>
      </c>
      <c r="E24" s="10">
        <v>0</v>
      </c>
      <c r="F24" s="10">
        <v>133073.39554999999</v>
      </c>
      <c r="G24" s="10">
        <v>-133073.39554999999</v>
      </c>
      <c r="H24" s="10">
        <v>0</v>
      </c>
      <c r="I24" s="10">
        <v>1.6671661746523271E-2</v>
      </c>
      <c r="J24" s="10">
        <v>7848938.6430799998</v>
      </c>
      <c r="K24" s="10">
        <v>0</v>
      </c>
      <c r="L24" s="10">
        <v>0</v>
      </c>
      <c r="M24" s="10">
        <v>0</v>
      </c>
    </row>
    <row r="25" spans="1:14" x14ac:dyDescent="0.2">
      <c r="A25" s="12"/>
      <c r="B25" s="11" t="s">
        <v>35</v>
      </c>
      <c r="C25" s="10">
        <v>278.38099999999997</v>
      </c>
      <c r="D25" s="10">
        <v>278.38099999999997</v>
      </c>
      <c r="E25" s="10">
        <v>0</v>
      </c>
      <c r="F25" s="10">
        <v>89442.722710000002</v>
      </c>
      <c r="G25" s="10">
        <v>-89442.722710000002</v>
      </c>
      <c r="H25" s="10">
        <v>0</v>
      </c>
      <c r="I25" s="10">
        <v>0.14704624238004749</v>
      </c>
      <c r="J25" s="10">
        <v>518819.76228999998</v>
      </c>
      <c r="K25" s="10">
        <v>0</v>
      </c>
      <c r="L25" s="10">
        <v>447213.61356000003</v>
      </c>
      <c r="M25" s="10">
        <v>0</v>
      </c>
    </row>
    <row r="26" spans="1:14" x14ac:dyDescent="0.2">
      <c r="A26" s="12"/>
      <c r="B26" s="11" t="s">
        <v>75</v>
      </c>
      <c r="C26" s="10">
        <v>240000000</v>
      </c>
      <c r="D26" s="10">
        <v>240000000</v>
      </c>
      <c r="E26" s="10">
        <v>0</v>
      </c>
      <c r="F26" s="10">
        <v>10436.901390000001</v>
      </c>
      <c r="G26" s="10">
        <v>-10436.901390000001</v>
      </c>
      <c r="H26" s="10">
        <v>10436.901390000001</v>
      </c>
      <c r="I26" s="10">
        <v>1.990254166666667E-8</v>
      </c>
      <c r="J26" s="10">
        <v>524399989563.09857</v>
      </c>
      <c r="K26" s="10">
        <v>0</v>
      </c>
      <c r="L26" s="10">
        <v>0.10437</v>
      </c>
      <c r="M26" s="10">
        <v>-44992.328710000002</v>
      </c>
      <c r="N26" s="10">
        <v>-4.3108920343088508</v>
      </c>
    </row>
    <row r="27" spans="1:14" x14ac:dyDescent="0.2">
      <c r="A27" s="12" t="s">
        <v>34</v>
      </c>
      <c r="B27" s="11" t="s">
        <v>33</v>
      </c>
      <c r="C27" s="10">
        <v>0</v>
      </c>
      <c r="D27" s="10">
        <v>0</v>
      </c>
      <c r="E27" s="10">
        <v>0</v>
      </c>
      <c r="F27" s="10">
        <v>2816325.9093499999</v>
      </c>
      <c r="G27" s="10">
        <v>-2816325.9093499999</v>
      </c>
      <c r="H27" s="10">
        <v>0</v>
      </c>
      <c r="J27" s="10">
        <v>0</v>
      </c>
      <c r="K27" s="10">
        <v>0</v>
      </c>
      <c r="L27" s="10">
        <v>0</v>
      </c>
      <c r="M27" s="10">
        <v>-22984173.95975</v>
      </c>
      <c r="N27" s="10">
        <v>-8.1610490941701581</v>
      </c>
    </row>
    <row r="28" spans="1:14" x14ac:dyDescent="0.2">
      <c r="A28" s="12"/>
      <c r="B28" s="11" t="s">
        <v>32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-435708458.02319998</v>
      </c>
      <c r="N28" s="10">
        <v>-8.3503709244365822</v>
      </c>
    </row>
    <row r="29" spans="1:14" x14ac:dyDescent="0.2">
      <c r="A29" s="12" t="s">
        <v>31</v>
      </c>
      <c r="B29" s="11" t="s">
        <v>30</v>
      </c>
      <c r="C29" s="10">
        <v>26471.973000000002</v>
      </c>
      <c r="D29" s="10">
        <v>26471.973000000002</v>
      </c>
      <c r="E29" s="10">
        <v>3904669.6754999999</v>
      </c>
      <c r="F29" s="10">
        <v>6995085.2462900002</v>
      </c>
      <c r="G29" s="10">
        <v>-3090415.5707999999</v>
      </c>
      <c r="H29" s="10">
        <v>0</v>
      </c>
      <c r="I29" s="10">
        <v>0.18844255356410339</v>
      </c>
      <c r="J29" s="10">
        <v>60931676.575800002</v>
      </c>
      <c r="K29" s="10">
        <v>0</v>
      </c>
      <c r="L29" s="10">
        <v>0</v>
      </c>
      <c r="M29" s="10">
        <v>17630609.958769999</v>
      </c>
      <c r="N29" s="10">
        <v>1.617523519883854</v>
      </c>
    </row>
    <row r="30" spans="1:14" x14ac:dyDescent="0.2">
      <c r="A30" s="12"/>
      <c r="B30" s="11" t="s">
        <v>29</v>
      </c>
      <c r="C30" s="10">
        <v>857.70799999999997</v>
      </c>
      <c r="D30" s="10">
        <v>857.70799999999997</v>
      </c>
      <c r="E30" s="10">
        <v>192188.45430000001</v>
      </c>
      <c r="F30" s="10">
        <v>307736.67907999997</v>
      </c>
      <c r="G30" s="10">
        <v>-115548.22478</v>
      </c>
      <c r="H30" s="10">
        <v>0</v>
      </c>
      <c r="I30" s="10">
        <v>0.26675592392749048</v>
      </c>
      <c r="J30" s="10">
        <v>1989640.20478</v>
      </c>
      <c r="K30" s="10">
        <v>0</v>
      </c>
      <c r="L30" s="10">
        <v>0</v>
      </c>
      <c r="M30" s="10">
        <v>577755.57007000002</v>
      </c>
      <c r="N30" s="10">
        <v>1.155684195569477</v>
      </c>
    </row>
    <row r="31" spans="1:14" x14ac:dyDescent="0.2">
      <c r="A31" s="12"/>
      <c r="B31" s="11" t="s">
        <v>28</v>
      </c>
      <c r="C31" s="10">
        <v>457.99400000000003</v>
      </c>
      <c r="D31" s="10">
        <v>457.99400000000003</v>
      </c>
      <c r="E31" s="10">
        <v>34012.924449999999</v>
      </c>
      <c r="F31" s="10">
        <v>239077.16044000001</v>
      </c>
      <c r="G31" s="10">
        <v>-205064.23598999999</v>
      </c>
      <c r="H31" s="10">
        <v>0</v>
      </c>
      <c r="I31" s="10">
        <v>0.27289444839888732</v>
      </c>
      <c r="J31" s="10">
        <v>1205781.1259900001</v>
      </c>
      <c r="K31" s="10">
        <v>0</v>
      </c>
      <c r="L31" s="10">
        <v>0</v>
      </c>
      <c r="M31" s="10">
        <v>583679.15414999996</v>
      </c>
      <c r="N31" s="10">
        <v>2.1373136341749932</v>
      </c>
    </row>
    <row r="32" spans="1:14" x14ac:dyDescent="0.2">
      <c r="A32" s="12"/>
      <c r="B32" s="11" t="s">
        <v>27</v>
      </c>
      <c r="C32" s="10">
        <v>5300</v>
      </c>
      <c r="D32" s="10">
        <v>5300</v>
      </c>
      <c r="E32" s="10">
        <v>1078683.3155100001</v>
      </c>
      <c r="F32" s="10">
        <v>2317767.9116600002</v>
      </c>
      <c r="G32" s="10">
        <v>-1239084.5961500001</v>
      </c>
      <c r="H32" s="10">
        <v>0</v>
      </c>
      <c r="I32" s="10">
        <v>0.29329055094339618</v>
      </c>
      <c r="J32" s="10">
        <v>12819584.59615</v>
      </c>
      <c r="K32" s="10">
        <v>0</v>
      </c>
      <c r="L32" s="10">
        <v>0</v>
      </c>
      <c r="M32" s="10">
        <v>11069586.85413</v>
      </c>
      <c r="N32" s="10">
        <v>3.2591626120873172</v>
      </c>
    </row>
    <row r="33" spans="1:13" x14ac:dyDescent="0.2">
      <c r="A33" s="11" t="s">
        <v>26</v>
      </c>
      <c r="B33" s="11" t="s">
        <v>25</v>
      </c>
      <c r="C33" s="10">
        <v>46768.008000000002</v>
      </c>
      <c r="D33" s="10">
        <v>46768.008000000002</v>
      </c>
      <c r="E33" s="10">
        <v>88044.575580000004</v>
      </c>
      <c r="F33" s="10">
        <v>91753.229749999999</v>
      </c>
      <c r="G33" s="10">
        <v>-3708.6541699999998</v>
      </c>
      <c r="H33" s="10">
        <v>0</v>
      </c>
      <c r="I33" s="10">
        <v>0.36292428020453638</v>
      </c>
      <c r="J33" s="10">
        <v>0</v>
      </c>
      <c r="K33" s="10">
        <v>0</v>
      </c>
      <c r="L33" s="10">
        <v>0</v>
      </c>
      <c r="M33" s="10">
        <v>0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D451-0CDF-464D-BD7A-D072075A7402}">
  <dimension ref="A1:N35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3800084.90374</v>
      </c>
      <c r="F7" s="10">
        <v>0</v>
      </c>
      <c r="G7" s="10">
        <v>3800084.90374</v>
      </c>
      <c r="H7" s="10">
        <v>0</v>
      </c>
      <c r="I7" s="10">
        <v>0.12699301131799931</v>
      </c>
      <c r="J7" s="10">
        <v>26123490.09626</v>
      </c>
      <c r="K7" s="10">
        <v>0</v>
      </c>
      <c r="L7" s="10">
        <v>44613349.401309997</v>
      </c>
      <c r="M7" s="10">
        <v>44613349.401309997</v>
      </c>
      <c r="N7" s="10">
        <v>11.74009281178142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5130.6059999999998</v>
      </c>
      <c r="F9" s="10">
        <v>0</v>
      </c>
      <c r="G9" s="10">
        <v>5130.6059999999998</v>
      </c>
      <c r="H9" s="10">
        <v>0</v>
      </c>
      <c r="I9" s="10">
        <v>0.21346363636363641</v>
      </c>
      <c r="J9" s="10">
        <v>18904.394</v>
      </c>
      <c r="K9" s="10">
        <v>0</v>
      </c>
      <c r="L9" s="10">
        <v>63927.350760000001</v>
      </c>
      <c r="M9" s="10">
        <v>109345.47654</v>
      </c>
      <c r="N9" s="10">
        <v>21.31242280993143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6062.5167300000003</v>
      </c>
      <c r="F10" s="10">
        <v>0</v>
      </c>
      <c r="G10" s="10">
        <v>6062.5167300000003</v>
      </c>
      <c r="H10" s="10">
        <v>0</v>
      </c>
      <c r="I10" s="10">
        <v>3.3248330666242692E-3</v>
      </c>
      <c r="J10" s="10">
        <v>1817344.1629000001</v>
      </c>
      <c r="K10" s="10">
        <v>0</v>
      </c>
      <c r="L10" s="10">
        <v>327375.90353000001</v>
      </c>
      <c r="M10" s="10">
        <v>329267.64121999999</v>
      </c>
      <c r="N10" s="10">
        <v>54.311982584939862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1393172.2352100001</v>
      </c>
      <c r="F11" s="10">
        <v>0</v>
      </c>
      <c r="G11" s="10">
        <v>1393172.2352100001</v>
      </c>
      <c r="H11" s="10">
        <v>0</v>
      </c>
      <c r="I11" s="10">
        <v>0.33606112593923138</v>
      </c>
      <c r="J11" s="10">
        <v>265064.46879000001</v>
      </c>
      <c r="K11" s="10">
        <v>0</v>
      </c>
      <c r="L11" s="10">
        <v>0</v>
      </c>
      <c r="M11" s="10">
        <v>9815116.6524599995</v>
      </c>
      <c r="N11" s="10">
        <v>7.0451566569730852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235913.2893</v>
      </c>
      <c r="F13" s="10">
        <v>0</v>
      </c>
      <c r="G13" s="10">
        <v>235913.2893</v>
      </c>
      <c r="H13" s="10">
        <v>0</v>
      </c>
      <c r="I13" s="10">
        <v>0.42447837300183211</v>
      </c>
      <c r="J13" s="10">
        <v>37856.26152</v>
      </c>
      <c r="K13" s="10">
        <v>0</v>
      </c>
      <c r="L13" s="10">
        <v>0</v>
      </c>
      <c r="M13" s="10">
        <v>2087616.9961300001</v>
      </c>
      <c r="N13" s="10">
        <v>8.8490859499449233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4212419.3703899998</v>
      </c>
      <c r="F14" s="10">
        <v>0</v>
      </c>
      <c r="G14" s="10">
        <v>4212419.3703899998</v>
      </c>
      <c r="H14" s="10">
        <v>0</v>
      </c>
      <c r="I14" s="10">
        <v>0.42185573741794308</v>
      </c>
      <c r="J14" s="10">
        <v>5773030.6296100002</v>
      </c>
      <c r="K14" s="10">
        <v>0</v>
      </c>
      <c r="L14" s="10">
        <v>42124193.703910001</v>
      </c>
      <c r="M14" s="10">
        <v>72498207.654029995</v>
      </c>
      <c r="N14" s="10">
        <v>17.21058642051257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25922177.94286</v>
      </c>
      <c r="F15" s="10">
        <v>0</v>
      </c>
      <c r="G15" s="10">
        <v>25922177.94286</v>
      </c>
      <c r="H15" s="10">
        <v>0</v>
      </c>
      <c r="I15" s="10">
        <v>0.22156828483502289</v>
      </c>
      <c r="J15" s="10">
        <v>6192668.1666999999</v>
      </c>
      <c r="K15" s="10">
        <v>0</v>
      </c>
      <c r="L15" s="10">
        <v>0</v>
      </c>
      <c r="M15" s="10">
        <v>107597831.6816</v>
      </c>
      <c r="N15" s="10">
        <v>4.1508021395017094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11226517.498919999</v>
      </c>
      <c r="F17" s="10">
        <v>0</v>
      </c>
      <c r="G17" s="10">
        <v>11226517.498919999</v>
      </c>
      <c r="H17" s="10">
        <v>0</v>
      </c>
      <c r="I17" s="10">
        <v>0.188406845270541</v>
      </c>
      <c r="J17" s="10">
        <v>3108616.8574999999</v>
      </c>
      <c r="K17" s="10">
        <v>0</v>
      </c>
      <c r="L17" s="10">
        <v>0</v>
      </c>
      <c r="M17" s="10">
        <v>44408369.247079998</v>
      </c>
      <c r="N17" s="10">
        <v>3.9556673951766248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13134253.976120001</v>
      </c>
      <c r="F20" s="10">
        <v>0</v>
      </c>
      <c r="G20" s="10">
        <v>13134253.976120001</v>
      </c>
      <c r="H20" s="10">
        <v>0</v>
      </c>
      <c r="I20" s="10">
        <v>0.14853070274384589</v>
      </c>
      <c r="J20" s="10">
        <v>1431287.48309</v>
      </c>
      <c r="K20" s="10">
        <v>0</v>
      </c>
      <c r="L20" s="10">
        <v>0</v>
      </c>
      <c r="M20" s="10">
        <v>95068064.726209998</v>
      </c>
      <c r="N20" s="10">
        <v>7.238177734125351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30999986.482390001</v>
      </c>
      <c r="F22" s="10">
        <v>24905807.827210002</v>
      </c>
      <c r="G22" s="10">
        <v>6094178.6551799998</v>
      </c>
      <c r="H22" s="10">
        <v>-6094178.6551799998</v>
      </c>
      <c r="I22" s="10">
        <v>0.1108586477036395</v>
      </c>
      <c r="J22" s="10">
        <v>0</v>
      </c>
      <c r="K22" s="10">
        <v>0</v>
      </c>
      <c r="L22" s="10">
        <v>0</v>
      </c>
      <c r="M22" s="10">
        <v>88077675.396300003</v>
      </c>
      <c r="N22" s="10">
        <v>1.5754659505703881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9700085.5259000007</v>
      </c>
      <c r="F23" s="10">
        <v>5802562.5477099996</v>
      </c>
      <c r="G23" s="10">
        <v>3897522.9781900002</v>
      </c>
      <c r="H23" s="10">
        <v>-3897522.9781900002</v>
      </c>
      <c r="I23" s="10">
        <v>0.56988220401606426</v>
      </c>
      <c r="J23" s="10">
        <v>31100772.978190001</v>
      </c>
      <c r="K23" s="10">
        <v>0</v>
      </c>
      <c r="L23" s="10">
        <v>0</v>
      </c>
      <c r="M23" s="10">
        <v>77471373.092020005</v>
      </c>
      <c r="N23" s="10">
        <v>4.9972993488808699</v>
      </c>
    </row>
    <row r="24" spans="1:14" x14ac:dyDescent="0.2">
      <c r="A24" s="12"/>
      <c r="B24" s="11" t="s">
        <v>74</v>
      </c>
      <c r="C24" s="10">
        <v>32000000</v>
      </c>
      <c r="D24" s="10">
        <v>32000000</v>
      </c>
      <c r="E24" s="10">
        <v>0</v>
      </c>
      <c r="F24" s="10">
        <v>266952.09404</v>
      </c>
      <c r="G24" s="10">
        <v>-266952.09404</v>
      </c>
      <c r="H24" s="10">
        <v>0</v>
      </c>
      <c r="I24" s="10">
        <v>3.8179646875000002E-6</v>
      </c>
      <c r="J24" s="10">
        <v>69919733047.90596</v>
      </c>
      <c r="K24" s="10">
        <v>0</v>
      </c>
      <c r="L24" s="10">
        <v>2.6695199999999999</v>
      </c>
      <c r="M24" s="10">
        <v>-1185250.2223700001</v>
      </c>
      <c r="N24" s="10">
        <v>-4.4399360523158329</v>
      </c>
    </row>
    <row r="25" spans="1:14" x14ac:dyDescent="0.2">
      <c r="A25" s="12"/>
      <c r="B25" s="11" t="s">
        <v>36</v>
      </c>
      <c r="C25" s="10">
        <v>3653.0947500000002</v>
      </c>
      <c r="D25" s="10">
        <v>3653.0947500000002</v>
      </c>
      <c r="E25" s="10">
        <v>0</v>
      </c>
      <c r="F25" s="10">
        <v>130150.80389</v>
      </c>
      <c r="G25" s="10">
        <v>-130150.80389</v>
      </c>
      <c r="H25" s="10">
        <v>0</v>
      </c>
      <c r="I25" s="10">
        <v>1.630551465986476E-2</v>
      </c>
      <c r="J25" s="10">
        <v>7851861.2347400002</v>
      </c>
      <c r="K25" s="10">
        <v>0</v>
      </c>
      <c r="L25" s="10">
        <v>0</v>
      </c>
      <c r="M25" s="10">
        <v>0</v>
      </c>
    </row>
    <row r="26" spans="1:14" x14ac:dyDescent="0.2">
      <c r="A26" s="12"/>
      <c r="B26" s="11" t="s">
        <v>35</v>
      </c>
      <c r="C26" s="10">
        <v>278.38099999999997</v>
      </c>
      <c r="D26" s="10">
        <v>278.38099999999997</v>
      </c>
      <c r="E26" s="10">
        <v>0</v>
      </c>
      <c r="F26" s="10">
        <v>83543.235379999998</v>
      </c>
      <c r="G26" s="10">
        <v>-83543.235379999998</v>
      </c>
      <c r="H26" s="10">
        <v>0</v>
      </c>
      <c r="I26" s="10">
        <v>0.1373473405153369</v>
      </c>
      <c r="J26" s="10">
        <v>524719.24962000002</v>
      </c>
      <c r="K26" s="10">
        <v>0</v>
      </c>
      <c r="L26" s="10">
        <v>417716.17692</v>
      </c>
      <c r="M26" s="10">
        <v>0</v>
      </c>
    </row>
    <row r="27" spans="1:14" x14ac:dyDescent="0.2">
      <c r="A27" s="12"/>
      <c r="B27" s="11" t="s">
        <v>75</v>
      </c>
      <c r="C27" s="10">
        <v>240000000</v>
      </c>
      <c r="D27" s="10">
        <v>240000000</v>
      </c>
      <c r="E27" s="10">
        <v>0</v>
      </c>
      <c r="F27" s="10">
        <v>13233.7732</v>
      </c>
      <c r="G27" s="10">
        <v>-13233.7732</v>
      </c>
      <c r="H27" s="10">
        <v>13233.7732</v>
      </c>
      <c r="I27" s="10">
        <v>2.523604166666667E-8</v>
      </c>
      <c r="J27" s="10">
        <v>524399986766.22681</v>
      </c>
      <c r="K27" s="10">
        <v>0</v>
      </c>
      <c r="L27" s="10">
        <v>0.13234000000000001</v>
      </c>
      <c r="M27" s="10">
        <v>-25816.49149</v>
      </c>
      <c r="N27" s="10">
        <v>-1.9508028365515591</v>
      </c>
    </row>
    <row r="28" spans="1:14" x14ac:dyDescent="0.2">
      <c r="A28" s="12" t="s">
        <v>34</v>
      </c>
      <c r="B28" s="11" t="s">
        <v>33</v>
      </c>
      <c r="C28" s="10">
        <v>0</v>
      </c>
      <c r="D28" s="10">
        <v>0</v>
      </c>
      <c r="E28" s="10">
        <v>0</v>
      </c>
      <c r="F28" s="10">
        <v>2816325.9093499999</v>
      </c>
      <c r="G28" s="10">
        <v>-2816325.9093499999</v>
      </c>
      <c r="H28" s="10">
        <v>0</v>
      </c>
      <c r="J28" s="10">
        <v>0</v>
      </c>
      <c r="K28" s="10">
        <v>0</v>
      </c>
      <c r="L28" s="10">
        <v>0</v>
      </c>
      <c r="M28" s="10">
        <v>-22739616.1919</v>
      </c>
      <c r="N28" s="10">
        <v>-8.0742133471075856</v>
      </c>
    </row>
    <row r="29" spans="1:14" x14ac:dyDescent="0.2">
      <c r="A29" s="12"/>
      <c r="B29" s="11" t="s">
        <v>32</v>
      </c>
      <c r="C29" s="10">
        <v>0</v>
      </c>
      <c r="D29" s="10">
        <v>0</v>
      </c>
      <c r="E29" s="10">
        <v>0</v>
      </c>
      <c r="F29" s="10">
        <v>52178335.791649997</v>
      </c>
      <c r="G29" s="10">
        <v>-52178335.791649997</v>
      </c>
      <c r="H29" s="10">
        <v>0</v>
      </c>
      <c r="J29" s="10">
        <v>0</v>
      </c>
      <c r="K29" s="10">
        <v>0</v>
      </c>
      <c r="L29" s="10">
        <v>0</v>
      </c>
      <c r="M29" s="10">
        <v>-430991677.00304002</v>
      </c>
      <c r="N29" s="10">
        <v>-8.2599736177499654</v>
      </c>
    </row>
    <row r="30" spans="1:14" x14ac:dyDescent="0.2">
      <c r="A30" s="12" t="s">
        <v>31</v>
      </c>
      <c r="B30" s="11" t="s">
        <v>30</v>
      </c>
      <c r="C30" s="10">
        <v>26471.973000000002</v>
      </c>
      <c r="D30" s="10">
        <v>26471.973000000002</v>
      </c>
      <c r="E30" s="10">
        <v>3000627.6276699998</v>
      </c>
      <c r="F30" s="10">
        <v>6274961.8552599996</v>
      </c>
      <c r="G30" s="10">
        <v>-3274334.2275899998</v>
      </c>
      <c r="H30" s="10">
        <v>0</v>
      </c>
      <c r="I30" s="10">
        <v>0.16036285017365351</v>
      </c>
      <c r="J30" s="10">
        <v>61115595.232589997</v>
      </c>
      <c r="K30" s="10">
        <v>0</v>
      </c>
      <c r="L30" s="10">
        <v>0</v>
      </c>
      <c r="M30" s="10">
        <v>17232645.050220001</v>
      </c>
      <c r="N30" s="10">
        <v>1.8578490449827081</v>
      </c>
    </row>
    <row r="31" spans="1:14" x14ac:dyDescent="0.2">
      <c r="A31" s="12"/>
      <c r="B31" s="11" t="s">
        <v>29</v>
      </c>
      <c r="C31" s="10">
        <v>857.70799999999997</v>
      </c>
      <c r="D31" s="10">
        <v>857.70799999999997</v>
      </c>
      <c r="E31" s="10">
        <v>139970.66943000001</v>
      </c>
      <c r="F31" s="10">
        <v>270039.17450999998</v>
      </c>
      <c r="G31" s="10">
        <v>-130068.50507</v>
      </c>
      <c r="H31" s="10">
        <v>0</v>
      </c>
      <c r="I31" s="10">
        <v>0.21877787079052541</v>
      </c>
      <c r="J31" s="10">
        <v>2004160.4850699999</v>
      </c>
      <c r="K31" s="10">
        <v>0</v>
      </c>
      <c r="L31" s="10">
        <v>0</v>
      </c>
      <c r="M31" s="10">
        <v>564505.08914000005</v>
      </c>
      <c r="N31" s="10">
        <v>1.376808583624842</v>
      </c>
    </row>
    <row r="32" spans="1:14" x14ac:dyDescent="0.2">
      <c r="A32" s="12"/>
      <c r="B32" s="11" t="s">
        <v>28</v>
      </c>
      <c r="C32" s="10">
        <v>457.99400000000003</v>
      </c>
      <c r="D32" s="10">
        <v>457.99400000000003</v>
      </c>
      <c r="E32" s="10">
        <v>31270.249299999999</v>
      </c>
      <c r="F32" s="10">
        <v>245143.76152</v>
      </c>
      <c r="G32" s="10">
        <v>-213873.51220999999</v>
      </c>
      <c r="H32" s="10">
        <v>0</v>
      </c>
      <c r="I32" s="10">
        <v>0.27621599846286188</v>
      </c>
      <c r="J32" s="10">
        <v>1214590.40221</v>
      </c>
      <c r="K32" s="10">
        <v>0</v>
      </c>
      <c r="L32" s="10">
        <v>0</v>
      </c>
      <c r="M32" s="10">
        <v>571933.86939000001</v>
      </c>
      <c r="N32" s="10">
        <v>2.069120361546994</v>
      </c>
    </row>
    <row r="33" spans="1:14" x14ac:dyDescent="0.2">
      <c r="A33" s="12"/>
      <c r="B33" s="11" t="s">
        <v>27</v>
      </c>
      <c r="C33" s="10">
        <v>5300</v>
      </c>
      <c r="D33" s="10">
        <v>5300</v>
      </c>
      <c r="E33" s="10">
        <v>870111.84106999997</v>
      </c>
      <c r="F33" s="10">
        <v>2201965.1227199999</v>
      </c>
      <c r="G33" s="10">
        <v>-1331853.28165</v>
      </c>
      <c r="H33" s="10">
        <v>0</v>
      </c>
      <c r="I33" s="10">
        <v>0.26528016603773591</v>
      </c>
      <c r="J33" s="10">
        <v>12912353.281649999</v>
      </c>
      <c r="K33" s="10">
        <v>0</v>
      </c>
      <c r="L33" s="10">
        <v>0</v>
      </c>
      <c r="M33" s="10">
        <v>10865001.42458</v>
      </c>
      <c r="N33" s="10">
        <v>3.5366957146793778</v>
      </c>
    </row>
    <row r="34" spans="1:14" x14ac:dyDescent="0.2">
      <c r="A34" s="12" t="s">
        <v>26</v>
      </c>
      <c r="B34" s="11" t="s">
        <v>74</v>
      </c>
      <c r="C34" s="10">
        <v>16000000</v>
      </c>
      <c r="D34" s="10">
        <v>16000000</v>
      </c>
      <c r="E34" s="10">
        <v>133476.04702</v>
      </c>
      <c r="F34" s="10">
        <v>133476.04702</v>
      </c>
      <c r="G34" s="10">
        <v>0</v>
      </c>
      <c r="H34" s="10">
        <v>0</v>
      </c>
      <c r="I34" s="10">
        <v>0.99882882942812501</v>
      </c>
      <c r="J34" s="10">
        <v>0</v>
      </c>
      <c r="K34" s="10">
        <v>0</v>
      </c>
      <c r="L34" s="10">
        <v>0</v>
      </c>
      <c r="M34" s="10">
        <v>0</v>
      </c>
    </row>
    <row r="35" spans="1:14" x14ac:dyDescent="0.2">
      <c r="A35" s="12"/>
      <c r="B35" s="11" t="s">
        <v>25</v>
      </c>
      <c r="C35" s="10">
        <v>46768.008000000002</v>
      </c>
      <c r="D35" s="10">
        <v>46768.008000000002</v>
      </c>
      <c r="E35" s="10">
        <v>82308.513430000006</v>
      </c>
      <c r="F35" s="10">
        <v>89870.840769999995</v>
      </c>
      <c r="G35" s="10">
        <v>-7562.3273399999998</v>
      </c>
      <c r="H35" s="10">
        <v>0</v>
      </c>
      <c r="I35" s="10">
        <v>0.74003993884024311</v>
      </c>
      <c r="J35" s="10">
        <v>0</v>
      </c>
      <c r="K35" s="10">
        <v>0</v>
      </c>
      <c r="L35" s="10">
        <v>0</v>
      </c>
      <c r="M35" s="10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02053-2212-9C45-B8BA-0EE6F33DB6CE}">
  <dimension ref="A1:M30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3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</row>
    <row r="2" spans="1:13" x14ac:dyDescent="0.2">
      <c r="A2" s="12" t="s">
        <v>61</v>
      </c>
      <c r="B2" s="11" t="s">
        <v>60</v>
      </c>
      <c r="C2" s="10">
        <v>0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</row>
    <row r="3" spans="1:13" x14ac:dyDescent="0.2">
      <c r="A3" s="12"/>
      <c r="B3" s="11" t="s">
        <v>59</v>
      </c>
      <c r="C3" s="10">
        <v>0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</row>
    <row r="4" spans="1:13" x14ac:dyDescent="0.2">
      <c r="A4" s="12"/>
      <c r="B4" s="11" t="s">
        <v>58</v>
      </c>
      <c r="C4" s="10">
        <v>0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 x14ac:dyDescent="0.2">
      <c r="A5" s="12"/>
      <c r="B5" s="11" t="s">
        <v>57</v>
      </c>
      <c r="C5" s="10">
        <v>0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</row>
    <row r="6" spans="1:13" x14ac:dyDescent="0.2">
      <c r="A6" s="12"/>
      <c r="B6" s="11" t="s">
        <v>56</v>
      </c>
      <c r="C6" s="10">
        <v>0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 x14ac:dyDescent="0.2">
      <c r="A7" s="12"/>
      <c r="B7" s="11" t="s">
        <v>55</v>
      </c>
      <c r="C7" s="10">
        <v>0</v>
      </c>
      <c r="D7" s="10">
        <v>13695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 spans="1:13" x14ac:dyDescent="0.2">
      <c r="A8" s="12"/>
      <c r="B8" s="11" t="s">
        <v>54</v>
      </c>
      <c r="C8" s="10">
        <v>0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 x14ac:dyDescent="0.2">
      <c r="A9" s="12"/>
      <c r="B9" s="11" t="s">
        <v>53</v>
      </c>
      <c r="C9" s="10">
        <v>0</v>
      </c>
      <c r="D9" s="10">
        <v>11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 spans="1:13" x14ac:dyDescent="0.2">
      <c r="A10" s="12"/>
      <c r="B10" s="11" t="s">
        <v>52</v>
      </c>
      <c r="C10" s="10">
        <v>0</v>
      </c>
      <c r="D10" s="10">
        <v>834.51107000000002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</row>
    <row r="11" spans="1:13" x14ac:dyDescent="0.2">
      <c r="A11" s="12"/>
      <c r="B11" s="11" t="s">
        <v>51</v>
      </c>
      <c r="C11" s="10">
        <v>0</v>
      </c>
      <c r="D11" s="10">
        <v>1897.296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 spans="1:13" x14ac:dyDescent="0.2">
      <c r="A12" s="12"/>
      <c r="B12" s="11" t="s">
        <v>50</v>
      </c>
      <c r="C12" s="10">
        <v>0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2">
      <c r="A13" s="12"/>
      <c r="B13" s="11" t="s">
        <v>49</v>
      </c>
      <c r="C13" s="10">
        <v>0</v>
      </c>
      <c r="D13" s="10">
        <v>254.358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 spans="1:13" x14ac:dyDescent="0.2">
      <c r="A14" s="12"/>
      <c r="B14" s="11" t="s">
        <v>48</v>
      </c>
      <c r="C14" s="10">
        <v>0</v>
      </c>
      <c r="D14" s="10">
        <v>4570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 x14ac:dyDescent="0.2">
      <c r="A15" s="12"/>
      <c r="B15" s="11" t="s">
        <v>47</v>
      </c>
      <c r="C15" s="10">
        <v>0</v>
      </c>
      <c r="D15" s="10">
        <v>53544.201999999997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 spans="1:13" x14ac:dyDescent="0.2">
      <c r="A16" s="12"/>
      <c r="B16" s="11" t="s">
        <v>46</v>
      </c>
      <c r="C16" s="10">
        <v>0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 x14ac:dyDescent="0.2">
      <c r="A17" s="12"/>
      <c r="B17" s="11" t="s">
        <v>45</v>
      </c>
      <c r="C17" s="10">
        <v>0</v>
      </c>
      <c r="D17" s="10">
        <v>27270.741000000002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 spans="1:13" x14ac:dyDescent="0.2">
      <c r="A18" s="12"/>
      <c r="B18" s="11" t="s">
        <v>44</v>
      </c>
      <c r="C18" s="10">
        <v>0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</row>
    <row r="19" spans="1:13" x14ac:dyDescent="0.2">
      <c r="A19" s="12"/>
      <c r="B19" s="11" t="s">
        <v>43</v>
      </c>
      <c r="C19" s="10">
        <v>0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 spans="1:13" x14ac:dyDescent="0.2">
      <c r="A20" s="12"/>
      <c r="B20" s="11" t="s">
        <v>42</v>
      </c>
      <c r="C20" s="10">
        <v>0</v>
      </c>
      <c r="D20" s="10">
        <v>40470.421999999999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</row>
    <row r="21" spans="1:13" x14ac:dyDescent="0.2">
      <c r="A21" s="12"/>
      <c r="B21" s="11" t="s">
        <v>41</v>
      </c>
      <c r="C21" s="10">
        <v>0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 spans="1:13" x14ac:dyDescent="0.2">
      <c r="A22" s="11" t="s">
        <v>40</v>
      </c>
      <c r="B22" s="11" t="s">
        <v>39</v>
      </c>
      <c r="C22" s="10">
        <v>0</v>
      </c>
      <c r="D22" s="10">
        <v>230800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1:13" x14ac:dyDescent="0.2">
      <c r="A23" s="12" t="s">
        <v>38</v>
      </c>
      <c r="B23" s="11" t="s">
        <v>37</v>
      </c>
      <c r="C23" s="10">
        <v>0</v>
      </c>
      <c r="D23" s="10">
        <v>12450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 spans="1:13" x14ac:dyDescent="0.2">
      <c r="A24" s="12"/>
      <c r="B24" s="11" t="s">
        <v>36</v>
      </c>
      <c r="C24" s="10">
        <v>0</v>
      </c>
      <c r="D24" s="10">
        <v>3653.0947500000002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</row>
    <row r="25" spans="1:13" x14ac:dyDescent="0.2">
      <c r="A25" s="12"/>
      <c r="B25" s="11" t="s">
        <v>35</v>
      </c>
      <c r="C25" s="10">
        <v>0</v>
      </c>
      <c r="D25" s="10">
        <v>278.38099999999997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 spans="1:13" x14ac:dyDescent="0.2">
      <c r="A26" s="12" t="s">
        <v>31</v>
      </c>
      <c r="B26" s="11" t="s">
        <v>30</v>
      </c>
      <c r="C26" s="10">
        <v>0</v>
      </c>
      <c r="D26" s="10">
        <v>26471.973000000002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1:13" x14ac:dyDescent="0.2">
      <c r="A27" s="12"/>
      <c r="B27" s="11" t="s">
        <v>29</v>
      </c>
      <c r="C27" s="10">
        <v>0</v>
      </c>
      <c r="D27" s="10">
        <v>857.70799999999997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 spans="1:13" x14ac:dyDescent="0.2">
      <c r="A28" s="12"/>
      <c r="B28" s="11" t="s">
        <v>28</v>
      </c>
      <c r="C28" s="10">
        <v>0</v>
      </c>
      <c r="D28" s="10">
        <v>457.99400000000003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</row>
    <row r="29" spans="1:13" x14ac:dyDescent="0.2">
      <c r="A29" s="12"/>
      <c r="B29" s="11" t="s">
        <v>27</v>
      </c>
      <c r="C29" s="10">
        <v>0</v>
      </c>
      <c r="D29" s="10">
        <v>5300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 spans="1:13" x14ac:dyDescent="0.2">
      <c r="A30" s="11" t="s">
        <v>26</v>
      </c>
      <c r="B30" s="11" t="s">
        <v>25</v>
      </c>
      <c r="C30" s="10">
        <v>0</v>
      </c>
      <c r="D30" s="10">
        <v>46768.008000000002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</row>
  </sheetData>
  <mergeCells count="3">
    <mergeCell ref="A26:A29"/>
    <mergeCell ref="A2:A21"/>
    <mergeCell ref="A23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0E37B-E88C-7B4C-8565-BD9E0276E219}">
  <dimension ref="A1:M33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3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</row>
    <row r="2" spans="1:13" x14ac:dyDescent="0.2">
      <c r="A2" s="12" t="s">
        <v>61</v>
      </c>
      <c r="B2" s="11" t="s">
        <v>60</v>
      </c>
      <c r="C2" s="10">
        <v>0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</row>
    <row r="3" spans="1:13" x14ac:dyDescent="0.2">
      <c r="A3" s="12"/>
      <c r="B3" s="11" t="s">
        <v>59</v>
      </c>
      <c r="C3" s="10">
        <v>0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</row>
    <row r="4" spans="1:13" x14ac:dyDescent="0.2">
      <c r="A4" s="12"/>
      <c r="B4" s="11" t="s">
        <v>58</v>
      </c>
      <c r="C4" s="10">
        <v>0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 x14ac:dyDescent="0.2">
      <c r="A5" s="12"/>
      <c r="B5" s="11" t="s">
        <v>57</v>
      </c>
      <c r="C5" s="10">
        <v>0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</row>
    <row r="6" spans="1:13" x14ac:dyDescent="0.2">
      <c r="A6" s="12"/>
      <c r="B6" s="11" t="s">
        <v>56</v>
      </c>
      <c r="C6" s="10">
        <v>0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 x14ac:dyDescent="0.2">
      <c r="A7" s="12"/>
      <c r="B7" s="11" t="s">
        <v>55</v>
      </c>
      <c r="C7" s="10">
        <v>0</v>
      </c>
      <c r="D7" s="10">
        <v>13695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 spans="1:13" x14ac:dyDescent="0.2">
      <c r="A8" s="12"/>
      <c r="B8" s="11" t="s">
        <v>54</v>
      </c>
      <c r="C8" s="10">
        <v>0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 x14ac:dyDescent="0.2">
      <c r="A9" s="12"/>
      <c r="B9" s="11" t="s">
        <v>53</v>
      </c>
      <c r="C9" s="10">
        <v>0</v>
      </c>
      <c r="D9" s="10">
        <v>11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 spans="1:13" x14ac:dyDescent="0.2">
      <c r="A10" s="12"/>
      <c r="B10" s="11" t="s">
        <v>52</v>
      </c>
      <c r="C10" s="10">
        <v>0</v>
      </c>
      <c r="D10" s="10">
        <v>834.51107000000002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</row>
    <row r="11" spans="1:13" x14ac:dyDescent="0.2">
      <c r="A11" s="12"/>
      <c r="B11" s="11" t="s">
        <v>51</v>
      </c>
      <c r="C11" s="10">
        <v>0</v>
      </c>
      <c r="D11" s="10">
        <v>1897.296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 spans="1:13" x14ac:dyDescent="0.2">
      <c r="A12" s="12"/>
      <c r="B12" s="11" t="s">
        <v>50</v>
      </c>
      <c r="C12" s="10">
        <v>0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2">
      <c r="A13" s="12"/>
      <c r="B13" s="11" t="s">
        <v>49</v>
      </c>
      <c r="C13" s="10">
        <v>0</v>
      </c>
      <c r="D13" s="10">
        <v>254.358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 spans="1:13" x14ac:dyDescent="0.2">
      <c r="A14" s="12"/>
      <c r="B14" s="11" t="s">
        <v>48</v>
      </c>
      <c r="C14" s="10">
        <v>0</v>
      </c>
      <c r="D14" s="10">
        <v>4570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 x14ac:dyDescent="0.2">
      <c r="A15" s="12"/>
      <c r="B15" s="11" t="s">
        <v>47</v>
      </c>
      <c r="C15" s="10">
        <v>0</v>
      </c>
      <c r="D15" s="10">
        <v>53544.201999999997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 spans="1:13" x14ac:dyDescent="0.2">
      <c r="A16" s="12"/>
      <c r="B16" s="11" t="s">
        <v>46</v>
      </c>
      <c r="C16" s="10">
        <v>0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 x14ac:dyDescent="0.2">
      <c r="A17" s="12"/>
      <c r="B17" s="11" t="s">
        <v>45</v>
      </c>
      <c r="C17" s="10">
        <v>0</v>
      </c>
      <c r="D17" s="10">
        <v>27270.741000000002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 spans="1:13" x14ac:dyDescent="0.2">
      <c r="A18" s="12"/>
      <c r="B18" s="11" t="s">
        <v>44</v>
      </c>
      <c r="C18" s="10">
        <v>0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</row>
    <row r="19" spans="1:13" x14ac:dyDescent="0.2">
      <c r="A19" s="12"/>
      <c r="B19" s="11" t="s">
        <v>43</v>
      </c>
      <c r="C19" s="10">
        <v>0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 spans="1:13" x14ac:dyDescent="0.2">
      <c r="A20" s="12"/>
      <c r="B20" s="11" t="s">
        <v>42</v>
      </c>
      <c r="C20" s="10">
        <v>0</v>
      </c>
      <c r="D20" s="10">
        <v>40470.421999999999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</row>
    <row r="21" spans="1:13" x14ac:dyDescent="0.2">
      <c r="A21" s="12"/>
      <c r="B21" s="11" t="s">
        <v>41</v>
      </c>
      <c r="C21" s="10">
        <v>0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 spans="1:13" x14ac:dyDescent="0.2">
      <c r="A22" s="11" t="s">
        <v>40</v>
      </c>
      <c r="B22" s="11" t="s">
        <v>39</v>
      </c>
      <c r="C22" s="10">
        <v>0</v>
      </c>
      <c r="D22" s="10">
        <v>230800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1:13" x14ac:dyDescent="0.2">
      <c r="A23" s="12" t="s">
        <v>38</v>
      </c>
      <c r="B23" s="11" t="s">
        <v>37</v>
      </c>
      <c r="C23" s="10">
        <v>0</v>
      </c>
      <c r="D23" s="10">
        <v>12450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 spans="1:13" x14ac:dyDescent="0.2">
      <c r="A24" s="12"/>
      <c r="B24" s="11" t="s">
        <v>74</v>
      </c>
      <c r="C24" s="10">
        <v>0</v>
      </c>
      <c r="D24" s="10">
        <v>32000000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</row>
    <row r="25" spans="1:13" x14ac:dyDescent="0.2">
      <c r="A25" s="12"/>
      <c r="B25" s="11" t="s">
        <v>36</v>
      </c>
      <c r="C25" s="10">
        <v>0</v>
      </c>
      <c r="D25" s="10">
        <v>3653.0947500000002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 spans="1:13" x14ac:dyDescent="0.2">
      <c r="A26" s="12"/>
      <c r="B26" s="11" t="s">
        <v>35</v>
      </c>
      <c r="C26" s="10">
        <v>0</v>
      </c>
      <c r="D26" s="10">
        <v>278.38099999999997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1:13" x14ac:dyDescent="0.2">
      <c r="A27" s="12"/>
      <c r="B27" s="11" t="s">
        <v>75</v>
      </c>
      <c r="C27" s="10">
        <v>0</v>
      </c>
      <c r="D27" s="10">
        <v>240000000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 spans="1:13" x14ac:dyDescent="0.2">
      <c r="A28" s="12" t="s">
        <v>31</v>
      </c>
      <c r="B28" s="11" t="s">
        <v>30</v>
      </c>
      <c r="C28" s="10">
        <v>0</v>
      </c>
      <c r="D28" s="10">
        <v>26471.973000000002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</row>
    <row r="29" spans="1:13" x14ac:dyDescent="0.2">
      <c r="A29" s="12"/>
      <c r="B29" s="11" t="s">
        <v>29</v>
      </c>
      <c r="C29" s="10">
        <v>0</v>
      </c>
      <c r="D29" s="10">
        <v>857.70799999999997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 spans="1:13" x14ac:dyDescent="0.2">
      <c r="A30" s="12"/>
      <c r="B30" s="11" t="s">
        <v>28</v>
      </c>
      <c r="C30" s="10">
        <v>0</v>
      </c>
      <c r="D30" s="10">
        <v>457.99400000000003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</row>
    <row r="31" spans="1:13" x14ac:dyDescent="0.2">
      <c r="A31" s="12"/>
      <c r="B31" s="11" t="s">
        <v>27</v>
      </c>
      <c r="C31" s="10">
        <v>0</v>
      </c>
      <c r="D31" s="10">
        <v>5300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 spans="1:13" x14ac:dyDescent="0.2">
      <c r="A32" s="12" t="s">
        <v>26</v>
      </c>
      <c r="B32" s="11" t="s">
        <v>74</v>
      </c>
      <c r="C32" s="10">
        <v>0</v>
      </c>
      <c r="D32" s="10">
        <v>16000000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</row>
    <row r="33" spans="1:13" x14ac:dyDescent="0.2">
      <c r="A33" s="12"/>
      <c r="B33" s="11" t="s">
        <v>25</v>
      </c>
      <c r="C33" s="10">
        <v>0</v>
      </c>
      <c r="D33" s="10">
        <v>46768.008000000002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</sheetData>
  <mergeCells count="4">
    <mergeCell ref="A32:A33"/>
    <mergeCell ref="A23:A27"/>
    <mergeCell ref="A2:A21"/>
    <mergeCell ref="A28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2026-08-20T15:31:42Z</dcterms:modified>
</cp:coreProperties>
</file>