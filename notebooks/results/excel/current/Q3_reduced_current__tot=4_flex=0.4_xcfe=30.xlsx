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current/"/>
    </mc:Choice>
  </mc:AlternateContent>
  <xr:revisionPtr revIDLastSave="0" documentId="13_ncr:1_{D19802C0-2BB5-AD47-8CBC-2BD243ADDECA}" xr6:coauthVersionLast="47" xr6:coauthVersionMax="47" xr10:uidLastSave="{00000000-0000-0000-0000-000000000000}"/>
  <bookViews>
    <workbookView xWindow="-20" yWindow="680" windowWidth="15140" windowHeight="17400" xr2:uid="{D4188A73-9F76-7B43-A2AE-82D891E862BC}"/>
  </bookViews>
  <sheets>
    <sheet name="Summary" sheetId="8" r:id="rId1"/>
    <sheet name="Inflexible" sheetId="9" r:id="rId2"/>
    <sheet name="Temporal" sheetId="10" r:id="rId3"/>
    <sheet name="Spatial" sheetId="11" r:id="rId4"/>
    <sheet name="Both" sheetId="12" r:id="rId5"/>
    <sheet name="CFE" sheetId="13" r:id="rId6"/>
    <sheet name="CFE_both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8" l="1"/>
  <c r="F23" i="8"/>
  <c r="E23" i="8"/>
  <c r="D23" i="8"/>
  <c r="C23" i="8"/>
  <c r="D12" i="8"/>
  <c r="D14" i="8"/>
  <c r="F14" i="8"/>
  <c r="B7" i="8"/>
  <c r="G14" i="8"/>
  <c r="F11" i="8"/>
  <c r="E14" i="8"/>
  <c r="C15" i="8"/>
  <c r="F12" i="8"/>
  <c r="G13" i="8"/>
  <c r="B13" i="8"/>
  <c r="C13" i="8"/>
  <c r="D15" i="8"/>
  <c r="D11" i="8"/>
  <c r="G15" i="8"/>
  <c r="E13" i="8"/>
  <c r="C14" i="8"/>
  <c r="B15" i="8"/>
  <c r="E12" i="8"/>
  <c r="F15" i="8"/>
  <c r="G12" i="8"/>
  <c r="F13" i="8"/>
  <c r="B14" i="8"/>
  <c r="B8" i="8"/>
  <c r="C11" i="8"/>
  <c r="B11" i="8"/>
  <c r="G11" i="8"/>
  <c r="E11" i="8"/>
  <c r="E15" i="8"/>
  <c r="D13" i="8"/>
  <c r="C12" i="8"/>
  <c r="B12" i="8"/>
  <c r="F20" i="8" l="1"/>
  <c r="C21" i="8"/>
  <c r="C18" i="8"/>
  <c r="C20" i="8"/>
  <c r="D20" i="8"/>
  <c r="D21" i="8"/>
  <c r="F21" i="8"/>
  <c r="E18" i="8"/>
  <c r="D19" i="8"/>
  <c r="E22" i="8"/>
  <c r="C22" i="8"/>
  <c r="E20" i="8"/>
  <c r="E19" i="8"/>
  <c r="G20" i="8"/>
  <c r="G22" i="8"/>
  <c r="F18" i="8"/>
  <c r="F19" i="8"/>
  <c r="G18" i="8"/>
  <c r="F22" i="8"/>
  <c r="C19" i="8"/>
  <c r="E21" i="8"/>
  <c r="G21" i="8"/>
  <c r="G19" i="8"/>
  <c r="D22" i="8"/>
  <c r="D18" i="8"/>
</calcChain>
</file>

<file path=xl/sharedStrings.xml><?xml version="1.0" encoding="utf-8"?>
<sst xmlns="http://schemas.openxmlformats.org/spreadsheetml/2006/main" count="409" uniqueCount="78">
  <si>
    <t>BIG SUMMARY</t>
  </si>
  <si>
    <t xml:space="preserve">Data Centre Allocation: </t>
  </si>
  <si>
    <t>Flexibility:</t>
  </si>
  <si>
    <t>x_CFE: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</si>
  <si>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</si>
  <si>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</si>
  <si>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</si>
  <si>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</si>
  <si>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</si>
  <si>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</si>
  <si>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</si>
  <si>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</si>
  <si>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</si>
  <si>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</si>
  <si>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</si>
  <si>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</si>
  <si>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Total Storage</t>
  </si>
  <si>
    <t>DC Cost</t>
  </si>
  <si>
    <t>CFE_both</t>
  </si>
  <si>
    <t>Objective Reduction w.r.t. Inflexible</t>
  </si>
  <si>
    <t>DC Cost Reduction w.r.t. Inflexible</t>
  </si>
  <si>
    <t>Tot Green En Curtailment Reduction w.r.t. Inflexible</t>
  </si>
  <si>
    <t>Total Wind Offshore Curtailment Reduction</t>
  </si>
  <si>
    <t>Total Wind Onshore Curtailment Reduction</t>
  </si>
  <si>
    <t>Total Solar PV Curtailment Reduction</t>
  </si>
  <si>
    <t>Hydrogen Gas</t>
  </si>
  <si>
    <t>Store</t>
  </si>
  <si>
    <t>Pumped Storage Hydroelectricity</t>
  </si>
  <si>
    <t>Liquid Air Energy Storage</t>
  </si>
  <si>
    <t>Domestic Battery Storage</t>
  </si>
  <si>
    <t>Battery Storage</t>
  </si>
  <si>
    <t>StorageUnit</t>
  </si>
  <si>
    <t>Electricity</t>
  </si>
  <si>
    <t>Data Centre</t>
  </si>
  <si>
    <t>Load</t>
  </si>
  <si>
    <t>H2 Power Generation</t>
  </si>
  <si>
    <t>Electrolysis</t>
  </si>
  <si>
    <t>DC</t>
  </si>
  <si>
    <t>Link</t>
  </si>
  <si>
    <t>AC</t>
  </si>
  <si>
    <t>Line</t>
  </si>
  <si>
    <t>Waste to Energy</t>
  </si>
  <si>
    <t>Solar PV</t>
  </si>
  <si>
    <t>Sewage Gas</t>
  </si>
  <si>
    <t>Open Cycle Gas Turbine</t>
  </si>
  <si>
    <t>Onshore Wind</t>
  </si>
  <si>
    <t>Oil</t>
  </si>
  <si>
    <t>Offshore Wind</t>
  </si>
  <si>
    <t>Nuclear</t>
  </si>
  <si>
    <t>Marine Energy</t>
  </si>
  <si>
    <t>Load Shedding</t>
  </si>
  <si>
    <t>Large Hydro</t>
  </si>
  <si>
    <t>Landfill Gas</t>
  </si>
  <si>
    <t>Geothermal</t>
  </si>
  <si>
    <t>Gas Engine</t>
  </si>
  <si>
    <t>European Imports</t>
  </si>
  <si>
    <t>Combined Heat &amp; Power</t>
  </si>
  <si>
    <t>Combined Cycle Gas Turbine</t>
  </si>
  <si>
    <t>Biomass</t>
  </si>
  <si>
    <t>Biogas</t>
  </si>
  <si>
    <t>Advanced Biofuel</t>
  </si>
  <si>
    <t>Generator</t>
  </si>
  <si>
    <t>Market Value</t>
  </si>
  <si>
    <t>Revenue</t>
  </si>
  <si>
    <t>Operational Expenditure</t>
  </si>
  <si>
    <t>Capital Expenditure</t>
  </si>
  <si>
    <t>Curtailment</t>
  </si>
  <si>
    <t>Capacity Factor</t>
  </si>
  <si>
    <t>Transmission</t>
  </si>
  <si>
    <t>Energy Balance</t>
  </si>
  <si>
    <t>Withdrawal</t>
  </si>
  <si>
    <t>Supply</t>
  </si>
  <si>
    <t>Installed Capacity</t>
  </si>
  <si>
    <t>Optimal Capacity</t>
  </si>
  <si>
    <t>DSM</t>
  </si>
  <si>
    <t>Virtual Link</t>
  </si>
  <si>
    <t>Current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</si>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</sst>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17">
    <xf numFmtId="0" fontId="0" fillId="0" borderId="0" xfId="0"/>
    <xf numFmtId="43" fontId="1" fillId="0" borderId="0" xfId="1" applyFont="1" applyBorder="1" applyAlignment="1">
      <alignment horizontal="center" vertical="center" wrapText="1"/>
    </xf>
    <xf numFmtId="0" fontId="2" fillId="0" borderId="0" xfId="2"/>
    <xf numFmtId="43" fontId="2" fillId="0" borderId="0" xfId="2" applyNumberFormat="1"/>
    <xf numFmtId="0" fontId="3" fillId="0" borderId="0" xfId="2" applyFont="1"/>
    <xf numFmtId="43" fontId="0" fillId="0" borderId="0" xfId="3" applyFont="1"/>
    <xf numFmtId="9" fontId="2" fillId="0" borderId="0" xfId="2" applyNumberFormat="1"/>
    <xf numFmtId="0" fontId="4" fillId="0" borderId="0" xfId="2" applyFont="1"/>
    <xf numFmtId="0" fontId="6" fillId="0" borderId="0" xfId="2" applyFont="1"/>
    <xf numFmtId="10" fontId="2" fillId="0" borderId="0" xfId="2" applyNumberFormat="1"/>
    <xf numFmtId="0" fontId="5" fillId="0" borderId="0" xfId="4"/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1" fontId="7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</cellXfs>
  <cellStyles count="5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  <cellStyle name="Normal 3" xfId="4" xr:uid="{D5582847-43D2-AD43-8DA4-CD8D7BB30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24"/>
  <sheetViews>
    <sheetView tabSelected="1" topLeftCell="C3" workbookViewId="0">
      <selection activeCell="G17" sqref="G17"/>
    </sheetView>
  </sheetViews>
  <sheetFormatPr baseColWidth="10" defaultRowHeight="16" x14ac:dyDescent="0.2"/>
  <cols>
    <col min="1" max="1" width="45.1640625" style="2" customWidth="1"/>
    <col min="2" max="2" width="17.83203125" style="2" customWidth="1"/>
    <col min="3" max="3" width="17" style="2" customWidth="1"/>
    <col min="4" max="4" width="20" style="2" customWidth="1"/>
    <col min="5" max="5" width="17.1640625" style="2" customWidth="1"/>
    <col min="6" max="6" width="16.5" style="2" customWidth="1"/>
    <col min="7" max="7" width="16.6640625" style="2" customWidth="1"/>
    <col min="8" max="16384" width="10.83203125" style="2"/>
  </cols>
  <sheetData>
    <row r="1" spans="1:7" ht="27" x14ac:dyDescent="0.35">
      <c r="A1" s="7" t="s">
        <v>0</v>
      </c>
    </row>
    <row r="3" spans="1:7" x14ac:dyDescent="0.2">
      <c r="A3" s="4" t="s">
        <v>1</v>
      </c>
      <c r="B3" s="2" t="s">
        <v>76</v>
      </c>
    </row>
    <row r="4" spans="1:7" x14ac:dyDescent="0.2">
      <c r="A4" s="4" t="s">
        <v>4</v>
      </c>
      <c r="B4" s="2">
        <v>4</v>
      </c>
      <c r="D4" s="1"/>
    </row>
    <row r="5" spans="1:7" x14ac:dyDescent="0.2">
      <c r="A5" s="4" t="s">
        <v>2</v>
      </c>
      <c r="B5" s="6">
        <v>0.4</v>
      </c>
      <c r="D5" s="1"/>
    </row>
    <row r="6" spans="1:7" x14ac:dyDescent="0.2">
      <c r="A6" s="4" t="s">
        <v>3</v>
      </c>
      <c r="B6" s="6">
        <v>0.3</v>
      </c>
      <c r="D6" s="1"/>
    </row>
    <row r="7" spans="1:7" x14ac:dyDescent="0.2">
      <c r="A7" s="4" t="s">
        <v>5</v>
      </c>
      <c r="B7" s="3">
        <f ca="1">SUMIFS(INDIRECT(B$10&amp;"!$D$2:$D$35"), INDIRECT(B$10&amp;"!$B$2:$B$35"), "Solar PV")
+SUMIFS(INDIRECT(B$10&amp;"!$D$2:$D$35"), INDIRECT(B$10&amp;"!$B$2:$B$35"), "Offshore Wind")
+SUMIFS(INDIRECT(B$10&amp;"!$D$2:$D$35"), INDIRECT(B$10&amp;"!$B$2:$B$35"), "Onshore Wind")
+SUMIFS(INDIRECT(B$10&amp;"!$D$2:$D$35"), INDIRECT(B$10&amp;"!$B$2:$B$35"), "Large Hydro")
+SUMIFS(INDIRECT(B$10&amp;"!$D$2:$D$35"), INDIRECT(B$10&amp;"!$B$2:$B$35"), "Marine Energy")</f>
        <v>123437.01899999999</v>
      </c>
      <c r="D7" s="1"/>
    </row>
    <row r="8" spans="1:7" x14ac:dyDescent="0.2">
      <c r="A8" s="4" t="s">
        <v>16</v>
      </c>
      <c r="B8" s="3">
        <f ca="1">SUMIFS(INDIRECT(B$10&amp;"!$D$2:$D$35"), INDIRECT(B$10&amp;"!$B$2:$B$35"), "Battery Storage")
+SUMIFS(INDIRECT(B$10&amp;"!$D$2:$D$35"), INDIRECT(B$10&amp;"!$B$2:$B$35"), "Domestic Battery Storage")
+SUMIFS(INDIRECT(B$10&amp;"!$D$2:$D$35"), INDIRECT(B$10&amp;"!$B$2:$B$35"), "Liquid Air Energy Storage")
+SUMIFS(INDIRECT(B$10&amp;"!$D$2:$D$35"), INDIRECT(B$10&amp;"!$B$2:$B$35"), "Pumped Storage Hydroelectricity")</f>
        <v>33087.675000000003</v>
      </c>
      <c r="D8" s="1"/>
    </row>
    <row r="10" spans="1:7" x14ac:dyDescent="0.2"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18</v>
      </c>
    </row>
    <row r="11" spans="1:7" x14ac:dyDescent="0.2">
      <c r="A11" s="4" t="s">
        <v>6</v>
      </c>
      <c r="B11" s="3">
        <f ca="1">SUMIFS(INDIRECT(B$10&amp;"!$J$2:$J$35"), INDIRECT(B$10&amp;"!$B$2:$B$35"), "Solar PV")
+SUMIFS(INDIRECT(B$10&amp;"!$J$2:$J$35"), INDIRECT(B$10&amp;"!$B$2:$B$35"), "Offshore Wind")
+SUMIFS(INDIRECT(B$10&amp;"!$J$2:$J$35"), INDIRECT(B$10&amp;"!$B$2:$B$35"), "Onshore Wind")
+SUMIFS(INDIRECT(B$10&amp;"!$J$2:$J$35"), INDIRECT(B$10&amp;"!$B$2:$B$35"), "Large Hydro")
+SUMIFS(INDIRECT(B$10&amp;"!$J$2:$J$35"), INDIRECT(B$10&amp;"!$B$2:$B$35"), "Marine Energy")</f>
        <v>11373568.51</v>
      </c>
      <c r="C11" s="3">
        <f t="shared" ref="C11:G11" ca="1" si="0">SUMIFS(INDIRECT(C$10&amp;"!$J$2:$J$35"), INDIRECT(C$10&amp;"!$B$2:$B$35"), "Solar PV")
+SUMIFS(INDIRECT(C$10&amp;"!$J$2:$J$35"), INDIRECT(C$10&amp;"!$B$2:$B$35"), "Offshore Wind")
+SUMIFS(INDIRECT(C$10&amp;"!$J$2:$J$35"), INDIRECT(C$10&amp;"!$B$2:$B$35"), "Onshore Wind")
+SUMIFS(INDIRECT(C$10&amp;"!$J$2:$J$35"), INDIRECT(C$10&amp;"!$B$2:$B$35"), "Large Hydro")
+SUMIFS(INDIRECT(C$10&amp;"!$J$2:$J$35"), INDIRECT(C$10&amp;"!$B$2:$B$35"), "Marine Energy")</f>
        <v>11387298.520000001</v>
      </c>
      <c r="D11" s="3">
        <f t="shared" ca="1" si="0"/>
        <v>11599286.91</v>
      </c>
      <c r="E11" s="3">
        <f t="shared" ca="1" si="0"/>
        <v>11356417.59</v>
      </c>
      <c r="F11" s="3">
        <f t="shared" ca="1" si="0"/>
        <v>11880238.1</v>
      </c>
      <c r="G11" s="3">
        <f t="shared" ca="1" si="0"/>
        <v>11741946.02</v>
      </c>
    </row>
    <row r="12" spans="1:7" x14ac:dyDescent="0.2">
      <c r="A12" s="4" t="s">
        <v>7</v>
      </c>
      <c r="B12" s="3">
        <f ca="1">SUMIFS(INDIRECT(B$10&amp;"!$J$2:$J$35"), INDIRECT(B$10&amp;"!$B$2:$B$35"), "Offshore Wind")</f>
        <v>6656963</v>
      </c>
      <c r="C12" s="3">
        <f t="shared" ref="C12:G12" ca="1" si="1">SUMIFS(INDIRECT(C$10&amp;"!$J$2:$J$35"), INDIRECT(C$10&amp;"!$B$2:$B$35"), "Offshore Wind")</f>
        <v>6511088</v>
      </c>
      <c r="D12" s="3">
        <f t="shared" ca="1" si="1"/>
        <v>6519195</v>
      </c>
      <c r="E12" s="3">
        <f t="shared" ca="1" si="1"/>
        <v>6420185</v>
      </c>
      <c r="F12" s="3">
        <f t="shared" ca="1" si="1"/>
        <v>6832674</v>
      </c>
      <c r="G12" s="3">
        <f t="shared" ca="1" si="1"/>
        <v>6906443</v>
      </c>
    </row>
    <row r="13" spans="1:7" x14ac:dyDescent="0.2">
      <c r="A13" s="4" t="s">
        <v>8</v>
      </c>
      <c r="B13" s="5">
        <f ca="1">SUMIFS(INDIRECT(B$10&amp;"!$J$2:$J$35"), INDIRECT(B$10&amp;"!$B$2:$B$35"), "Onshore Wind")</f>
        <v>3045595</v>
      </c>
      <c r="C13" s="5">
        <f t="shared" ref="C13:G13" ca="1" si="2">SUMIFS(INDIRECT(C$10&amp;"!$J$2:$J$35"), INDIRECT(C$10&amp;"!$B$2:$B$35"), "Onshore Wind")</f>
        <v>3217146</v>
      </c>
      <c r="D13" s="5">
        <f t="shared" ca="1" si="2"/>
        <v>3225550</v>
      </c>
      <c r="E13" s="5">
        <f t="shared" ca="1" si="2"/>
        <v>3132553</v>
      </c>
      <c r="F13" s="5">
        <f t="shared" ca="1" si="2"/>
        <v>3356432</v>
      </c>
      <c r="G13" s="5">
        <f t="shared" ca="1" si="2"/>
        <v>3281806</v>
      </c>
    </row>
    <row r="14" spans="1:7" x14ac:dyDescent="0.2">
      <c r="A14" s="4" t="s">
        <v>9</v>
      </c>
      <c r="B14" s="5">
        <f ca="1">SUMIFS(INDIRECT(B$10&amp;"!$J$2:$J$35"), INDIRECT(B$10&amp;"!$B$2:$B$35"), "Solar PV")</f>
        <v>1382226</v>
      </c>
      <c r="C14" s="5">
        <f t="shared" ref="C14:G14" ca="1" si="3">SUMIFS(INDIRECT(C$10&amp;"!$J$2:$J$35"), INDIRECT(C$10&amp;"!$B$2:$B$35"), "Solar PV")</f>
        <v>1365764</v>
      </c>
      <c r="D14" s="5">
        <f t="shared" ca="1" si="3"/>
        <v>1557062</v>
      </c>
      <c r="E14" s="5">
        <f t="shared" ca="1" si="3"/>
        <v>1508024</v>
      </c>
      <c r="F14" s="5">
        <f t="shared" ca="1" si="3"/>
        <v>1392276</v>
      </c>
      <c r="G14" s="5">
        <f t="shared" ca="1" si="3"/>
        <v>1261186</v>
      </c>
    </row>
    <row r="15" spans="1:7" x14ac:dyDescent="0.2">
      <c r="A15" s="4" t="s">
        <v>17</v>
      </c>
      <c r="B15" s="3">
        <f ca="1">-SUMIFS(INDIRECT(B$10&amp;"!$M$2:$M$35"), INDIRECT(B$10&amp;"!$B$2:$B$35"), "Data Centre")</f>
        <v>14463560</v>
      </c>
      <c r="C15" s="3">
        <f t="shared" ref="C15:G15" ca="1" si="4">-SUMIFS(INDIRECT(C$10&amp;"!$M$2:$M$35"), INDIRECT(C$10&amp;"!$B$2:$B$35"), "Data Centre")</f>
        <v>14290380</v>
      </c>
      <c r="D15" s="3">
        <f t="shared" ca="1" si="4"/>
        <v>14462050</v>
      </c>
      <c r="E15" s="3">
        <f t="shared" ca="1" si="4"/>
        <v>14016470</v>
      </c>
      <c r="F15" s="3">
        <f t="shared" ca="1" si="4"/>
        <v>14475760</v>
      </c>
      <c r="G15" s="3">
        <f t="shared" ca="1" si="4"/>
        <v>13991740</v>
      </c>
    </row>
    <row r="16" spans="1:7" x14ac:dyDescent="0.2">
      <c r="A16" s="4" t="s">
        <v>10</v>
      </c>
      <c r="B16" s="3">
        <v>82256050.809047401</v>
      </c>
      <c r="C16" s="3">
        <v>80775408.098126099</v>
      </c>
      <c r="D16" s="3">
        <v>81980170.938659206</v>
      </c>
      <c r="E16" s="3">
        <v>76841579.037538096</v>
      </c>
      <c r="F16" s="3">
        <v>82435033.536770806</v>
      </c>
      <c r="G16" s="3">
        <v>77015111.819620594</v>
      </c>
    </row>
    <row r="17" spans="1:7" x14ac:dyDescent="0.2">
      <c r="A17" s="4"/>
      <c r="B17" s="3"/>
      <c r="C17" s="3"/>
      <c r="D17" s="3"/>
      <c r="E17" s="3"/>
      <c r="F17" s="3"/>
      <c r="G17" s="3"/>
    </row>
    <row r="18" spans="1:7" x14ac:dyDescent="0.2">
      <c r="A18" s="8" t="s">
        <v>21</v>
      </c>
      <c r="C18" s="9">
        <f ca="1">1-C$11/$B$11</f>
        <v>-1.2071857647781847E-3</v>
      </c>
      <c r="D18" s="9">
        <f t="shared" ref="D18:G18" ca="1" si="5">1-D$11/$B$11</f>
        <v>-1.9845873333557584E-2</v>
      </c>
      <c r="E18" s="9">
        <f t="shared" ca="1" si="5"/>
        <v>1.5079629568257591E-3</v>
      </c>
      <c r="F18" s="9">
        <f t="shared" ca="1" si="5"/>
        <v>-4.4547987692211022E-2</v>
      </c>
      <c r="G18" s="9">
        <f t="shared" ca="1" si="5"/>
        <v>-3.2388912035489215E-2</v>
      </c>
    </row>
    <row r="19" spans="1:7" x14ac:dyDescent="0.2">
      <c r="A19" s="8" t="s">
        <v>22</v>
      </c>
      <c r="C19" s="9">
        <f ca="1">1-C$12/$B$12</f>
        <v>2.1913145679193335E-2</v>
      </c>
      <c r="D19" s="9">
        <f t="shared" ref="D19:G19" ca="1" si="6">1-D$12/$B$12</f>
        <v>2.0695323077505434E-2</v>
      </c>
      <c r="E19" s="9">
        <f t="shared" ca="1" si="6"/>
        <v>3.5568471688966929E-2</v>
      </c>
      <c r="F19" s="9">
        <f t="shared" ca="1" si="6"/>
        <v>-2.6395069343182476E-2</v>
      </c>
      <c r="G19" s="9">
        <f t="shared" ca="1" si="6"/>
        <v>-3.7476548990883707E-2</v>
      </c>
    </row>
    <row r="20" spans="1:7" x14ac:dyDescent="0.2">
      <c r="A20" s="8" t="s">
        <v>23</v>
      </c>
      <c r="C20" s="9">
        <f ca="1">1-C$13/$B$13</f>
        <v>-5.6327581310056107E-2</v>
      </c>
      <c r="D20" s="9">
        <f t="shared" ref="D20:G20" ca="1" si="7">1-D$13/$B$13</f>
        <v>-5.9086976436459882E-2</v>
      </c>
      <c r="E20" s="9">
        <f t="shared" ca="1" si="7"/>
        <v>-2.8552056330536368E-2</v>
      </c>
      <c r="F20" s="9">
        <f t="shared" ca="1" si="7"/>
        <v>-0.10206117359662059</v>
      </c>
      <c r="G20" s="9">
        <f t="shared" ca="1" si="7"/>
        <v>-7.7558243955614614E-2</v>
      </c>
    </row>
    <row r="21" spans="1:7" x14ac:dyDescent="0.2">
      <c r="A21" s="8" t="s">
        <v>24</v>
      </c>
      <c r="C21" s="9">
        <f ca="1">1-C$14/$B$14</f>
        <v>1.190977452312425E-2</v>
      </c>
      <c r="D21" s="9">
        <f t="shared" ref="D21:G21" ca="1" si="8">1-D$14/$B$14</f>
        <v>-0.1264887218153905</v>
      </c>
      <c r="E21" s="9">
        <f t="shared" ca="1" si="8"/>
        <v>-9.1011166046652381E-2</v>
      </c>
      <c r="F21" s="9">
        <f t="shared" ca="1" si="8"/>
        <v>-7.2708804493621937E-3</v>
      </c>
      <c r="G21" s="9">
        <f t="shared" ca="1" si="8"/>
        <v>8.7568892496596051E-2</v>
      </c>
    </row>
    <row r="22" spans="1:7" x14ac:dyDescent="0.2">
      <c r="A22" s="8" t="s">
        <v>20</v>
      </c>
      <c r="C22" s="9">
        <f ca="1">1-C$15/$B$15</f>
        <v>1.1973539018056423E-2</v>
      </c>
      <c r="D22" s="9">
        <f t="shared" ref="D22:G22" ca="1" si="9">1-D$15/$B$15</f>
        <v>1.0440029978786569E-4</v>
      </c>
      <c r="E22" s="9">
        <f t="shared" ca="1" si="9"/>
        <v>3.0911476842492402E-2</v>
      </c>
      <c r="F22" s="9">
        <f t="shared" ca="1" si="9"/>
        <v>-8.4349911086900597E-4</v>
      </c>
      <c r="G22" s="9">
        <f t="shared" ca="1" si="9"/>
        <v>3.2621291023786636E-2</v>
      </c>
    </row>
    <row r="23" spans="1:7" x14ac:dyDescent="0.2">
      <c r="A23" s="8" t="s">
        <v>19</v>
      </c>
      <c r="C23" s="9">
        <f>1-C$16/$B$16</f>
        <v>1.8000410867749173E-2</v>
      </c>
      <c r="D23" s="9">
        <f t="shared" ref="D23:G23" si="10">1-D$16/$B$16</f>
        <v>3.3539158235135202E-3</v>
      </c>
      <c r="E23" s="9">
        <f t="shared" si="10"/>
        <v>6.5824601573429287E-2</v>
      </c>
      <c r="F23" s="9">
        <f t="shared" si="10"/>
        <v>-2.175921722025187E-3</v>
      </c>
      <c r="G23" s="9">
        <f t="shared" si="10"/>
        <v>6.3714935714496379E-2</v>
      </c>
    </row>
    <row r="24" spans="1:7" x14ac:dyDescent="0.2">
      <c r="A24" s="8"/>
    </row>
  </sheetData>
  <conditionalFormatting sqref="B11:G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G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8585-6A20-BD41-9012-521F2F2790DD}">
  <dimension ref="A1:N32"/>
  <sheetViews>
    <sheetView workbookViewId="0">
      <selection sqref="A1:N32"/>
    </sheetView>
  </sheetViews>
  <sheetFormatPr baseColWidth="10" defaultColWidth="8.83203125" defaultRowHeight="15" x14ac:dyDescent="0.2"/>
  <cols>
    <col min="1" max="16384" width="8.83203125" style="10"/>
  </cols>
  <sheetData>
    <row r="1" spans="1:14" ht="60" x14ac:dyDescent="0.2">
      <c r="A1" s="11"/>
      <c r="B1" s="11"/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ht="30" x14ac:dyDescent="0.2">
      <c r="A2" s="14" t="s">
        <v>61</v>
      </c>
      <c r="B2" s="11" t="s">
        <v>60</v>
      </c>
      <c r="C2" s="12">
        <v>372.43929000000003</v>
      </c>
      <c r="D2" s="12">
        <v>372.43929000000003</v>
      </c>
      <c r="E2" s="13">
        <v>0</v>
      </c>
      <c r="F2" s="13">
        <v>0</v>
      </c>
      <c r="G2" s="13">
        <v>0</v>
      </c>
      <c r="H2" s="13">
        <v>0</v>
      </c>
      <c r="I2" s="12">
        <v>0</v>
      </c>
      <c r="J2" s="13">
        <v>813779.8</v>
      </c>
      <c r="K2" s="12">
        <v>0</v>
      </c>
      <c r="L2" s="13">
        <v>0</v>
      </c>
      <c r="M2" s="13">
        <v>0</v>
      </c>
      <c r="N2" s="12" t="s">
        <v>77</v>
      </c>
    </row>
    <row r="3" spans="1:14" x14ac:dyDescent="0.2">
      <c r="A3" s="15"/>
      <c r="B3" s="11" t="s">
        <v>59</v>
      </c>
      <c r="C3" s="12">
        <v>1642.8915400000001</v>
      </c>
      <c r="D3" s="12">
        <v>1642.8915400000001</v>
      </c>
      <c r="E3" s="13">
        <v>0</v>
      </c>
      <c r="F3" s="13">
        <v>0</v>
      </c>
      <c r="G3" s="13">
        <v>0</v>
      </c>
      <c r="H3" s="13">
        <v>0</v>
      </c>
      <c r="I3" s="12">
        <v>0</v>
      </c>
      <c r="J3" s="13">
        <v>3589718</v>
      </c>
      <c r="K3" s="12">
        <v>0</v>
      </c>
      <c r="L3" s="13">
        <v>0</v>
      </c>
      <c r="M3" s="13">
        <v>0</v>
      </c>
      <c r="N3" s="12" t="s">
        <v>77</v>
      </c>
    </row>
    <row r="4" spans="1:14" x14ac:dyDescent="0.2">
      <c r="A4" s="15"/>
      <c r="B4" s="11" t="s">
        <v>58</v>
      </c>
      <c r="C4" s="12">
        <v>9185.8067100000007</v>
      </c>
      <c r="D4" s="12">
        <v>9185.8067100000007</v>
      </c>
      <c r="E4" s="13">
        <v>0</v>
      </c>
      <c r="F4" s="13">
        <v>0</v>
      </c>
      <c r="G4" s="13">
        <v>0</v>
      </c>
      <c r="H4" s="13">
        <v>0</v>
      </c>
      <c r="I4" s="12">
        <v>0</v>
      </c>
      <c r="J4" s="13">
        <v>20070990</v>
      </c>
      <c r="K4" s="12">
        <v>0</v>
      </c>
      <c r="L4" s="13">
        <v>0</v>
      </c>
      <c r="M4" s="13">
        <v>0</v>
      </c>
      <c r="N4" s="12" t="s">
        <v>77</v>
      </c>
    </row>
    <row r="5" spans="1:14" ht="45" x14ac:dyDescent="0.2">
      <c r="A5" s="15"/>
      <c r="B5" s="11" t="s">
        <v>57</v>
      </c>
      <c r="C5" s="12">
        <v>23586</v>
      </c>
      <c r="D5" s="12">
        <v>23586</v>
      </c>
      <c r="E5" s="13">
        <v>0</v>
      </c>
      <c r="F5" s="13">
        <v>0</v>
      </c>
      <c r="G5" s="13">
        <v>0</v>
      </c>
      <c r="H5" s="13">
        <v>0</v>
      </c>
      <c r="I5" s="12">
        <v>0</v>
      </c>
      <c r="J5" s="13">
        <v>51535410</v>
      </c>
      <c r="K5" s="12">
        <v>0</v>
      </c>
      <c r="L5" s="13">
        <v>0</v>
      </c>
      <c r="M5" s="13">
        <v>0</v>
      </c>
      <c r="N5" s="12" t="s">
        <v>77</v>
      </c>
    </row>
    <row r="6" spans="1:14" ht="45" x14ac:dyDescent="0.2">
      <c r="A6" s="15"/>
      <c r="B6" s="11" t="s">
        <v>56</v>
      </c>
      <c r="C6" s="12">
        <v>3534.0360000000001</v>
      </c>
      <c r="D6" s="12">
        <v>3534.0360000000001</v>
      </c>
      <c r="E6" s="13">
        <v>0</v>
      </c>
      <c r="F6" s="13">
        <v>0</v>
      </c>
      <c r="G6" s="13">
        <v>0</v>
      </c>
      <c r="H6" s="13">
        <v>0</v>
      </c>
      <c r="I6" s="12">
        <v>0</v>
      </c>
      <c r="J6" s="13">
        <v>7721869</v>
      </c>
      <c r="K6" s="12">
        <v>0</v>
      </c>
      <c r="L6" s="13">
        <v>0</v>
      </c>
      <c r="M6" s="13">
        <v>0</v>
      </c>
      <c r="N6" s="12" t="s">
        <v>77</v>
      </c>
    </row>
    <row r="7" spans="1:14" ht="30" x14ac:dyDescent="0.2">
      <c r="A7" s="15"/>
      <c r="B7" s="11" t="s">
        <v>55</v>
      </c>
      <c r="C7" s="12">
        <v>13695</v>
      </c>
      <c r="D7" s="12">
        <v>13695</v>
      </c>
      <c r="E7" s="13">
        <v>3595220</v>
      </c>
      <c r="F7" s="13">
        <v>0</v>
      </c>
      <c r="G7" s="13">
        <v>3595220</v>
      </c>
      <c r="H7" s="13">
        <v>0</v>
      </c>
      <c r="I7" s="12">
        <v>0.120147</v>
      </c>
      <c r="J7" s="13">
        <v>26328360</v>
      </c>
      <c r="K7" s="12">
        <v>0</v>
      </c>
      <c r="L7" s="13">
        <v>40980950</v>
      </c>
      <c r="M7" s="13">
        <v>40980950</v>
      </c>
      <c r="N7" s="12">
        <v>11.398733999999999</v>
      </c>
    </row>
    <row r="8" spans="1:14" x14ac:dyDescent="0.2">
      <c r="A8" s="15"/>
      <c r="B8" s="11" t="s">
        <v>54</v>
      </c>
      <c r="C8" s="12">
        <v>4067.2939999999999</v>
      </c>
      <c r="D8" s="12">
        <v>4067.2939999999999</v>
      </c>
      <c r="E8" s="13">
        <v>0</v>
      </c>
      <c r="F8" s="13">
        <v>0</v>
      </c>
      <c r="G8" s="13">
        <v>0</v>
      </c>
      <c r="H8" s="13">
        <v>0</v>
      </c>
      <c r="I8" s="12">
        <v>0</v>
      </c>
      <c r="J8" s="13">
        <v>8887037</v>
      </c>
      <c r="K8" s="12">
        <v>0</v>
      </c>
      <c r="L8" s="13">
        <v>0</v>
      </c>
      <c r="M8" s="13">
        <v>0</v>
      </c>
      <c r="N8" s="12" t="s">
        <v>77</v>
      </c>
    </row>
    <row r="9" spans="1:14" ht="30" x14ac:dyDescent="0.2">
      <c r="A9" s="15"/>
      <c r="B9" s="11" t="s">
        <v>53</v>
      </c>
      <c r="C9" s="12">
        <v>11</v>
      </c>
      <c r="D9" s="12">
        <v>11</v>
      </c>
      <c r="E9" s="13">
        <v>4556.2330000000002</v>
      </c>
      <c r="F9" s="13">
        <v>0</v>
      </c>
      <c r="G9" s="13">
        <v>4556.2330000000002</v>
      </c>
      <c r="H9" s="13">
        <v>0</v>
      </c>
      <c r="I9" s="12">
        <v>0.18956600000000001</v>
      </c>
      <c r="J9" s="13">
        <v>19478.77</v>
      </c>
      <c r="K9" s="12">
        <v>0</v>
      </c>
      <c r="L9" s="13">
        <v>56770.66</v>
      </c>
      <c r="M9" s="13">
        <v>97738.34</v>
      </c>
      <c r="N9" s="12">
        <v>21.451595000000001</v>
      </c>
    </row>
    <row r="10" spans="1:14" ht="30" x14ac:dyDescent="0.2">
      <c r="A10" s="15"/>
      <c r="B10" s="11" t="s">
        <v>52</v>
      </c>
      <c r="C10" s="12">
        <v>834.51107000000002</v>
      </c>
      <c r="D10" s="12">
        <v>834.51107000000002</v>
      </c>
      <c r="E10" s="13">
        <v>1037.9960000000001</v>
      </c>
      <c r="F10" s="13">
        <v>0</v>
      </c>
      <c r="G10" s="13">
        <v>1037.9960000000001</v>
      </c>
      <c r="H10" s="13">
        <v>0</v>
      </c>
      <c r="I10" s="12">
        <v>5.6899999999999995E-4</v>
      </c>
      <c r="J10" s="13">
        <v>1822369</v>
      </c>
      <c r="K10" s="12">
        <v>0</v>
      </c>
      <c r="L10" s="13">
        <v>56051.8</v>
      </c>
      <c r="M10" s="13">
        <v>56229.9</v>
      </c>
      <c r="N10" s="12">
        <v>54.171073</v>
      </c>
    </row>
    <row r="11" spans="1:14" ht="30" x14ac:dyDescent="0.2">
      <c r="A11" s="15"/>
      <c r="B11" s="11" t="s">
        <v>51</v>
      </c>
      <c r="C11" s="12">
        <v>1897.296</v>
      </c>
      <c r="D11" s="12">
        <v>1897.296</v>
      </c>
      <c r="E11" s="13">
        <v>1403907</v>
      </c>
      <c r="F11" s="13">
        <v>0</v>
      </c>
      <c r="G11" s="13">
        <v>1403907</v>
      </c>
      <c r="H11" s="13">
        <v>0</v>
      </c>
      <c r="I11" s="12">
        <v>0.33865000000000001</v>
      </c>
      <c r="J11" s="13">
        <v>254330.1</v>
      </c>
      <c r="K11" s="12">
        <v>0</v>
      </c>
      <c r="L11" s="13">
        <v>0</v>
      </c>
      <c r="M11" s="13">
        <v>9271543</v>
      </c>
      <c r="N11" s="12">
        <v>6.6041030000000003</v>
      </c>
    </row>
    <row r="12" spans="1:14" ht="30" x14ac:dyDescent="0.2">
      <c r="A12" s="15"/>
      <c r="B12" s="11" t="s">
        <v>50</v>
      </c>
      <c r="C12" s="12">
        <v>48629.190949999997</v>
      </c>
      <c r="D12" s="12">
        <v>48629.190949999997</v>
      </c>
      <c r="E12" s="13">
        <v>0</v>
      </c>
      <c r="F12" s="13">
        <v>0</v>
      </c>
      <c r="G12" s="13">
        <v>0</v>
      </c>
      <c r="H12" s="13">
        <v>0</v>
      </c>
      <c r="I12" s="12">
        <v>0</v>
      </c>
      <c r="J12" s="13">
        <v>52178340</v>
      </c>
      <c r="K12" s="12">
        <v>0</v>
      </c>
      <c r="L12" s="13">
        <v>0</v>
      </c>
      <c r="M12" s="13">
        <v>0</v>
      </c>
      <c r="N12" s="12" t="s">
        <v>77</v>
      </c>
    </row>
    <row r="13" spans="1:14" ht="30" x14ac:dyDescent="0.2">
      <c r="A13" s="15"/>
      <c r="B13" s="11" t="s">
        <v>49</v>
      </c>
      <c r="C13" s="12">
        <v>254.358</v>
      </c>
      <c r="D13" s="12">
        <v>254.358</v>
      </c>
      <c r="E13" s="13">
        <v>239315.1</v>
      </c>
      <c r="F13" s="13">
        <v>0</v>
      </c>
      <c r="G13" s="13">
        <v>239315.1</v>
      </c>
      <c r="H13" s="13">
        <v>0</v>
      </c>
      <c r="I13" s="12">
        <v>0.43059900000000001</v>
      </c>
      <c r="J13" s="13">
        <v>34454.410000000003</v>
      </c>
      <c r="K13" s="12">
        <v>0</v>
      </c>
      <c r="L13" s="13">
        <v>0</v>
      </c>
      <c r="M13" s="13">
        <v>1985171</v>
      </c>
      <c r="N13" s="12">
        <v>8.2952159999999999</v>
      </c>
    </row>
    <row r="14" spans="1:14" x14ac:dyDescent="0.2">
      <c r="A14" s="15"/>
      <c r="B14" s="11" t="s">
        <v>48</v>
      </c>
      <c r="C14" s="12">
        <v>4570</v>
      </c>
      <c r="D14" s="12">
        <v>4570</v>
      </c>
      <c r="E14" s="13">
        <v>4077556</v>
      </c>
      <c r="F14" s="13">
        <v>0</v>
      </c>
      <c r="G14" s="13">
        <v>4077556</v>
      </c>
      <c r="H14" s="13">
        <v>0</v>
      </c>
      <c r="I14" s="12">
        <v>0.40834999999999999</v>
      </c>
      <c r="J14" s="13">
        <v>5907894</v>
      </c>
      <c r="K14" s="12">
        <v>0</v>
      </c>
      <c r="L14" s="13">
        <v>40775560</v>
      </c>
      <c r="M14" s="13">
        <v>68282830</v>
      </c>
      <c r="N14" s="12">
        <v>16.746019</v>
      </c>
    </row>
    <row r="15" spans="1:14" ht="30" x14ac:dyDescent="0.2">
      <c r="A15" s="15"/>
      <c r="B15" s="11" t="s">
        <v>47</v>
      </c>
      <c r="C15" s="12">
        <v>53544.201999999997</v>
      </c>
      <c r="D15" s="12">
        <v>53544.201999999997</v>
      </c>
      <c r="E15" s="13">
        <v>25457880</v>
      </c>
      <c r="F15" s="13">
        <v>0</v>
      </c>
      <c r="G15" s="13">
        <v>25457880</v>
      </c>
      <c r="H15" s="13">
        <v>0</v>
      </c>
      <c r="I15" s="12">
        <v>0.21759999999999999</v>
      </c>
      <c r="J15" s="13">
        <v>6656963</v>
      </c>
      <c r="K15" s="12">
        <v>0</v>
      </c>
      <c r="L15" s="13">
        <v>0</v>
      </c>
      <c r="M15" s="13">
        <v>102223700</v>
      </c>
      <c r="N15" s="12">
        <v>4.0154059999999996</v>
      </c>
    </row>
    <row r="16" spans="1:14" x14ac:dyDescent="0.2">
      <c r="A16" s="15"/>
      <c r="B16" s="11" t="s">
        <v>46</v>
      </c>
      <c r="C16" s="12">
        <v>78.5</v>
      </c>
      <c r="D16" s="12">
        <v>78.5</v>
      </c>
      <c r="E16" s="13">
        <v>0</v>
      </c>
      <c r="F16" s="13">
        <v>0</v>
      </c>
      <c r="G16" s="13">
        <v>0</v>
      </c>
      <c r="H16" s="13">
        <v>0</v>
      </c>
      <c r="I16" s="12">
        <v>0</v>
      </c>
      <c r="J16" s="13">
        <v>171522.5</v>
      </c>
      <c r="K16" s="12">
        <v>0</v>
      </c>
      <c r="L16" s="13">
        <v>0</v>
      </c>
      <c r="M16" s="13">
        <v>0</v>
      </c>
      <c r="N16" s="12" t="s">
        <v>77</v>
      </c>
    </row>
    <row r="17" spans="1:14" ht="30" x14ac:dyDescent="0.2">
      <c r="A17" s="15"/>
      <c r="B17" s="11" t="s">
        <v>45</v>
      </c>
      <c r="C17" s="12">
        <v>27270.741000000002</v>
      </c>
      <c r="D17" s="12">
        <v>27270.741000000002</v>
      </c>
      <c r="E17" s="13">
        <v>11289540</v>
      </c>
      <c r="F17" s="13">
        <v>0</v>
      </c>
      <c r="G17" s="13">
        <v>11289540</v>
      </c>
      <c r="H17" s="13">
        <v>0</v>
      </c>
      <c r="I17" s="12">
        <v>0.18946399999999999</v>
      </c>
      <c r="J17" s="13">
        <v>3045595</v>
      </c>
      <c r="K17" s="12">
        <v>0</v>
      </c>
      <c r="L17" s="13">
        <v>0</v>
      </c>
      <c r="M17" s="13">
        <v>41885960</v>
      </c>
      <c r="N17" s="12">
        <v>3.7101570000000001</v>
      </c>
    </row>
    <row r="18" spans="1:14" ht="45" x14ac:dyDescent="0.2">
      <c r="A18" s="15"/>
      <c r="B18" s="11" t="s">
        <v>44</v>
      </c>
      <c r="C18" s="12">
        <v>3662.89</v>
      </c>
      <c r="D18" s="12">
        <v>3662.89</v>
      </c>
      <c r="E18" s="13">
        <v>0</v>
      </c>
      <c r="F18" s="13">
        <v>0</v>
      </c>
      <c r="G18" s="13">
        <v>0</v>
      </c>
      <c r="H18" s="13">
        <v>0</v>
      </c>
      <c r="I18" s="12">
        <v>0</v>
      </c>
      <c r="J18" s="13">
        <v>8003415</v>
      </c>
      <c r="K18" s="12">
        <v>0</v>
      </c>
      <c r="L18" s="13">
        <v>0</v>
      </c>
      <c r="M18" s="13">
        <v>0</v>
      </c>
      <c r="N18" s="12" t="s">
        <v>77</v>
      </c>
    </row>
    <row r="19" spans="1:14" ht="30" x14ac:dyDescent="0.2">
      <c r="A19" s="15"/>
      <c r="B19" s="11" t="s">
        <v>43</v>
      </c>
      <c r="C19" s="12">
        <v>55.819389999999999</v>
      </c>
      <c r="D19" s="12">
        <v>55.819389999999999</v>
      </c>
      <c r="E19" s="13">
        <v>0</v>
      </c>
      <c r="F19" s="13">
        <v>0</v>
      </c>
      <c r="G19" s="13">
        <v>0</v>
      </c>
      <c r="H19" s="13">
        <v>0</v>
      </c>
      <c r="I19" s="12">
        <v>0</v>
      </c>
      <c r="J19" s="13">
        <v>121965.4</v>
      </c>
      <c r="K19" s="12">
        <v>0</v>
      </c>
      <c r="L19" s="13">
        <v>0</v>
      </c>
      <c r="M19" s="13">
        <v>0</v>
      </c>
      <c r="N19" s="12" t="s">
        <v>77</v>
      </c>
    </row>
    <row r="20" spans="1:14" x14ac:dyDescent="0.2">
      <c r="A20" s="15"/>
      <c r="B20" s="11" t="s">
        <v>42</v>
      </c>
      <c r="C20" s="12">
        <v>40470.421999999999</v>
      </c>
      <c r="D20" s="12">
        <v>40470.421999999999</v>
      </c>
      <c r="E20" s="13">
        <v>13183320</v>
      </c>
      <c r="F20" s="13">
        <v>0</v>
      </c>
      <c r="G20" s="13">
        <v>13183320</v>
      </c>
      <c r="H20" s="13">
        <v>0</v>
      </c>
      <c r="I20" s="12">
        <v>0.149086</v>
      </c>
      <c r="J20" s="13">
        <v>1382226</v>
      </c>
      <c r="K20" s="12">
        <v>0</v>
      </c>
      <c r="L20" s="13">
        <v>0</v>
      </c>
      <c r="M20" s="13">
        <v>90405070</v>
      </c>
      <c r="N20" s="12">
        <v>6.8575369999999998</v>
      </c>
    </row>
    <row r="21" spans="1:14" ht="30" x14ac:dyDescent="0.2">
      <c r="A21" s="16"/>
      <c r="B21" s="11" t="s">
        <v>41</v>
      </c>
      <c r="C21" s="12">
        <v>4643.1779999999999</v>
      </c>
      <c r="D21" s="12">
        <v>4643.1779999999999</v>
      </c>
      <c r="E21" s="13">
        <v>0</v>
      </c>
      <c r="F21" s="13">
        <v>0</v>
      </c>
      <c r="G21" s="13">
        <v>0</v>
      </c>
      <c r="H21" s="13">
        <v>0</v>
      </c>
      <c r="I21" s="12">
        <v>0</v>
      </c>
      <c r="J21" s="13">
        <v>10145340</v>
      </c>
      <c r="K21" s="12">
        <v>0</v>
      </c>
      <c r="L21" s="13">
        <v>0</v>
      </c>
      <c r="M21" s="13">
        <v>0</v>
      </c>
      <c r="N21" s="12" t="s">
        <v>77</v>
      </c>
    </row>
    <row r="22" spans="1:14" x14ac:dyDescent="0.2">
      <c r="A22" s="11" t="s">
        <v>40</v>
      </c>
      <c r="B22" s="11" t="s">
        <v>39</v>
      </c>
      <c r="C22" s="12">
        <v>230800</v>
      </c>
      <c r="D22" s="12">
        <v>230800</v>
      </c>
      <c r="E22" s="13">
        <v>31647960</v>
      </c>
      <c r="F22" s="13">
        <v>24298710</v>
      </c>
      <c r="G22" s="13">
        <v>7349246</v>
      </c>
      <c r="H22" s="13">
        <v>-7349246</v>
      </c>
      <c r="I22" s="12">
        <v>0.11094</v>
      </c>
      <c r="J22" s="13">
        <v>0</v>
      </c>
      <c r="K22" s="12">
        <v>0</v>
      </c>
      <c r="L22" s="13">
        <v>0</v>
      </c>
      <c r="M22" s="13">
        <v>79045050</v>
      </c>
      <c r="N22" s="12">
        <v>1.4128639999999999</v>
      </c>
    </row>
    <row r="23" spans="1:14" x14ac:dyDescent="0.2">
      <c r="A23" s="14" t="s">
        <v>38</v>
      </c>
      <c r="B23" s="11" t="s">
        <v>37</v>
      </c>
      <c r="C23" s="12">
        <v>12450</v>
      </c>
      <c r="D23" s="12">
        <v>12450</v>
      </c>
      <c r="E23" s="13">
        <v>9569832</v>
      </c>
      <c r="F23" s="13">
        <v>5882427</v>
      </c>
      <c r="G23" s="13">
        <v>3687405</v>
      </c>
      <c r="H23" s="13">
        <v>-3687405</v>
      </c>
      <c r="I23" s="12">
        <v>0.56803000000000003</v>
      </c>
      <c r="J23" s="13">
        <v>30890650</v>
      </c>
      <c r="K23" s="12">
        <v>0</v>
      </c>
      <c r="L23" s="13">
        <v>0</v>
      </c>
      <c r="M23" s="13">
        <v>71061070</v>
      </c>
      <c r="N23" s="12">
        <v>4.5987489999999998</v>
      </c>
    </row>
    <row r="24" spans="1:14" ht="30" x14ac:dyDescent="0.2">
      <c r="A24" s="15"/>
      <c r="B24" s="11" t="s">
        <v>36</v>
      </c>
      <c r="C24" s="12">
        <v>3653.0947500000002</v>
      </c>
      <c r="D24" s="12">
        <v>3653.0947500000002</v>
      </c>
      <c r="E24" s="13">
        <v>0</v>
      </c>
      <c r="F24" s="13">
        <v>121236.6</v>
      </c>
      <c r="G24" s="13">
        <v>-121236.6</v>
      </c>
      <c r="H24" s="13">
        <v>0</v>
      </c>
      <c r="I24" s="12">
        <v>1.5188999999999999E-2</v>
      </c>
      <c r="J24" s="13">
        <v>7860775</v>
      </c>
      <c r="K24" s="12">
        <v>0</v>
      </c>
      <c r="L24" s="13">
        <v>0</v>
      </c>
      <c r="M24" s="13">
        <v>0</v>
      </c>
      <c r="N24" s="12" t="s">
        <v>77</v>
      </c>
    </row>
    <row r="25" spans="1:14" ht="30" x14ac:dyDescent="0.2">
      <c r="A25" s="16"/>
      <c r="B25" s="11" t="s">
        <v>35</v>
      </c>
      <c r="C25" s="12">
        <v>278.38099999999997</v>
      </c>
      <c r="D25" s="12">
        <v>278.38099999999997</v>
      </c>
      <c r="E25" s="13">
        <v>0</v>
      </c>
      <c r="F25" s="13">
        <v>77342.539999999994</v>
      </c>
      <c r="G25" s="13">
        <v>-77342.539999999994</v>
      </c>
      <c r="H25" s="13">
        <v>0</v>
      </c>
      <c r="I25" s="12">
        <v>0.12715299999999999</v>
      </c>
      <c r="J25" s="13">
        <v>530919.9</v>
      </c>
      <c r="K25" s="12">
        <v>0</v>
      </c>
      <c r="L25" s="13">
        <v>386712.7</v>
      </c>
      <c r="M25" s="13">
        <v>0</v>
      </c>
      <c r="N25" s="12" t="s">
        <v>77</v>
      </c>
    </row>
    <row r="26" spans="1:14" ht="30" x14ac:dyDescent="0.2">
      <c r="A26" s="14" t="s">
        <v>34</v>
      </c>
      <c r="B26" s="11" t="s">
        <v>33</v>
      </c>
      <c r="C26" s="12">
        <v>0</v>
      </c>
      <c r="D26" s="12">
        <v>0</v>
      </c>
      <c r="E26" s="13">
        <v>0</v>
      </c>
      <c r="F26" s="13">
        <v>1877552</v>
      </c>
      <c r="G26" s="13">
        <v>-1877552</v>
      </c>
      <c r="H26" s="13">
        <v>0</v>
      </c>
      <c r="I26" s="12" t="s">
        <v>77</v>
      </c>
      <c r="J26" s="13">
        <v>0</v>
      </c>
      <c r="K26" s="12">
        <v>0</v>
      </c>
      <c r="L26" s="13">
        <v>0</v>
      </c>
      <c r="M26" s="13">
        <v>-14463560</v>
      </c>
      <c r="N26" s="12">
        <v>-7.7034120000000001</v>
      </c>
    </row>
    <row r="27" spans="1:14" x14ac:dyDescent="0.2">
      <c r="A27" s="16"/>
      <c r="B27" s="11" t="s">
        <v>32</v>
      </c>
      <c r="C27" s="12">
        <v>0</v>
      </c>
      <c r="D27" s="12">
        <v>0</v>
      </c>
      <c r="E27" s="13">
        <v>0</v>
      </c>
      <c r="F27" s="13">
        <v>52178340</v>
      </c>
      <c r="G27" s="13">
        <v>-52178340</v>
      </c>
      <c r="H27" s="13">
        <v>0</v>
      </c>
      <c r="I27" s="12" t="s">
        <v>77</v>
      </c>
      <c r="J27" s="13">
        <v>0</v>
      </c>
      <c r="K27" s="12">
        <v>0</v>
      </c>
      <c r="L27" s="13">
        <v>0</v>
      </c>
      <c r="M27" s="13">
        <v>-411649900</v>
      </c>
      <c r="N27" s="12">
        <v>-7.8892879999999996</v>
      </c>
    </row>
    <row r="28" spans="1:14" ht="30" x14ac:dyDescent="0.2">
      <c r="A28" s="14" t="s">
        <v>31</v>
      </c>
      <c r="B28" s="11" t="s">
        <v>30</v>
      </c>
      <c r="C28" s="12">
        <v>26471.973000000002</v>
      </c>
      <c r="D28" s="12">
        <v>26471.973000000002</v>
      </c>
      <c r="E28" s="13">
        <v>2570385</v>
      </c>
      <c r="F28" s="13">
        <v>6005830</v>
      </c>
      <c r="G28" s="13">
        <v>-3435445</v>
      </c>
      <c r="H28" s="13">
        <v>0</v>
      </c>
      <c r="I28" s="12">
        <v>0.14827199999999999</v>
      </c>
      <c r="J28" s="13">
        <v>61276710</v>
      </c>
      <c r="K28" s="12">
        <v>0</v>
      </c>
      <c r="L28" s="13">
        <v>0</v>
      </c>
      <c r="M28" s="13">
        <v>16754070</v>
      </c>
      <c r="N28" s="12">
        <v>1.953551</v>
      </c>
    </row>
    <row r="29" spans="1:14" ht="45" x14ac:dyDescent="0.2">
      <c r="A29" s="15"/>
      <c r="B29" s="11" t="s">
        <v>29</v>
      </c>
      <c r="C29" s="12">
        <v>857.70799999999997</v>
      </c>
      <c r="D29" s="12">
        <v>857.70799999999997</v>
      </c>
      <c r="E29" s="13">
        <v>137271</v>
      </c>
      <c r="F29" s="13">
        <v>269261.09999999998</v>
      </c>
      <c r="G29" s="13">
        <v>-131990</v>
      </c>
      <c r="H29" s="13">
        <v>0</v>
      </c>
      <c r="I29" s="12">
        <v>0.216922</v>
      </c>
      <c r="J29" s="13">
        <v>2006082</v>
      </c>
      <c r="K29" s="12">
        <v>0</v>
      </c>
      <c r="L29" s="13">
        <v>0</v>
      </c>
      <c r="M29" s="13">
        <v>549750.9</v>
      </c>
      <c r="N29" s="12">
        <v>1.3522940000000001</v>
      </c>
    </row>
    <row r="30" spans="1:14" ht="45" x14ac:dyDescent="0.2">
      <c r="A30" s="15"/>
      <c r="B30" s="11" t="s">
        <v>28</v>
      </c>
      <c r="C30" s="12">
        <v>457.99400000000003</v>
      </c>
      <c r="D30" s="12">
        <v>457.99400000000003</v>
      </c>
      <c r="E30" s="13">
        <v>31159.93</v>
      </c>
      <c r="F30" s="13">
        <v>253070.3</v>
      </c>
      <c r="G30" s="13">
        <v>-221910.3</v>
      </c>
      <c r="H30" s="13">
        <v>0</v>
      </c>
      <c r="I30" s="12">
        <v>0.28402699999999997</v>
      </c>
      <c r="J30" s="13">
        <v>1222627</v>
      </c>
      <c r="K30" s="12">
        <v>0</v>
      </c>
      <c r="L30" s="13">
        <v>0</v>
      </c>
      <c r="M30" s="13">
        <v>553009.6</v>
      </c>
      <c r="N30" s="12">
        <v>1.94564</v>
      </c>
    </row>
    <row r="31" spans="1:14" ht="60" x14ac:dyDescent="0.2">
      <c r="A31" s="16"/>
      <c r="B31" s="11" t="s">
        <v>27</v>
      </c>
      <c r="C31" s="12">
        <v>5300</v>
      </c>
      <c r="D31" s="12">
        <v>5300</v>
      </c>
      <c r="E31" s="13">
        <v>824624.7</v>
      </c>
      <c r="F31" s="13">
        <v>2241341</v>
      </c>
      <c r="G31" s="13">
        <v>-1416716</v>
      </c>
      <c r="H31" s="13">
        <v>0</v>
      </c>
      <c r="I31" s="12">
        <v>0.26475199999999999</v>
      </c>
      <c r="J31" s="13">
        <v>12997220</v>
      </c>
      <c r="K31" s="12">
        <v>0</v>
      </c>
      <c r="L31" s="13">
        <v>0</v>
      </c>
      <c r="M31" s="13">
        <v>10345200</v>
      </c>
      <c r="N31" s="12">
        <v>3.3742049999999999</v>
      </c>
    </row>
    <row r="32" spans="1:14" ht="30" x14ac:dyDescent="0.2">
      <c r="A32" s="11" t="s">
        <v>26</v>
      </c>
      <c r="B32" s="11" t="s">
        <v>25</v>
      </c>
      <c r="C32" s="12">
        <v>46768.008000000002</v>
      </c>
      <c r="D32" s="12">
        <v>46768.008000000002</v>
      </c>
      <c r="E32" s="13">
        <v>75886.86</v>
      </c>
      <c r="F32" s="13">
        <v>83409.899999999994</v>
      </c>
      <c r="G32" s="13">
        <v>-7523.0439999999999</v>
      </c>
      <c r="H32" s="13">
        <v>0</v>
      </c>
      <c r="I32" s="12">
        <v>0.73619599999999996</v>
      </c>
      <c r="J32" s="13">
        <v>0</v>
      </c>
      <c r="K32" s="12">
        <v>0</v>
      </c>
      <c r="L32" s="13">
        <v>0</v>
      </c>
      <c r="M32" s="13">
        <v>0</v>
      </c>
      <c r="N32" s="12" t="s">
        <v>77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20BA6-DC1F-C044-9B30-C4EA644FD59B}">
  <dimension ref="A1:N34"/>
  <sheetViews>
    <sheetView workbookViewId="0">
      <selection sqref="A1:N34"/>
    </sheetView>
  </sheetViews>
  <sheetFormatPr baseColWidth="10" defaultColWidth="8.83203125" defaultRowHeight="15" x14ac:dyDescent="0.2"/>
  <cols>
    <col min="1" max="16384" width="8.83203125" style="10"/>
  </cols>
  <sheetData>
    <row r="1" spans="1:14" ht="60" x14ac:dyDescent="0.2">
      <c r="A1" s="11"/>
      <c r="B1" s="11"/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ht="30" x14ac:dyDescent="0.2">
      <c r="A2" s="14" t="s">
        <v>61</v>
      </c>
      <c r="B2" s="11" t="s">
        <v>60</v>
      </c>
      <c r="C2" s="13">
        <v>372.4393</v>
      </c>
      <c r="D2" s="13">
        <v>372.4393</v>
      </c>
      <c r="E2" s="13">
        <v>0</v>
      </c>
      <c r="F2" s="13">
        <v>0</v>
      </c>
      <c r="G2" s="13">
        <v>0</v>
      </c>
      <c r="H2" s="13">
        <v>0</v>
      </c>
      <c r="I2" s="12">
        <v>0</v>
      </c>
      <c r="J2" s="13">
        <v>813779.8</v>
      </c>
      <c r="K2" s="12">
        <v>0</v>
      </c>
      <c r="L2" s="13">
        <v>0</v>
      </c>
      <c r="M2" s="13">
        <v>0</v>
      </c>
      <c r="N2" s="12" t="s">
        <v>77</v>
      </c>
    </row>
    <row r="3" spans="1:14" x14ac:dyDescent="0.2">
      <c r="A3" s="15"/>
      <c r="B3" s="11" t="s">
        <v>59</v>
      </c>
      <c r="C3" s="13">
        <v>1642.8920000000001</v>
      </c>
      <c r="D3" s="13">
        <v>1642.8920000000001</v>
      </c>
      <c r="E3" s="13">
        <v>0</v>
      </c>
      <c r="F3" s="13">
        <v>0</v>
      </c>
      <c r="G3" s="13">
        <v>0</v>
      </c>
      <c r="H3" s="13">
        <v>0</v>
      </c>
      <c r="I3" s="12">
        <v>0</v>
      </c>
      <c r="J3" s="13">
        <v>3589718</v>
      </c>
      <c r="K3" s="12">
        <v>0</v>
      </c>
      <c r="L3" s="13">
        <v>0</v>
      </c>
      <c r="M3" s="13">
        <v>0</v>
      </c>
      <c r="N3" s="12" t="s">
        <v>77</v>
      </c>
    </row>
    <row r="4" spans="1:14" x14ac:dyDescent="0.2">
      <c r="A4" s="15"/>
      <c r="B4" s="11" t="s">
        <v>58</v>
      </c>
      <c r="C4" s="13">
        <v>9185.8070000000007</v>
      </c>
      <c r="D4" s="13">
        <v>9185.8070000000007</v>
      </c>
      <c r="E4" s="13">
        <v>0</v>
      </c>
      <c r="F4" s="13">
        <v>0</v>
      </c>
      <c r="G4" s="13">
        <v>0</v>
      </c>
      <c r="H4" s="13">
        <v>0</v>
      </c>
      <c r="I4" s="12">
        <v>0</v>
      </c>
      <c r="J4" s="13">
        <v>20070990</v>
      </c>
      <c r="K4" s="12">
        <v>0</v>
      </c>
      <c r="L4" s="13">
        <v>0</v>
      </c>
      <c r="M4" s="13">
        <v>0</v>
      </c>
      <c r="N4" s="12" t="s">
        <v>77</v>
      </c>
    </row>
    <row r="5" spans="1:14" ht="45" x14ac:dyDescent="0.2">
      <c r="A5" s="15"/>
      <c r="B5" s="11" t="s">
        <v>57</v>
      </c>
      <c r="C5" s="13">
        <v>23586</v>
      </c>
      <c r="D5" s="13">
        <v>23586</v>
      </c>
      <c r="E5" s="13">
        <v>0</v>
      </c>
      <c r="F5" s="13">
        <v>0</v>
      </c>
      <c r="G5" s="13">
        <v>0</v>
      </c>
      <c r="H5" s="13">
        <v>0</v>
      </c>
      <c r="I5" s="12">
        <v>0</v>
      </c>
      <c r="J5" s="13">
        <v>51535410</v>
      </c>
      <c r="K5" s="12">
        <v>0</v>
      </c>
      <c r="L5" s="13">
        <v>0</v>
      </c>
      <c r="M5" s="13">
        <v>0</v>
      </c>
      <c r="N5" s="12" t="s">
        <v>77</v>
      </c>
    </row>
    <row r="6" spans="1:14" ht="45" x14ac:dyDescent="0.2">
      <c r="A6" s="15"/>
      <c r="B6" s="11" t="s">
        <v>56</v>
      </c>
      <c r="C6" s="13">
        <v>3534.0360000000001</v>
      </c>
      <c r="D6" s="13">
        <v>3534.0360000000001</v>
      </c>
      <c r="E6" s="13">
        <v>0</v>
      </c>
      <c r="F6" s="13">
        <v>0</v>
      </c>
      <c r="G6" s="13">
        <v>0</v>
      </c>
      <c r="H6" s="13">
        <v>0</v>
      </c>
      <c r="I6" s="12">
        <v>0</v>
      </c>
      <c r="J6" s="13">
        <v>7721869</v>
      </c>
      <c r="K6" s="12">
        <v>0</v>
      </c>
      <c r="L6" s="13">
        <v>0</v>
      </c>
      <c r="M6" s="13">
        <v>0</v>
      </c>
      <c r="N6" s="12" t="s">
        <v>77</v>
      </c>
    </row>
    <row r="7" spans="1:14" ht="30" x14ac:dyDescent="0.2">
      <c r="A7" s="15"/>
      <c r="B7" s="11" t="s">
        <v>55</v>
      </c>
      <c r="C7" s="13">
        <v>13695</v>
      </c>
      <c r="D7" s="13">
        <v>13695</v>
      </c>
      <c r="E7" s="13">
        <v>3517381</v>
      </c>
      <c r="F7" s="13">
        <v>0</v>
      </c>
      <c r="G7" s="13">
        <v>3517381</v>
      </c>
      <c r="H7" s="13">
        <v>0</v>
      </c>
      <c r="I7" s="12">
        <v>0.117545</v>
      </c>
      <c r="J7" s="13">
        <v>26406190</v>
      </c>
      <c r="K7" s="12">
        <v>0</v>
      </c>
      <c r="L7" s="13">
        <v>39658130</v>
      </c>
      <c r="M7" s="13">
        <v>39658130</v>
      </c>
      <c r="N7" s="12">
        <v>11.274902000000001</v>
      </c>
    </row>
    <row r="8" spans="1:14" x14ac:dyDescent="0.2">
      <c r="A8" s="15"/>
      <c r="B8" s="11" t="s">
        <v>54</v>
      </c>
      <c r="C8" s="13">
        <v>4067.2939999999999</v>
      </c>
      <c r="D8" s="13">
        <v>4067.2939999999999</v>
      </c>
      <c r="E8" s="13">
        <v>0</v>
      </c>
      <c r="F8" s="13">
        <v>0</v>
      </c>
      <c r="G8" s="13">
        <v>0</v>
      </c>
      <c r="H8" s="13">
        <v>0</v>
      </c>
      <c r="I8" s="12">
        <v>0</v>
      </c>
      <c r="J8" s="13">
        <v>8887037</v>
      </c>
      <c r="K8" s="12">
        <v>0</v>
      </c>
      <c r="L8" s="13">
        <v>0</v>
      </c>
      <c r="M8" s="13">
        <v>0</v>
      </c>
      <c r="N8" s="12" t="s">
        <v>77</v>
      </c>
    </row>
    <row r="9" spans="1:14" ht="30" x14ac:dyDescent="0.2">
      <c r="A9" s="15"/>
      <c r="B9" s="11" t="s">
        <v>53</v>
      </c>
      <c r="C9" s="13">
        <v>11</v>
      </c>
      <c r="D9" s="13">
        <v>11</v>
      </c>
      <c r="E9" s="13">
        <v>4313.509</v>
      </c>
      <c r="F9" s="13">
        <v>0</v>
      </c>
      <c r="G9" s="13">
        <v>4313.509</v>
      </c>
      <c r="H9" s="13">
        <v>0</v>
      </c>
      <c r="I9" s="12">
        <v>0.17946799999999999</v>
      </c>
      <c r="J9" s="13">
        <v>19721.490000000002</v>
      </c>
      <c r="K9" s="12">
        <v>0</v>
      </c>
      <c r="L9" s="13">
        <v>53746.32</v>
      </c>
      <c r="M9" s="13">
        <v>93409.27</v>
      </c>
      <c r="N9" s="12">
        <v>21.655010999999998</v>
      </c>
    </row>
    <row r="10" spans="1:14" ht="30" x14ac:dyDescent="0.2">
      <c r="A10" s="15"/>
      <c r="B10" s="11" t="s">
        <v>52</v>
      </c>
      <c r="C10" s="13">
        <v>834.51110000000006</v>
      </c>
      <c r="D10" s="13">
        <v>834.51110000000006</v>
      </c>
      <c r="E10" s="13">
        <v>35.582079999999998</v>
      </c>
      <c r="F10" s="13">
        <v>0</v>
      </c>
      <c r="G10" s="13">
        <v>35.582079999999998</v>
      </c>
      <c r="H10" s="13">
        <v>0</v>
      </c>
      <c r="I10" s="12">
        <v>2.0000000000000002E-5</v>
      </c>
      <c r="J10" s="13">
        <v>1823371</v>
      </c>
      <c r="K10" s="12">
        <v>0</v>
      </c>
      <c r="L10" s="13">
        <v>1921.433</v>
      </c>
      <c r="M10" s="13">
        <v>2026.376</v>
      </c>
      <c r="N10" s="12">
        <v>56.965601999999997</v>
      </c>
    </row>
    <row r="11" spans="1:14" ht="30" x14ac:dyDescent="0.2">
      <c r="A11" s="15"/>
      <c r="B11" s="11" t="s">
        <v>51</v>
      </c>
      <c r="C11" s="13">
        <v>1897.296</v>
      </c>
      <c r="D11" s="13">
        <v>1897.296</v>
      </c>
      <c r="E11" s="13">
        <v>1400008</v>
      </c>
      <c r="F11" s="13">
        <v>0</v>
      </c>
      <c r="G11" s="13">
        <v>1400008</v>
      </c>
      <c r="H11" s="13">
        <v>0</v>
      </c>
      <c r="I11" s="12">
        <v>0.33771000000000001</v>
      </c>
      <c r="J11" s="13">
        <v>258228.3</v>
      </c>
      <c r="K11" s="12">
        <v>0</v>
      </c>
      <c r="L11" s="13">
        <v>0</v>
      </c>
      <c r="M11" s="13">
        <v>9023160</v>
      </c>
      <c r="N11" s="12">
        <v>6.4450760000000002</v>
      </c>
    </row>
    <row r="12" spans="1:14" ht="30" x14ac:dyDescent="0.2">
      <c r="A12" s="15"/>
      <c r="B12" s="11" t="s">
        <v>50</v>
      </c>
      <c r="C12" s="13">
        <v>48629.19</v>
      </c>
      <c r="D12" s="13">
        <v>48629.19</v>
      </c>
      <c r="E12" s="13">
        <v>0</v>
      </c>
      <c r="F12" s="13">
        <v>0</v>
      </c>
      <c r="G12" s="13">
        <v>0</v>
      </c>
      <c r="H12" s="13">
        <v>0</v>
      </c>
      <c r="I12" s="12">
        <v>0</v>
      </c>
      <c r="J12" s="13">
        <v>52178340</v>
      </c>
      <c r="K12" s="12">
        <v>0</v>
      </c>
      <c r="L12" s="13">
        <v>0</v>
      </c>
      <c r="M12" s="13">
        <v>0</v>
      </c>
      <c r="N12" s="12" t="s">
        <v>77</v>
      </c>
    </row>
    <row r="13" spans="1:14" ht="30" x14ac:dyDescent="0.2">
      <c r="A13" s="15"/>
      <c r="B13" s="11" t="s">
        <v>49</v>
      </c>
      <c r="C13" s="13">
        <v>254.358</v>
      </c>
      <c r="D13" s="13">
        <v>254.358</v>
      </c>
      <c r="E13" s="13">
        <v>238697.3</v>
      </c>
      <c r="F13" s="13">
        <v>0</v>
      </c>
      <c r="G13" s="13">
        <v>238697.3</v>
      </c>
      <c r="H13" s="13">
        <v>0</v>
      </c>
      <c r="I13" s="12">
        <v>0.42948799999999998</v>
      </c>
      <c r="J13" s="13">
        <v>35072.22</v>
      </c>
      <c r="K13" s="12">
        <v>0</v>
      </c>
      <c r="L13" s="13">
        <v>0</v>
      </c>
      <c r="M13" s="13">
        <v>1955751</v>
      </c>
      <c r="N13" s="12">
        <v>8.1934360000000002</v>
      </c>
    </row>
    <row r="14" spans="1:14" x14ac:dyDescent="0.2">
      <c r="A14" s="15"/>
      <c r="B14" s="11" t="s">
        <v>48</v>
      </c>
      <c r="C14" s="13">
        <v>4570</v>
      </c>
      <c r="D14" s="13">
        <v>4570</v>
      </c>
      <c r="E14" s="13">
        <v>4068596</v>
      </c>
      <c r="F14" s="13">
        <v>0</v>
      </c>
      <c r="G14" s="13">
        <v>4068596</v>
      </c>
      <c r="H14" s="13">
        <v>0</v>
      </c>
      <c r="I14" s="12">
        <v>0.40745199999999998</v>
      </c>
      <c r="J14" s="13">
        <v>5916854</v>
      </c>
      <c r="K14" s="12">
        <v>0</v>
      </c>
      <c r="L14" s="13">
        <v>40685960</v>
      </c>
      <c r="M14" s="13">
        <v>67223390</v>
      </c>
      <c r="N14" s="12">
        <v>16.522504999999999</v>
      </c>
    </row>
    <row r="15" spans="1:14" ht="30" x14ac:dyDescent="0.2">
      <c r="A15" s="15"/>
      <c r="B15" s="11" t="s">
        <v>47</v>
      </c>
      <c r="C15" s="13">
        <v>53544.2</v>
      </c>
      <c r="D15" s="13">
        <v>53544.2</v>
      </c>
      <c r="E15" s="13">
        <v>25603760</v>
      </c>
      <c r="F15" s="13">
        <v>0</v>
      </c>
      <c r="G15" s="13">
        <v>25603760</v>
      </c>
      <c r="H15" s="13">
        <v>0</v>
      </c>
      <c r="I15" s="12">
        <v>0.21884700000000001</v>
      </c>
      <c r="J15" s="13">
        <v>6511088</v>
      </c>
      <c r="K15" s="12">
        <v>0</v>
      </c>
      <c r="L15" s="13">
        <v>0</v>
      </c>
      <c r="M15" s="13">
        <v>101129500</v>
      </c>
      <c r="N15" s="12">
        <v>3.949792</v>
      </c>
    </row>
    <row r="16" spans="1:14" x14ac:dyDescent="0.2">
      <c r="A16" s="15"/>
      <c r="B16" s="11" t="s">
        <v>46</v>
      </c>
      <c r="C16" s="13">
        <v>78.5</v>
      </c>
      <c r="D16" s="13">
        <v>78.5</v>
      </c>
      <c r="E16" s="13">
        <v>0</v>
      </c>
      <c r="F16" s="13">
        <v>0</v>
      </c>
      <c r="G16" s="13">
        <v>0</v>
      </c>
      <c r="H16" s="13">
        <v>0</v>
      </c>
      <c r="I16" s="12">
        <v>0</v>
      </c>
      <c r="J16" s="13">
        <v>171522.5</v>
      </c>
      <c r="K16" s="12">
        <v>0</v>
      </c>
      <c r="L16" s="13">
        <v>0</v>
      </c>
      <c r="M16" s="13">
        <v>0</v>
      </c>
      <c r="N16" s="12" t="s">
        <v>77</v>
      </c>
    </row>
    <row r="17" spans="1:14" ht="30" x14ac:dyDescent="0.2">
      <c r="A17" s="15"/>
      <c r="B17" s="11" t="s">
        <v>45</v>
      </c>
      <c r="C17" s="13">
        <v>27270.74</v>
      </c>
      <c r="D17" s="13">
        <v>27270.74</v>
      </c>
      <c r="E17" s="13">
        <v>11117990</v>
      </c>
      <c r="F17" s="13">
        <v>0</v>
      </c>
      <c r="G17" s="13">
        <v>11117990</v>
      </c>
      <c r="H17" s="13">
        <v>0</v>
      </c>
      <c r="I17" s="12">
        <v>0.186585</v>
      </c>
      <c r="J17" s="13">
        <v>3217146</v>
      </c>
      <c r="K17" s="12">
        <v>0</v>
      </c>
      <c r="L17" s="13">
        <v>0</v>
      </c>
      <c r="M17" s="13">
        <v>41238740</v>
      </c>
      <c r="N17" s="12">
        <v>3.7091910000000001</v>
      </c>
    </row>
    <row r="18" spans="1:14" ht="45" x14ac:dyDescent="0.2">
      <c r="A18" s="15"/>
      <c r="B18" s="11" t="s">
        <v>44</v>
      </c>
      <c r="C18" s="13">
        <v>3662.89</v>
      </c>
      <c r="D18" s="13">
        <v>3662.89</v>
      </c>
      <c r="E18" s="13">
        <v>0</v>
      </c>
      <c r="F18" s="13">
        <v>0</v>
      </c>
      <c r="G18" s="13">
        <v>0</v>
      </c>
      <c r="H18" s="13">
        <v>0</v>
      </c>
      <c r="I18" s="12">
        <v>0</v>
      </c>
      <c r="J18" s="13">
        <v>8003415</v>
      </c>
      <c r="K18" s="12">
        <v>0</v>
      </c>
      <c r="L18" s="13">
        <v>0</v>
      </c>
      <c r="M18" s="13">
        <v>0</v>
      </c>
      <c r="N18" s="12" t="s">
        <v>77</v>
      </c>
    </row>
    <row r="19" spans="1:14" ht="30" x14ac:dyDescent="0.2">
      <c r="A19" s="15"/>
      <c r="B19" s="11" t="s">
        <v>43</v>
      </c>
      <c r="C19" s="13">
        <v>55.819389999999999</v>
      </c>
      <c r="D19" s="13">
        <v>55.819389999999999</v>
      </c>
      <c r="E19" s="13">
        <v>0</v>
      </c>
      <c r="F19" s="13">
        <v>0</v>
      </c>
      <c r="G19" s="13">
        <v>0</v>
      </c>
      <c r="H19" s="13">
        <v>0</v>
      </c>
      <c r="I19" s="12">
        <v>0</v>
      </c>
      <c r="J19" s="13">
        <v>121965.4</v>
      </c>
      <c r="K19" s="12">
        <v>0</v>
      </c>
      <c r="L19" s="13">
        <v>0</v>
      </c>
      <c r="M19" s="13">
        <v>0</v>
      </c>
      <c r="N19" s="12" t="s">
        <v>77</v>
      </c>
    </row>
    <row r="20" spans="1:14" x14ac:dyDescent="0.2">
      <c r="A20" s="15"/>
      <c r="B20" s="11" t="s">
        <v>42</v>
      </c>
      <c r="C20" s="13">
        <v>40470.42</v>
      </c>
      <c r="D20" s="13">
        <v>40470.42</v>
      </c>
      <c r="E20" s="13">
        <v>13199780</v>
      </c>
      <c r="F20" s="13">
        <v>0</v>
      </c>
      <c r="G20" s="13">
        <v>13199780</v>
      </c>
      <c r="H20" s="13">
        <v>0</v>
      </c>
      <c r="I20" s="12">
        <v>0.14927199999999999</v>
      </c>
      <c r="J20" s="13">
        <v>1365764</v>
      </c>
      <c r="K20" s="12">
        <v>0</v>
      </c>
      <c r="L20" s="13">
        <v>0</v>
      </c>
      <c r="M20" s="13">
        <v>90020750</v>
      </c>
      <c r="N20" s="12">
        <v>6.8198689999999997</v>
      </c>
    </row>
    <row r="21" spans="1:14" ht="30" x14ac:dyDescent="0.2">
      <c r="A21" s="16"/>
      <c r="B21" s="11" t="s">
        <v>41</v>
      </c>
      <c r="C21" s="13">
        <v>4643.1779999999999</v>
      </c>
      <c r="D21" s="13">
        <v>4643.1779999999999</v>
      </c>
      <c r="E21" s="13">
        <v>0</v>
      </c>
      <c r="F21" s="13">
        <v>0</v>
      </c>
      <c r="G21" s="13">
        <v>0</v>
      </c>
      <c r="H21" s="13">
        <v>0</v>
      </c>
      <c r="I21" s="12">
        <v>0</v>
      </c>
      <c r="J21" s="13">
        <v>10145340</v>
      </c>
      <c r="K21" s="12">
        <v>0</v>
      </c>
      <c r="L21" s="13">
        <v>0</v>
      </c>
      <c r="M21" s="13">
        <v>0</v>
      </c>
      <c r="N21" s="12" t="s">
        <v>77</v>
      </c>
    </row>
    <row r="22" spans="1:14" x14ac:dyDescent="0.2">
      <c r="A22" s="11" t="s">
        <v>40</v>
      </c>
      <c r="B22" s="11" t="s">
        <v>39</v>
      </c>
      <c r="C22" s="13">
        <v>230800</v>
      </c>
      <c r="D22" s="13">
        <v>230800</v>
      </c>
      <c r="E22" s="13">
        <v>31143730</v>
      </c>
      <c r="F22" s="13">
        <v>24577850</v>
      </c>
      <c r="G22" s="13">
        <v>6565883</v>
      </c>
      <c r="H22" s="13">
        <v>-6565883</v>
      </c>
      <c r="I22" s="12">
        <v>0.11049299999999999</v>
      </c>
      <c r="J22" s="13">
        <v>0</v>
      </c>
      <c r="K22" s="12">
        <v>0</v>
      </c>
      <c r="L22" s="13">
        <v>0</v>
      </c>
      <c r="M22" s="13">
        <v>81464480</v>
      </c>
      <c r="N22" s="12">
        <v>1.461991</v>
      </c>
    </row>
    <row r="23" spans="1:14" x14ac:dyDescent="0.2">
      <c r="A23" s="14" t="s">
        <v>38</v>
      </c>
      <c r="B23" s="11" t="s">
        <v>37</v>
      </c>
      <c r="C23" s="13">
        <v>12450</v>
      </c>
      <c r="D23" s="13">
        <v>12450</v>
      </c>
      <c r="E23" s="13">
        <v>9527028</v>
      </c>
      <c r="F23" s="13">
        <v>5919457</v>
      </c>
      <c r="G23" s="13">
        <v>3607571</v>
      </c>
      <c r="H23" s="13">
        <v>-3607571</v>
      </c>
      <c r="I23" s="12">
        <v>0.56781800000000004</v>
      </c>
      <c r="J23" s="13">
        <v>30810820</v>
      </c>
      <c r="K23" s="12">
        <v>0</v>
      </c>
      <c r="L23" s="13">
        <v>0</v>
      </c>
      <c r="M23" s="13">
        <v>69172220</v>
      </c>
      <c r="N23" s="12">
        <v>4.4781849999999999</v>
      </c>
    </row>
    <row r="24" spans="1:14" x14ac:dyDescent="0.2">
      <c r="A24" s="15"/>
      <c r="B24" s="11" t="s">
        <v>74</v>
      </c>
      <c r="C24" s="13">
        <v>20000000</v>
      </c>
      <c r="D24" s="13">
        <v>20000000</v>
      </c>
      <c r="E24" s="13">
        <v>0</v>
      </c>
      <c r="F24" s="13">
        <v>438146.9</v>
      </c>
      <c r="G24" s="13">
        <v>-438146.9</v>
      </c>
      <c r="H24" s="13">
        <v>0</v>
      </c>
      <c r="I24" s="12">
        <v>1.0000000000000001E-5</v>
      </c>
      <c r="J24" s="13">
        <v>43699560000</v>
      </c>
      <c r="K24" s="12">
        <v>0</v>
      </c>
      <c r="L24" s="13">
        <v>4.3814700000000002</v>
      </c>
      <c r="M24" s="13">
        <v>-3240503</v>
      </c>
      <c r="N24" s="12">
        <v>-7.3959289999999998</v>
      </c>
    </row>
    <row r="25" spans="1:14" ht="30" x14ac:dyDescent="0.2">
      <c r="A25" s="15"/>
      <c r="B25" s="11" t="s">
        <v>36</v>
      </c>
      <c r="C25" s="13">
        <v>3653.0949999999998</v>
      </c>
      <c r="D25" s="13">
        <v>3653.0949999999998</v>
      </c>
      <c r="E25" s="13">
        <v>0</v>
      </c>
      <c r="F25" s="13">
        <v>118454.1</v>
      </c>
      <c r="G25" s="13">
        <v>-118454.1</v>
      </c>
      <c r="H25" s="13">
        <v>0</v>
      </c>
      <c r="I25" s="12">
        <v>1.4840000000000001E-2</v>
      </c>
      <c r="J25" s="13">
        <v>7863558</v>
      </c>
      <c r="K25" s="12">
        <v>0</v>
      </c>
      <c r="L25" s="13">
        <v>0</v>
      </c>
      <c r="M25" s="13">
        <v>0</v>
      </c>
      <c r="N25" s="12" t="s">
        <v>77</v>
      </c>
    </row>
    <row r="26" spans="1:14" ht="30" x14ac:dyDescent="0.2">
      <c r="A26" s="16"/>
      <c r="B26" s="11" t="s">
        <v>35</v>
      </c>
      <c r="C26" s="13">
        <v>278.38099999999997</v>
      </c>
      <c r="D26" s="13">
        <v>278.38099999999997</v>
      </c>
      <c r="E26" s="13">
        <v>0</v>
      </c>
      <c r="F26" s="13">
        <v>75129.95</v>
      </c>
      <c r="G26" s="13">
        <v>-75129.95</v>
      </c>
      <c r="H26" s="13">
        <v>0</v>
      </c>
      <c r="I26" s="12">
        <v>0.123516</v>
      </c>
      <c r="J26" s="13">
        <v>533132.5</v>
      </c>
      <c r="K26" s="12">
        <v>0</v>
      </c>
      <c r="L26" s="13">
        <v>375649.7</v>
      </c>
      <c r="M26" s="13">
        <v>0</v>
      </c>
      <c r="N26" s="12" t="s">
        <v>77</v>
      </c>
    </row>
    <row r="27" spans="1:14" ht="30" x14ac:dyDescent="0.2">
      <c r="A27" s="14" t="s">
        <v>34</v>
      </c>
      <c r="B27" s="11" t="s">
        <v>33</v>
      </c>
      <c r="C27" s="13">
        <v>0</v>
      </c>
      <c r="D27" s="13">
        <v>0</v>
      </c>
      <c r="E27" s="13">
        <v>0</v>
      </c>
      <c r="F27" s="13">
        <v>1877552</v>
      </c>
      <c r="G27" s="13">
        <v>-1877552</v>
      </c>
      <c r="H27" s="13">
        <v>0</v>
      </c>
      <c r="I27" s="12" t="s">
        <v>77</v>
      </c>
      <c r="J27" s="13">
        <v>0</v>
      </c>
      <c r="K27" s="12">
        <v>0</v>
      </c>
      <c r="L27" s="13">
        <v>0</v>
      </c>
      <c r="M27" s="13">
        <v>-14290380</v>
      </c>
      <c r="N27" s="12">
        <v>-7.6111760000000004</v>
      </c>
    </row>
    <row r="28" spans="1:14" x14ac:dyDescent="0.2">
      <c r="A28" s="16"/>
      <c r="B28" s="11" t="s">
        <v>32</v>
      </c>
      <c r="C28" s="13">
        <v>0</v>
      </c>
      <c r="D28" s="13">
        <v>0</v>
      </c>
      <c r="E28" s="13">
        <v>0</v>
      </c>
      <c r="F28" s="13">
        <v>52178340</v>
      </c>
      <c r="G28" s="13">
        <v>-52178340</v>
      </c>
      <c r="H28" s="13">
        <v>0</v>
      </c>
      <c r="I28" s="12" t="s">
        <v>77</v>
      </c>
      <c r="J28" s="13">
        <v>0</v>
      </c>
      <c r="K28" s="12">
        <v>0</v>
      </c>
      <c r="L28" s="13">
        <v>0</v>
      </c>
      <c r="M28" s="13">
        <v>-406808400</v>
      </c>
      <c r="N28" s="12">
        <v>-7.7965</v>
      </c>
    </row>
    <row r="29" spans="1:14" ht="30" x14ac:dyDescent="0.2">
      <c r="A29" s="14" t="s">
        <v>31</v>
      </c>
      <c r="B29" s="11" t="s">
        <v>30</v>
      </c>
      <c r="C29" s="13">
        <v>26471.97</v>
      </c>
      <c r="D29" s="13">
        <v>26471.97</v>
      </c>
      <c r="E29" s="13">
        <v>2704393</v>
      </c>
      <c r="F29" s="13">
        <v>6065620</v>
      </c>
      <c r="G29" s="13">
        <v>-3361227</v>
      </c>
      <c r="H29" s="13">
        <v>0</v>
      </c>
      <c r="I29" s="12">
        <v>0.15162200000000001</v>
      </c>
      <c r="J29" s="13">
        <v>61202490</v>
      </c>
      <c r="K29" s="12">
        <v>0</v>
      </c>
      <c r="L29" s="13">
        <v>0</v>
      </c>
      <c r="M29" s="13">
        <v>16018090</v>
      </c>
      <c r="N29" s="12">
        <v>1.8264609999999999</v>
      </c>
    </row>
    <row r="30" spans="1:14" ht="45" x14ac:dyDescent="0.2">
      <c r="A30" s="15"/>
      <c r="B30" s="11" t="s">
        <v>29</v>
      </c>
      <c r="C30" s="13">
        <v>857.70799999999997</v>
      </c>
      <c r="D30" s="13">
        <v>857.70799999999997</v>
      </c>
      <c r="E30" s="13">
        <v>136786.1</v>
      </c>
      <c r="F30" s="13">
        <v>263318.09999999998</v>
      </c>
      <c r="G30" s="13">
        <v>-126532</v>
      </c>
      <c r="H30" s="13">
        <v>0</v>
      </c>
      <c r="I30" s="12">
        <v>0.21349199999999999</v>
      </c>
      <c r="J30" s="13">
        <v>2000624</v>
      </c>
      <c r="K30" s="12">
        <v>0</v>
      </c>
      <c r="L30" s="13">
        <v>0</v>
      </c>
      <c r="M30" s="13">
        <v>525438.1</v>
      </c>
      <c r="N30" s="12">
        <v>1.313253</v>
      </c>
    </row>
    <row r="31" spans="1:14" ht="45" x14ac:dyDescent="0.2">
      <c r="A31" s="15"/>
      <c r="B31" s="11" t="s">
        <v>28</v>
      </c>
      <c r="C31" s="13">
        <v>457.99400000000003</v>
      </c>
      <c r="D31" s="13">
        <v>457.99400000000003</v>
      </c>
      <c r="E31" s="13">
        <v>30377.75</v>
      </c>
      <c r="F31" s="13">
        <v>253100.5</v>
      </c>
      <c r="G31" s="13">
        <v>-222722.7</v>
      </c>
      <c r="H31" s="13">
        <v>0</v>
      </c>
      <c r="I31" s="12">
        <v>0.283275</v>
      </c>
      <c r="J31" s="13">
        <v>1223440</v>
      </c>
      <c r="K31" s="12">
        <v>0</v>
      </c>
      <c r="L31" s="13">
        <v>0</v>
      </c>
      <c r="M31" s="13">
        <v>532562.5</v>
      </c>
      <c r="N31" s="12">
        <v>1.8786719999999999</v>
      </c>
    </row>
    <row r="32" spans="1:14" ht="60" x14ac:dyDescent="0.2">
      <c r="A32" s="16"/>
      <c r="B32" s="11" t="s">
        <v>27</v>
      </c>
      <c r="C32" s="13">
        <v>5300</v>
      </c>
      <c r="D32" s="13">
        <v>5300</v>
      </c>
      <c r="E32" s="13">
        <v>824502.6</v>
      </c>
      <c r="F32" s="13">
        <v>2217990</v>
      </c>
      <c r="G32" s="13">
        <v>-1393487</v>
      </c>
      <c r="H32" s="13">
        <v>0</v>
      </c>
      <c r="I32" s="12">
        <v>0.26272499999999999</v>
      </c>
      <c r="J32" s="13">
        <v>12973990</v>
      </c>
      <c r="K32" s="12">
        <v>0</v>
      </c>
      <c r="L32" s="13">
        <v>0</v>
      </c>
      <c r="M32" s="13">
        <v>9918967</v>
      </c>
      <c r="N32" s="12">
        <v>3.2601450000000001</v>
      </c>
    </row>
    <row r="33" spans="1:14" x14ac:dyDescent="0.2">
      <c r="A33" s="14" t="s">
        <v>26</v>
      </c>
      <c r="B33" s="11" t="s">
        <v>74</v>
      </c>
      <c r="C33" s="13">
        <v>10000000</v>
      </c>
      <c r="D33" s="13">
        <v>10000000</v>
      </c>
      <c r="E33" s="13">
        <v>219073.4</v>
      </c>
      <c r="F33" s="13">
        <v>219073.4</v>
      </c>
      <c r="G33" s="13">
        <v>0</v>
      </c>
      <c r="H33" s="13">
        <v>0</v>
      </c>
      <c r="I33" s="12">
        <v>0.99961900000000004</v>
      </c>
      <c r="J33" s="13">
        <v>0</v>
      </c>
      <c r="K33" s="12">
        <v>0</v>
      </c>
      <c r="L33" s="13">
        <v>0</v>
      </c>
      <c r="M33" s="13">
        <v>0</v>
      </c>
      <c r="N33" s="12" t="s">
        <v>77</v>
      </c>
    </row>
    <row r="34" spans="1:14" ht="30" x14ac:dyDescent="0.2">
      <c r="A34" s="16"/>
      <c r="B34" s="11" t="s">
        <v>25</v>
      </c>
      <c r="C34" s="13">
        <v>46768.01</v>
      </c>
      <c r="D34" s="13">
        <v>46768.01</v>
      </c>
      <c r="E34" s="13">
        <v>74303.539999999994</v>
      </c>
      <c r="F34" s="13">
        <v>82091.490000000005</v>
      </c>
      <c r="G34" s="13">
        <v>-7787.9539999999997</v>
      </c>
      <c r="H34" s="13">
        <v>0</v>
      </c>
      <c r="I34" s="12">
        <v>0.76212000000000002</v>
      </c>
      <c r="J34" s="13">
        <v>0</v>
      </c>
      <c r="K34" s="12">
        <v>0</v>
      </c>
      <c r="L34" s="13">
        <v>0</v>
      </c>
      <c r="M34" s="13">
        <v>0</v>
      </c>
      <c r="N34" s="12" t="s">
        <v>77</v>
      </c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84CD-8B80-5B4D-B1F5-825E07E636EF}">
  <dimension ref="A1:N33"/>
  <sheetViews>
    <sheetView workbookViewId="0">
      <selection sqref="A1:N33"/>
    </sheetView>
  </sheetViews>
  <sheetFormatPr baseColWidth="10" defaultColWidth="8.83203125" defaultRowHeight="15" x14ac:dyDescent="0.2"/>
  <cols>
    <col min="1" max="16384" width="8.83203125" style="10"/>
  </cols>
  <sheetData>
    <row r="1" spans="1:14" ht="60" x14ac:dyDescent="0.2">
      <c r="A1" s="11"/>
      <c r="B1" s="11"/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ht="30" x14ac:dyDescent="0.2">
      <c r="A2" s="14" t="s">
        <v>61</v>
      </c>
      <c r="B2" s="11" t="s">
        <v>60</v>
      </c>
      <c r="C2" s="13">
        <v>372.4393</v>
      </c>
      <c r="D2" s="13">
        <v>372.4393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813779.8</v>
      </c>
      <c r="K2" s="12">
        <v>0</v>
      </c>
      <c r="L2" s="13">
        <v>0</v>
      </c>
      <c r="M2" s="13">
        <v>0</v>
      </c>
      <c r="N2" s="12" t="s">
        <v>77</v>
      </c>
    </row>
    <row r="3" spans="1:14" x14ac:dyDescent="0.2">
      <c r="A3" s="15"/>
      <c r="B3" s="11" t="s">
        <v>59</v>
      </c>
      <c r="C3" s="13">
        <v>1642.8920000000001</v>
      </c>
      <c r="D3" s="13">
        <v>1642.8920000000001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3589718</v>
      </c>
      <c r="K3" s="12">
        <v>0</v>
      </c>
      <c r="L3" s="13">
        <v>0</v>
      </c>
      <c r="M3" s="13">
        <v>0</v>
      </c>
      <c r="N3" s="12" t="s">
        <v>77</v>
      </c>
    </row>
    <row r="4" spans="1:14" x14ac:dyDescent="0.2">
      <c r="A4" s="15"/>
      <c r="B4" s="11" t="s">
        <v>58</v>
      </c>
      <c r="C4" s="13">
        <v>9185.8070000000007</v>
      </c>
      <c r="D4" s="13">
        <v>9185.8070000000007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20070990</v>
      </c>
      <c r="K4" s="12">
        <v>0</v>
      </c>
      <c r="L4" s="13">
        <v>0</v>
      </c>
      <c r="M4" s="13">
        <v>0</v>
      </c>
      <c r="N4" s="12" t="s">
        <v>77</v>
      </c>
    </row>
    <row r="5" spans="1:14" ht="45" x14ac:dyDescent="0.2">
      <c r="A5" s="15"/>
      <c r="B5" s="11" t="s">
        <v>57</v>
      </c>
      <c r="C5" s="13">
        <v>23586</v>
      </c>
      <c r="D5" s="13">
        <v>23586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51535410</v>
      </c>
      <c r="K5" s="12">
        <v>0</v>
      </c>
      <c r="L5" s="13">
        <v>0</v>
      </c>
      <c r="M5" s="13">
        <v>0</v>
      </c>
      <c r="N5" s="12" t="s">
        <v>77</v>
      </c>
    </row>
    <row r="6" spans="1:14" ht="45" x14ac:dyDescent="0.2">
      <c r="A6" s="15"/>
      <c r="B6" s="11" t="s">
        <v>56</v>
      </c>
      <c r="C6" s="13">
        <v>3534.0360000000001</v>
      </c>
      <c r="D6" s="13">
        <v>3534.0360000000001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7721869</v>
      </c>
      <c r="K6" s="12">
        <v>0</v>
      </c>
      <c r="L6" s="13">
        <v>0</v>
      </c>
      <c r="M6" s="13">
        <v>0</v>
      </c>
      <c r="N6" s="12" t="s">
        <v>77</v>
      </c>
    </row>
    <row r="7" spans="1:14" ht="30" x14ac:dyDescent="0.2">
      <c r="A7" s="15"/>
      <c r="B7" s="11" t="s">
        <v>55</v>
      </c>
      <c r="C7" s="13">
        <v>13695</v>
      </c>
      <c r="D7" s="13">
        <v>13695</v>
      </c>
      <c r="E7" s="13">
        <v>3562669</v>
      </c>
      <c r="F7" s="13">
        <v>0</v>
      </c>
      <c r="G7" s="13">
        <v>3562669</v>
      </c>
      <c r="H7" s="13">
        <v>0</v>
      </c>
      <c r="I7" s="13">
        <v>0.1190589</v>
      </c>
      <c r="J7" s="13">
        <v>26360910</v>
      </c>
      <c r="K7" s="12">
        <v>0</v>
      </c>
      <c r="L7" s="13">
        <v>40764970</v>
      </c>
      <c r="M7" s="13">
        <v>40764970</v>
      </c>
      <c r="N7" s="12">
        <v>11.442256</v>
      </c>
    </row>
    <row r="8" spans="1:14" x14ac:dyDescent="0.2">
      <c r="A8" s="15"/>
      <c r="B8" s="11" t="s">
        <v>54</v>
      </c>
      <c r="C8" s="13">
        <v>4067.2939999999999</v>
      </c>
      <c r="D8" s="13">
        <v>4067.2939999999999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8887037</v>
      </c>
      <c r="K8" s="12">
        <v>0</v>
      </c>
      <c r="L8" s="13">
        <v>0</v>
      </c>
      <c r="M8" s="13">
        <v>0</v>
      </c>
      <c r="N8" s="12" t="s">
        <v>77</v>
      </c>
    </row>
    <row r="9" spans="1:14" ht="30" x14ac:dyDescent="0.2">
      <c r="A9" s="15"/>
      <c r="B9" s="11" t="s">
        <v>53</v>
      </c>
      <c r="C9" s="13">
        <v>11</v>
      </c>
      <c r="D9" s="13">
        <v>11</v>
      </c>
      <c r="E9" s="13">
        <v>4649.7430000000004</v>
      </c>
      <c r="F9" s="13">
        <v>0</v>
      </c>
      <c r="G9" s="13">
        <v>4649.7430000000004</v>
      </c>
      <c r="H9" s="13">
        <v>0</v>
      </c>
      <c r="I9" s="13">
        <v>0.1934573</v>
      </c>
      <c r="J9" s="13">
        <v>19385.259999999998</v>
      </c>
      <c r="K9" s="12">
        <v>0</v>
      </c>
      <c r="L9" s="13">
        <v>57935.8</v>
      </c>
      <c r="M9" s="13">
        <v>99116.42</v>
      </c>
      <c r="N9" s="12">
        <v>21.316527000000001</v>
      </c>
    </row>
    <row r="10" spans="1:14" ht="30" x14ac:dyDescent="0.2">
      <c r="A10" s="15"/>
      <c r="B10" s="11" t="s">
        <v>52</v>
      </c>
      <c r="C10" s="13">
        <v>834.51110000000006</v>
      </c>
      <c r="D10" s="13">
        <v>834.51110000000006</v>
      </c>
      <c r="E10" s="13">
        <v>1244.8030000000001</v>
      </c>
      <c r="F10" s="13">
        <v>0</v>
      </c>
      <c r="G10" s="13">
        <v>1244.8030000000001</v>
      </c>
      <c r="H10" s="13">
        <v>0</v>
      </c>
      <c r="I10" s="13">
        <v>6.8267519999999995E-4</v>
      </c>
      <c r="J10" s="13">
        <v>1822162</v>
      </c>
      <c r="K10" s="12">
        <v>0</v>
      </c>
      <c r="L10" s="13">
        <v>67219.350000000006</v>
      </c>
      <c r="M10" s="13">
        <v>67397.2</v>
      </c>
      <c r="N10" s="12">
        <v>54.143233000000002</v>
      </c>
    </row>
    <row r="11" spans="1:14" ht="30" x14ac:dyDescent="0.2">
      <c r="A11" s="15"/>
      <c r="B11" s="11" t="s">
        <v>51</v>
      </c>
      <c r="C11" s="13">
        <v>1897.296</v>
      </c>
      <c r="D11" s="13">
        <v>1897.296</v>
      </c>
      <c r="E11" s="13">
        <v>1399953</v>
      </c>
      <c r="F11" s="13">
        <v>0</v>
      </c>
      <c r="G11" s="13">
        <v>1399953</v>
      </c>
      <c r="H11" s="13">
        <v>0</v>
      </c>
      <c r="I11" s="13">
        <v>0.33769680000000002</v>
      </c>
      <c r="J11" s="13">
        <v>258283.8</v>
      </c>
      <c r="K11" s="12">
        <v>0</v>
      </c>
      <c r="L11" s="13">
        <v>0</v>
      </c>
      <c r="M11" s="13">
        <v>9323878</v>
      </c>
      <c r="N11" s="12">
        <v>6.6601369999999998</v>
      </c>
    </row>
    <row r="12" spans="1:14" ht="30" x14ac:dyDescent="0.2">
      <c r="A12" s="15"/>
      <c r="B12" s="11" t="s">
        <v>50</v>
      </c>
      <c r="C12" s="13">
        <v>48629.19</v>
      </c>
      <c r="D12" s="13">
        <v>48629.19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52178340</v>
      </c>
      <c r="K12" s="12">
        <v>0</v>
      </c>
      <c r="L12" s="13">
        <v>0</v>
      </c>
      <c r="M12" s="13">
        <v>0</v>
      </c>
      <c r="N12" s="12" t="s">
        <v>77</v>
      </c>
    </row>
    <row r="13" spans="1:14" ht="30" x14ac:dyDescent="0.2">
      <c r="A13" s="15"/>
      <c r="B13" s="11" t="s">
        <v>49</v>
      </c>
      <c r="C13" s="13">
        <v>254.358</v>
      </c>
      <c r="D13" s="13">
        <v>254.358</v>
      </c>
      <c r="E13" s="13">
        <v>234573.4</v>
      </c>
      <c r="F13" s="13">
        <v>0</v>
      </c>
      <c r="G13" s="13">
        <v>234573.4</v>
      </c>
      <c r="H13" s="13">
        <v>0</v>
      </c>
      <c r="I13" s="13">
        <v>0.42206759999999999</v>
      </c>
      <c r="J13" s="13">
        <v>39196.11</v>
      </c>
      <c r="K13" s="12">
        <v>0</v>
      </c>
      <c r="L13" s="13">
        <v>0</v>
      </c>
      <c r="M13" s="13">
        <v>1988045</v>
      </c>
      <c r="N13" s="12">
        <v>8.475149</v>
      </c>
    </row>
    <row r="14" spans="1:14" x14ac:dyDescent="0.2">
      <c r="A14" s="15"/>
      <c r="B14" s="11" t="s">
        <v>48</v>
      </c>
      <c r="C14" s="13">
        <v>4570</v>
      </c>
      <c r="D14" s="13">
        <v>4570</v>
      </c>
      <c r="E14" s="13">
        <v>4066823</v>
      </c>
      <c r="F14" s="13">
        <v>0</v>
      </c>
      <c r="G14" s="13">
        <v>4066823</v>
      </c>
      <c r="H14" s="13">
        <v>0</v>
      </c>
      <c r="I14" s="13">
        <v>0.4072749</v>
      </c>
      <c r="J14" s="13">
        <v>5918627</v>
      </c>
      <c r="K14" s="12">
        <v>0</v>
      </c>
      <c r="L14" s="13">
        <v>40668230</v>
      </c>
      <c r="M14" s="13">
        <v>68113680</v>
      </c>
      <c r="N14" s="12">
        <v>16.748622000000001</v>
      </c>
    </row>
    <row r="15" spans="1:14" ht="30" x14ac:dyDescent="0.2">
      <c r="A15" s="15"/>
      <c r="B15" s="11" t="s">
        <v>47</v>
      </c>
      <c r="C15" s="13">
        <v>53544.2</v>
      </c>
      <c r="D15" s="13">
        <v>53544.2</v>
      </c>
      <c r="E15" s="13">
        <v>25595650</v>
      </c>
      <c r="F15" s="13">
        <v>0</v>
      </c>
      <c r="G15" s="13">
        <v>25595650</v>
      </c>
      <c r="H15" s="13">
        <v>0</v>
      </c>
      <c r="I15" s="13">
        <v>0.21877730000000001</v>
      </c>
      <c r="J15" s="13">
        <v>6519195</v>
      </c>
      <c r="K15" s="12">
        <v>0</v>
      </c>
      <c r="L15" s="13">
        <v>0</v>
      </c>
      <c r="M15" s="13">
        <v>102264800</v>
      </c>
      <c r="N15" s="12">
        <v>3.9953970000000001</v>
      </c>
    </row>
    <row r="16" spans="1:14" x14ac:dyDescent="0.2">
      <c r="A16" s="15"/>
      <c r="B16" s="11" t="s">
        <v>46</v>
      </c>
      <c r="C16" s="13">
        <v>78.5</v>
      </c>
      <c r="D16" s="13">
        <v>78.5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171522.5</v>
      </c>
      <c r="K16" s="12">
        <v>0</v>
      </c>
      <c r="L16" s="13">
        <v>0</v>
      </c>
      <c r="M16" s="13">
        <v>0</v>
      </c>
      <c r="N16" s="12" t="s">
        <v>77</v>
      </c>
    </row>
    <row r="17" spans="1:14" ht="30" x14ac:dyDescent="0.2">
      <c r="A17" s="15"/>
      <c r="B17" s="11" t="s">
        <v>45</v>
      </c>
      <c r="C17" s="13">
        <v>27270.74</v>
      </c>
      <c r="D17" s="13">
        <v>27270.74</v>
      </c>
      <c r="E17" s="13">
        <v>11109580</v>
      </c>
      <c r="F17" s="13">
        <v>0</v>
      </c>
      <c r="G17" s="13">
        <v>11109580</v>
      </c>
      <c r="H17" s="13">
        <v>0</v>
      </c>
      <c r="I17" s="13">
        <v>0.18644440000000001</v>
      </c>
      <c r="J17" s="13">
        <v>3225550</v>
      </c>
      <c r="K17" s="12">
        <v>0</v>
      </c>
      <c r="L17" s="13">
        <v>0</v>
      </c>
      <c r="M17" s="13">
        <v>41928240</v>
      </c>
      <c r="N17" s="12">
        <v>3.77406</v>
      </c>
    </row>
    <row r="18" spans="1:14" ht="45" x14ac:dyDescent="0.2">
      <c r="A18" s="15"/>
      <c r="B18" s="11" t="s">
        <v>44</v>
      </c>
      <c r="C18" s="13">
        <v>3662.89</v>
      </c>
      <c r="D18" s="13">
        <v>3662.89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8003415</v>
      </c>
      <c r="K18" s="12">
        <v>0</v>
      </c>
      <c r="L18" s="13">
        <v>0</v>
      </c>
      <c r="M18" s="13">
        <v>0</v>
      </c>
      <c r="N18" s="12" t="s">
        <v>77</v>
      </c>
    </row>
    <row r="19" spans="1:14" ht="30" x14ac:dyDescent="0.2">
      <c r="A19" s="15"/>
      <c r="B19" s="11" t="s">
        <v>43</v>
      </c>
      <c r="C19" s="13">
        <v>55.819389999999999</v>
      </c>
      <c r="D19" s="13">
        <v>55.819389999999999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121965.4</v>
      </c>
      <c r="K19" s="12">
        <v>0</v>
      </c>
      <c r="L19" s="13">
        <v>0</v>
      </c>
      <c r="M19" s="13">
        <v>0</v>
      </c>
      <c r="N19" s="12" t="s">
        <v>77</v>
      </c>
    </row>
    <row r="20" spans="1:14" x14ac:dyDescent="0.2">
      <c r="A20" s="15"/>
      <c r="B20" s="11" t="s">
        <v>42</v>
      </c>
      <c r="C20" s="13">
        <v>40470.42</v>
      </c>
      <c r="D20" s="13">
        <v>40470.42</v>
      </c>
      <c r="E20" s="13">
        <v>13008480</v>
      </c>
      <c r="F20" s="13">
        <v>0</v>
      </c>
      <c r="G20" s="13">
        <v>13008480</v>
      </c>
      <c r="H20" s="13">
        <v>0</v>
      </c>
      <c r="I20" s="13">
        <v>0.1471084</v>
      </c>
      <c r="J20" s="13">
        <v>1557062</v>
      </c>
      <c r="K20" s="12">
        <v>0</v>
      </c>
      <c r="L20" s="13">
        <v>0</v>
      </c>
      <c r="M20" s="13">
        <v>90358870</v>
      </c>
      <c r="N20" s="12">
        <v>6.9461519999999997</v>
      </c>
    </row>
    <row r="21" spans="1:14" ht="30" x14ac:dyDescent="0.2">
      <c r="A21" s="16"/>
      <c r="B21" s="11" t="s">
        <v>41</v>
      </c>
      <c r="C21" s="13">
        <v>4643.1779999999999</v>
      </c>
      <c r="D21" s="13">
        <v>4643.1779999999999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10145340</v>
      </c>
      <c r="K21" s="12">
        <v>0</v>
      </c>
      <c r="L21" s="13">
        <v>0</v>
      </c>
      <c r="M21" s="13">
        <v>0</v>
      </c>
      <c r="N21" s="12" t="s">
        <v>77</v>
      </c>
    </row>
    <row r="22" spans="1:14" x14ac:dyDescent="0.2">
      <c r="A22" s="11" t="s">
        <v>40</v>
      </c>
      <c r="B22" s="11" t="s">
        <v>39</v>
      </c>
      <c r="C22" s="13">
        <v>230800</v>
      </c>
      <c r="D22" s="13">
        <v>230800</v>
      </c>
      <c r="E22" s="13">
        <v>30642660</v>
      </c>
      <c r="F22" s="13">
        <v>24804320</v>
      </c>
      <c r="G22" s="13">
        <v>5838335</v>
      </c>
      <c r="H22" s="13">
        <v>-5838335</v>
      </c>
      <c r="I22" s="13">
        <v>0.1099488</v>
      </c>
      <c r="J22" s="13">
        <v>0</v>
      </c>
      <c r="K22" s="12">
        <v>0</v>
      </c>
      <c r="L22" s="13">
        <v>0</v>
      </c>
      <c r="M22" s="13">
        <v>79910670</v>
      </c>
      <c r="N22" s="12">
        <v>1.441209</v>
      </c>
    </row>
    <row r="23" spans="1:14" x14ac:dyDescent="0.2">
      <c r="A23" s="14" t="s">
        <v>38</v>
      </c>
      <c r="B23" s="11" t="s">
        <v>37</v>
      </c>
      <c r="C23" s="13">
        <v>12450</v>
      </c>
      <c r="D23" s="13">
        <v>12450</v>
      </c>
      <c r="E23" s="13">
        <v>9579505</v>
      </c>
      <c r="F23" s="13">
        <v>5925485</v>
      </c>
      <c r="G23" s="13">
        <v>3654019</v>
      </c>
      <c r="H23" s="13">
        <v>-3654019</v>
      </c>
      <c r="I23" s="13">
        <v>0.56996829999999998</v>
      </c>
      <c r="J23" s="13">
        <v>30857270</v>
      </c>
      <c r="K23" s="12">
        <v>0</v>
      </c>
      <c r="L23" s="13">
        <v>0</v>
      </c>
      <c r="M23" s="13">
        <v>70847110</v>
      </c>
      <c r="N23" s="12">
        <v>4.5693099999999998</v>
      </c>
    </row>
    <row r="24" spans="1:14" ht="30" x14ac:dyDescent="0.2">
      <c r="A24" s="15"/>
      <c r="B24" s="11" t="s">
        <v>36</v>
      </c>
      <c r="C24" s="13">
        <v>3653.0949999999998</v>
      </c>
      <c r="D24" s="13">
        <v>3653.0949999999998</v>
      </c>
      <c r="E24" s="13">
        <v>0</v>
      </c>
      <c r="F24" s="13">
        <v>131419.4</v>
      </c>
      <c r="G24" s="13">
        <v>-131419.4</v>
      </c>
      <c r="H24" s="13">
        <v>0</v>
      </c>
      <c r="I24" s="13">
        <v>1.646444E-2</v>
      </c>
      <c r="J24" s="13">
        <v>7850593</v>
      </c>
      <c r="K24" s="12">
        <v>0</v>
      </c>
      <c r="L24" s="13">
        <v>0</v>
      </c>
      <c r="M24" s="13">
        <v>0</v>
      </c>
      <c r="N24" s="12" t="s">
        <v>77</v>
      </c>
    </row>
    <row r="25" spans="1:14" ht="30" x14ac:dyDescent="0.2">
      <c r="A25" s="15"/>
      <c r="B25" s="11" t="s">
        <v>35</v>
      </c>
      <c r="C25" s="13">
        <v>278.38099999999997</v>
      </c>
      <c r="D25" s="13">
        <v>278.38099999999997</v>
      </c>
      <c r="E25" s="13">
        <v>0</v>
      </c>
      <c r="F25" s="13">
        <v>84363.38</v>
      </c>
      <c r="G25" s="13">
        <v>-84363.38</v>
      </c>
      <c r="H25" s="13">
        <v>0</v>
      </c>
      <c r="I25" s="13">
        <v>0.13869570000000001</v>
      </c>
      <c r="J25" s="13">
        <v>523899.1</v>
      </c>
      <c r="K25" s="12">
        <v>0</v>
      </c>
      <c r="L25" s="13">
        <v>421816.9</v>
      </c>
      <c r="M25" s="13">
        <v>0</v>
      </c>
      <c r="N25" s="12" t="s">
        <v>77</v>
      </c>
    </row>
    <row r="26" spans="1:14" ht="30" x14ac:dyDescent="0.2">
      <c r="A26" s="16"/>
      <c r="B26" s="11" t="s">
        <v>75</v>
      </c>
      <c r="C26" s="13">
        <v>90000000</v>
      </c>
      <c r="D26" s="13">
        <v>90000000</v>
      </c>
      <c r="E26" s="13">
        <v>0</v>
      </c>
      <c r="F26" s="13">
        <v>27977.08</v>
      </c>
      <c r="G26" s="13">
        <v>-27977.08</v>
      </c>
      <c r="H26" s="13">
        <v>27977.08</v>
      </c>
      <c r="I26" s="13">
        <v>1.4226840000000001E-7</v>
      </c>
      <c r="J26" s="13">
        <v>196650000000</v>
      </c>
      <c r="K26" s="12">
        <v>0</v>
      </c>
      <c r="L26" s="13">
        <v>0.27977000000000002</v>
      </c>
      <c r="M26" s="13">
        <v>-110868.5</v>
      </c>
      <c r="N26" s="12">
        <v>-3.962831</v>
      </c>
    </row>
    <row r="27" spans="1:14" ht="30" x14ac:dyDescent="0.2">
      <c r="A27" s="14" t="s">
        <v>34</v>
      </c>
      <c r="B27" s="11" t="s">
        <v>33</v>
      </c>
      <c r="C27" s="13">
        <v>0</v>
      </c>
      <c r="D27" s="13">
        <v>0</v>
      </c>
      <c r="E27" s="13">
        <v>0</v>
      </c>
      <c r="F27" s="13">
        <v>1877552</v>
      </c>
      <c r="G27" s="13">
        <v>-1877552</v>
      </c>
      <c r="H27" s="13">
        <v>0</v>
      </c>
      <c r="I27" s="12" t="s">
        <v>77</v>
      </c>
      <c r="J27" s="13">
        <v>0</v>
      </c>
      <c r="K27" s="12">
        <v>0</v>
      </c>
      <c r="L27" s="13">
        <v>0</v>
      </c>
      <c r="M27" s="13">
        <v>-14462050</v>
      </c>
      <c r="N27" s="12">
        <v>-7.7026079999999997</v>
      </c>
    </row>
    <row r="28" spans="1:14" x14ac:dyDescent="0.2">
      <c r="A28" s="16"/>
      <c r="B28" s="11" t="s">
        <v>32</v>
      </c>
      <c r="C28" s="13">
        <v>0</v>
      </c>
      <c r="D28" s="13">
        <v>0</v>
      </c>
      <c r="E28" s="13">
        <v>0</v>
      </c>
      <c r="F28" s="13">
        <v>52178340</v>
      </c>
      <c r="G28" s="13">
        <v>-52178340</v>
      </c>
      <c r="H28" s="13">
        <v>0</v>
      </c>
      <c r="I28" s="12" t="s">
        <v>77</v>
      </c>
      <c r="J28" s="13">
        <v>0</v>
      </c>
      <c r="K28" s="12">
        <v>0</v>
      </c>
      <c r="L28" s="13">
        <v>0</v>
      </c>
      <c r="M28" s="13">
        <v>-411534400</v>
      </c>
      <c r="N28" s="12">
        <v>-7.8870750000000003</v>
      </c>
    </row>
    <row r="29" spans="1:14" ht="30" x14ac:dyDescent="0.2">
      <c r="A29" s="14" t="s">
        <v>31</v>
      </c>
      <c r="B29" s="11" t="s">
        <v>30</v>
      </c>
      <c r="C29" s="13">
        <v>26471.97</v>
      </c>
      <c r="D29" s="13">
        <v>26471.97</v>
      </c>
      <c r="E29" s="13">
        <v>3285931</v>
      </c>
      <c r="F29" s="13">
        <v>6555503</v>
      </c>
      <c r="G29" s="13">
        <v>-3269572</v>
      </c>
      <c r="H29" s="13">
        <v>0</v>
      </c>
      <c r="I29" s="13">
        <v>0.17014560000000001</v>
      </c>
      <c r="J29" s="13">
        <v>61110830</v>
      </c>
      <c r="K29" s="12">
        <v>0</v>
      </c>
      <c r="L29" s="13">
        <v>0</v>
      </c>
      <c r="M29" s="13">
        <v>16707270</v>
      </c>
      <c r="N29" s="12">
        <v>1.697646</v>
      </c>
    </row>
    <row r="30" spans="1:14" ht="45" x14ac:dyDescent="0.2">
      <c r="A30" s="15"/>
      <c r="B30" s="11" t="s">
        <v>29</v>
      </c>
      <c r="C30" s="13">
        <v>857.70799999999997</v>
      </c>
      <c r="D30" s="13">
        <v>857.70799999999997</v>
      </c>
      <c r="E30" s="13">
        <v>173366.1</v>
      </c>
      <c r="F30" s="13">
        <v>295475.09999999998</v>
      </c>
      <c r="G30" s="13">
        <v>-122109</v>
      </c>
      <c r="H30" s="13">
        <v>0</v>
      </c>
      <c r="I30" s="13">
        <v>0.2501698</v>
      </c>
      <c r="J30" s="13">
        <v>1996201</v>
      </c>
      <c r="K30" s="12">
        <v>0</v>
      </c>
      <c r="L30" s="13">
        <v>0</v>
      </c>
      <c r="M30" s="13">
        <v>547942.40000000002</v>
      </c>
      <c r="N30" s="12">
        <v>1.1687160000000001</v>
      </c>
    </row>
    <row r="31" spans="1:14" ht="45" x14ac:dyDescent="0.2">
      <c r="A31" s="15"/>
      <c r="B31" s="11" t="s">
        <v>28</v>
      </c>
      <c r="C31" s="13">
        <v>457.99400000000003</v>
      </c>
      <c r="D31" s="13">
        <v>457.99400000000003</v>
      </c>
      <c r="E31" s="13">
        <v>31575.84</v>
      </c>
      <c r="F31" s="13">
        <v>246365.5</v>
      </c>
      <c r="G31" s="13">
        <v>-214789.7</v>
      </c>
      <c r="H31" s="13">
        <v>0</v>
      </c>
      <c r="I31" s="13">
        <v>0.2777423</v>
      </c>
      <c r="J31" s="13">
        <v>1215507</v>
      </c>
      <c r="K31" s="12">
        <v>0</v>
      </c>
      <c r="L31" s="13">
        <v>0</v>
      </c>
      <c r="M31" s="13">
        <v>550682.30000000005</v>
      </c>
      <c r="N31" s="12">
        <v>1.9812890000000001</v>
      </c>
    </row>
    <row r="32" spans="1:14" ht="60" x14ac:dyDescent="0.2">
      <c r="A32" s="16"/>
      <c r="B32" s="11" t="s">
        <v>27</v>
      </c>
      <c r="C32" s="13">
        <v>5300</v>
      </c>
      <c r="D32" s="13">
        <v>5300</v>
      </c>
      <c r="E32" s="13">
        <v>972198.3</v>
      </c>
      <c r="F32" s="13">
        <v>2295580</v>
      </c>
      <c r="G32" s="13">
        <v>-1323382</v>
      </c>
      <c r="H32" s="13">
        <v>0</v>
      </c>
      <c r="I32" s="13">
        <v>0.28217940000000002</v>
      </c>
      <c r="J32" s="13">
        <v>12903880</v>
      </c>
      <c r="K32" s="12">
        <v>0</v>
      </c>
      <c r="L32" s="13">
        <v>0</v>
      </c>
      <c r="M32" s="13">
        <v>10398990</v>
      </c>
      <c r="N32" s="12">
        <v>3.182283</v>
      </c>
    </row>
    <row r="33" spans="1:14" ht="30" x14ac:dyDescent="0.2">
      <c r="A33" s="11" t="s">
        <v>26</v>
      </c>
      <c r="B33" s="11" t="s">
        <v>25</v>
      </c>
      <c r="C33" s="13">
        <v>46768.01</v>
      </c>
      <c r="D33" s="13">
        <v>46768.01</v>
      </c>
      <c r="E33" s="13">
        <v>83010.47</v>
      </c>
      <c r="F33" s="13">
        <v>90640.66</v>
      </c>
      <c r="G33" s="13">
        <v>-7630.1890000000003</v>
      </c>
      <c r="H33" s="13">
        <v>0</v>
      </c>
      <c r="I33" s="13">
        <v>0.74668080000000003</v>
      </c>
      <c r="J33" s="13">
        <v>0</v>
      </c>
      <c r="K33" s="12">
        <v>0</v>
      </c>
      <c r="L33" s="13">
        <v>0</v>
      </c>
      <c r="M33" s="13">
        <v>0</v>
      </c>
      <c r="N33" s="12" t="s">
        <v>77</v>
      </c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F2AB-E555-8E42-9981-82070D0B6484}">
  <dimension ref="A1:N35"/>
  <sheetViews>
    <sheetView workbookViewId="0">
      <selection sqref="A1:N35"/>
    </sheetView>
  </sheetViews>
  <sheetFormatPr baseColWidth="10" defaultColWidth="8.83203125" defaultRowHeight="15" x14ac:dyDescent="0.2"/>
  <cols>
    <col min="1" max="16384" width="8.83203125" style="10"/>
  </cols>
  <sheetData>
    <row r="1" spans="1:14" ht="60" x14ac:dyDescent="0.2">
      <c r="A1" s="11"/>
      <c r="B1" s="11"/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ht="30" x14ac:dyDescent="0.2">
      <c r="A2" s="14" t="s">
        <v>61</v>
      </c>
      <c r="B2" s="11" t="s">
        <v>60</v>
      </c>
      <c r="C2" s="13">
        <v>372.4393</v>
      </c>
      <c r="D2" s="13">
        <v>372.4393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813779.8</v>
      </c>
      <c r="K2" s="12">
        <v>0</v>
      </c>
      <c r="L2" s="13">
        <v>0</v>
      </c>
      <c r="M2" s="13">
        <v>0</v>
      </c>
      <c r="N2" s="12" t="s">
        <v>77</v>
      </c>
    </row>
    <row r="3" spans="1:14" x14ac:dyDescent="0.2">
      <c r="A3" s="15"/>
      <c r="B3" s="11" t="s">
        <v>59</v>
      </c>
      <c r="C3" s="13">
        <v>1642.8920000000001</v>
      </c>
      <c r="D3" s="13">
        <v>1642.8920000000001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3589718</v>
      </c>
      <c r="K3" s="12">
        <v>0</v>
      </c>
      <c r="L3" s="13">
        <v>0</v>
      </c>
      <c r="M3" s="13">
        <v>0</v>
      </c>
      <c r="N3" s="12" t="s">
        <v>77</v>
      </c>
    </row>
    <row r="4" spans="1:14" x14ac:dyDescent="0.2">
      <c r="A4" s="15"/>
      <c r="B4" s="11" t="s">
        <v>58</v>
      </c>
      <c r="C4" s="13">
        <v>9185.8070000000007</v>
      </c>
      <c r="D4" s="13">
        <v>9185.8070000000007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20070990</v>
      </c>
      <c r="K4" s="12">
        <v>0</v>
      </c>
      <c r="L4" s="13">
        <v>0</v>
      </c>
      <c r="M4" s="13">
        <v>0</v>
      </c>
      <c r="N4" s="12" t="s">
        <v>77</v>
      </c>
    </row>
    <row r="5" spans="1:14" ht="45" x14ac:dyDescent="0.2">
      <c r="A5" s="15"/>
      <c r="B5" s="11" t="s">
        <v>57</v>
      </c>
      <c r="C5" s="13">
        <v>23586</v>
      </c>
      <c r="D5" s="13">
        <v>23586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51535410</v>
      </c>
      <c r="K5" s="12">
        <v>0</v>
      </c>
      <c r="L5" s="13">
        <v>0</v>
      </c>
      <c r="M5" s="13">
        <v>0</v>
      </c>
      <c r="N5" s="12" t="s">
        <v>77</v>
      </c>
    </row>
    <row r="6" spans="1:14" ht="45" x14ac:dyDescent="0.2">
      <c r="A6" s="15"/>
      <c r="B6" s="11" t="s">
        <v>56</v>
      </c>
      <c r="C6" s="13">
        <v>3534.0360000000001</v>
      </c>
      <c r="D6" s="13">
        <v>3534.0360000000001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7721869</v>
      </c>
      <c r="K6" s="12">
        <v>0</v>
      </c>
      <c r="L6" s="13">
        <v>0</v>
      </c>
      <c r="M6" s="13">
        <v>0</v>
      </c>
      <c r="N6" s="12" t="s">
        <v>77</v>
      </c>
    </row>
    <row r="7" spans="1:14" ht="30" x14ac:dyDescent="0.2">
      <c r="A7" s="15"/>
      <c r="B7" s="11" t="s">
        <v>55</v>
      </c>
      <c r="C7" s="13">
        <v>13695</v>
      </c>
      <c r="D7" s="13">
        <v>13695</v>
      </c>
      <c r="E7" s="13">
        <v>3394143</v>
      </c>
      <c r="F7" s="13">
        <v>0</v>
      </c>
      <c r="G7" s="13">
        <v>3394143</v>
      </c>
      <c r="H7" s="13">
        <v>0</v>
      </c>
      <c r="I7" s="13">
        <v>0.1134271</v>
      </c>
      <c r="J7" s="13">
        <v>26529430</v>
      </c>
      <c r="K7" s="12">
        <v>0</v>
      </c>
      <c r="L7" s="13">
        <v>37139050</v>
      </c>
      <c r="M7" s="13">
        <v>37139050</v>
      </c>
      <c r="N7" s="12">
        <v>10.9421</v>
      </c>
    </row>
    <row r="8" spans="1:14" x14ac:dyDescent="0.2">
      <c r="A8" s="15"/>
      <c r="B8" s="11" t="s">
        <v>54</v>
      </c>
      <c r="C8" s="13">
        <v>4067.2939999999999</v>
      </c>
      <c r="D8" s="13">
        <v>4067.2939999999999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8887037</v>
      </c>
      <c r="K8" s="12">
        <v>0</v>
      </c>
      <c r="L8" s="13">
        <v>0</v>
      </c>
      <c r="M8" s="13">
        <v>0</v>
      </c>
      <c r="N8" s="12" t="s">
        <v>77</v>
      </c>
    </row>
    <row r="9" spans="1:14" ht="30" x14ac:dyDescent="0.2">
      <c r="A9" s="15"/>
      <c r="B9" s="11" t="s">
        <v>53</v>
      </c>
      <c r="C9" s="13">
        <v>11</v>
      </c>
      <c r="D9" s="13">
        <v>11</v>
      </c>
      <c r="E9" s="13">
        <v>4225.1469999999999</v>
      </c>
      <c r="F9" s="13">
        <v>0</v>
      </c>
      <c r="G9" s="13">
        <v>4225.1469999999999</v>
      </c>
      <c r="H9" s="13">
        <v>0</v>
      </c>
      <c r="I9" s="13">
        <v>0.1757918</v>
      </c>
      <c r="J9" s="13">
        <v>19809.849999999999</v>
      </c>
      <c r="K9" s="12">
        <v>0</v>
      </c>
      <c r="L9" s="13">
        <v>52645.33</v>
      </c>
      <c r="M9" s="13">
        <v>89958.39</v>
      </c>
      <c r="N9" s="12">
        <v>21.291139999999999</v>
      </c>
    </row>
    <row r="10" spans="1:14" ht="30" x14ac:dyDescent="0.2">
      <c r="A10" s="15"/>
      <c r="B10" s="11" t="s">
        <v>52</v>
      </c>
      <c r="C10" s="13">
        <v>834.51110000000006</v>
      </c>
      <c r="D10" s="13">
        <v>834.51110000000006</v>
      </c>
      <c r="E10" s="13">
        <v>35.582079999999998</v>
      </c>
      <c r="F10" s="13">
        <v>0</v>
      </c>
      <c r="G10" s="13">
        <v>35.582079999999998</v>
      </c>
      <c r="H10" s="13">
        <v>0</v>
      </c>
      <c r="I10" s="13">
        <v>1.950843E-5</v>
      </c>
      <c r="J10" s="13">
        <v>1823371</v>
      </c>
      <c r="K10" s="12">
        <v>0</v>
      </c>
      <c r="L10" s="13">
        <v>1921.433</v>
      </c>
      <c r="M10" s="13">
        <v>1968.375</v>
      </c>
      <c r="N10" s="12">
        <v>55.335380999999998</v>
      </c>
    </row>
    <row r="11" spans="1:14" ht="30" x14ac:dyDescent="0.2">
      <c r="A11" s="15"/>
      <c r="B11" s="11" t="s">
        <v>51</v>
      </c>
      <c r="C11" s="13">
        <v>1897.296</v>
      </c>
      <c r="D11" s="13">
        <v>1897.296</v>
      </c>
      <c r="E11" s="13">
        <v>1401052</v>
      </c>
      <c r="F11" s="13">
        <v>0</v>
      </c>
      <c r="G11" s="13">
        <v>1401052</v>
      </c>
      <c r="H11" s="13">
        <v>0</v>
      </c>
      <c r="I11" s="13">
        <v>0.33796189999999998</v>
      </c>
      <c r="J11" s="13">
        <v>257184.5</v>
      </c>
      <c r="K11" s="12">
        <v>0</v>
      </c>
      <c r="L11" s="13">
        <v>0</v>
      </c>
      <c r="M11" s="13">
        <v>8915120</v>
      </c>
      <c r="N11" s="12">
        <v>6.3631599999999997</v>
      </c>
    </row>
    <row r="12" spans="1:14" ht="30" x14ac:dyDescent="0.2">
      <c r="A12" s="15"/>
      <c r="B12" s="11" t="s">
        <v>50</v>
      </c>
      <c r="C12" s="13">
        <v>48629.19</v>
      </c>
      <c r="D12" s="13">
        <v>48629.19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52178340</v>
      </c>
      <c r="K12" s="12">
        <v>0</v>
      </c>
      <c r="L12" s="13">
        <v>0</v>
      </c>
      <c r="M12" s="13">
        <v>0</v>
      </c>
      <c r="N12" s="12" t="s">
        <v>77</v>
      </c>
    </row>
    <row r="13" spans="1:14" ht="30" x14ac:dyDescent="0.2">
      <c r="A13" s="15"/>
      <c r="B13" s="11" t="s">
        <v>49</v>
      </c>
      <c r="C13" s="13">
        <v>254.358</v>
      </c>
      <c r="D13" s="13">
        <v>254.358</v>
      </c>
      <c r="E13" s="13">
        <v>235298.5</v>
      </c>
      <c r="F13" s="13">
        <v>0</v>
      </c>
      <c r="G13" s="13">
        <v>235298.5</v>
      </c>
      <c r="H13" s="13">
        <v>0</v>
      </c>
      <c r="I13" s="13">
        <v>0.42337209999999997</v>
      </c>
      <c r="J13" s="13">
        <v>38471.089999999997</v>
      </c>
      <c r="K13" s="12">
        <v>0</v>
      </c>
      <c r="L13" s="13">
        <v>0</v>
      </c>
      <c r="M13" s="13">
        <v>1921789</v>
      </c>
      <c r="N13" s="12">
        <v>8.1674539999999993</v>
      </c>
    </row>
    <row r="14" spans="1:14" x14ac:dyDescent="0.2">
      <c r="A14" s="15"/>
      <c r="B14" s="11" t="s">
        <v>48</v>
      </c>
      <c r="C14" s="13">
        <v>4570</v>
      </c>
      <c r="D14" s="13">
        <v>4570</v>
      </c>
      <c r="E14" s="13">
        <v>3928950</v>
      </c>
      <c r="F14" s="13">
        <v>0</v>
      </c>
      <c r="G14" s="13">
        <v>3928950</v>
      </c>
      <c r="H14" s="13">
        <v>0</v>
      </c>
      <c r="I14" s="13">
        <v>0.39346750000000003</v>
      </c>
      <c r="J14" s="13">
        <v>6056500</v>
      </c>
      <c r="K14" s="12">
        <v>0</v>
      </c>
      <c r="L14" s="13">
        <v>39289500</v>
      </c>
      <c r="M14" s="13">
        <v>64329530</v>
      </c>
      <c r="N14" s="12">
        <v>16.373211999999999</v>
      </c>
    </row>
    <row r="15" spans="1:14" ht="30" x14ac:dyDescent="0.2">
      <c r="A15" s="15"/>
      <c r="B15" s="11" t="s">
        <v>47</v>
      </c>
      <c r="C15" s="13">
        <v>53544.2</v>
      </c>
      <c r="D15" s="13">
        <v>53544.2</v>
      </c>
      <c r="E15" s="13">
        <v>25694660</v>
      </c>
      <c r="F15" s="13">
        <v>0</v>
      </c>
      <c r="G15" s="13">
        <v>25694660</v>
      </c>
      <c r="H15" s="13">
        <v>0</v>
      </c>
      <c r="I15" s="13">
        <v>0.2196236</v>
      </c>
      <c r="J15" s="13">
        <v>6420185</v>
      </c>
      <c r="K15" s="12">
        <v>0</v>
      </c>
      <c r="L15" s="13">
        <v>0</v>
      </c>
      <c r="M15" s="13">
        <v>99417500</v>
      </c>
      <c r="N15" s="12">
        <v>3.869189</v>
      </c>
    </row>
    <row r="16" spans="1:14" x14ac:dyDescent="0.2">
      <c r="A16" s="15"/>
      <c r="B16" s="11" t="s">
        <v>46</v>
      </c>
      <c r="C16" s="13">
        <v>78.5</v>
      </c>
      <c r="D16" s="13">
        <v>78.5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171522.5</v>
      </c>
      <c r="K16" s="12">
        <v>0</v>
      </c>
      <c r="L16" s="13">
        <v>0</v>
      </c>
      <c r="M16" s="13">
        <v>0</v>
      </c>
      <c r="N16" s="12" t="s">
        <v>77</v>
      </c>
    </row>
    <row r="17" spans="1:14" ht="30" x14ac:dyDescent="0.2">
      <c r="A17" s="15"/>
      <c r="B17" s="11" t="s">
        <v>45</v>
      </c>
      <c r="C17" s="13">
        <v>27270.74</v>
      </c>
      <c r="D17" s="13">
        <v>27270.74</v>
      </c>
      <c r="E17" s="13">
        <v>11202580</v>
      </c>
      <c r="F17" s="13">
        <v>0</v>
      </c>
      <c r="G17" s="13">
        <v>11202580</v>
      </c>
      <c r="H17" s="13">
        <v>0</v>
      </c>
      <c r="I17" s="13">
        <v>0.18800510000000001</v>
      </c>
      <c r="J17" s="13">
        <v>3132553</v>
      </c>
      <c r="K17" s="12">
        <v>0</v>
      </c>
      <c r="L17" s="13">
        <v>0</v>
      </c>
      <c r="M17" s="13">
        <v>40573830</v>
      </c>
      <c r="N17" s="12">
        <v>3.621829</v>
      </c>
    </row>
    <row r="18" spans="1:14" ht="45" x14ac:dyDescent="0.2">
      <c r="A18" s="15"/>
      <c r="B18" s="11" t="s">
        <v>44</v>
      </c>
      <c r="C18" s="13">
        <v>3662.89</v>
      </c>
      <c r="D18" s="13">
        <v>3662.89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8003415</v>
      </c>
      <c r="K18" s="12">
        <v>0</v>
      </c>
      <c r="L18" s="13">
        <v>0</v>
      </c>
      <c r="M18" s="13">
        <v>0</v>
      </c>
      <c r="N18" s="12" t="s">
        <v>77</v>
      </c>
    </row>
    <row r="19" spans="1:14" ht="30" x14ac:dyDescent="0.2">
      <c r="A19" s="15"/>
      <c r="B19" s="11" t="s">
        <v>43</v>
      </c>
      <c r="C19" s="13">
        <v>55.819389999999999</v>
      </c>
      <c r="D19" s="13">
        <v>55.819389999999999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121965.4</v>
      </c>
      <c r="K19" s="12">
        <v>0</v>
      </c>
      <c r="L19" s="13">
        <v>0</v>
      </c>
      <c r="M19" s="13">
        <v>0</v>
      </c>
      <c r="N19" s="12" t="s">
        <v>77</v>
      </c>
    </row>
    <row r="20" spans="1:14" x14ac:dyDescent="0.2">
      <c r="A20" s="15"/>
      <c r="B20" s="11" t="s">
        <v>42</v>
      </c>
      <c r="C20" s="13">
        <v>40470.42</v>
      </c>
      <c r="D20" s="13">
        <v>40470.42</v>
      </c>
      <c r="E20" s="13">
        <v>13057520</v>
      </c>
      <c r="F20" s="13">
        <v>0</v>
      </c>
      <c r="G20" s="13">
        <v>13057520</v>
      </c>
      <c r="H20" s="13">
        <v>0</v>
      </c>
      <c r="I20" s="13">
        <v>0.14766290000000001</v>
      </c>
      <c r="J20" s="13">
        <v>1508024</v>
      </c>
      <c r="K20" s="12">
        <v>0</v>
      </c>
      <c r="L20" s="13">
        <v>0</v>
      </c>
      <c r="M20" s="13">
        <v>87894330</v>
      </c>
      <c r="N20" s="12">
        <v>6.7313200000000002</v>
      </c>
    </row>
    <row r="21" spans="1:14" ht="30" x14ac:dyDescent="0.2">
      <c r="A21" s="16"/>
      <c r="B21" s="11" t="s">
        <v>41</v>
      </c>
      <c r="C21" s="13">
        <v>4643.1779999999999</v>
      </c>
      <c r="D21" s="13">
        <v>4643.1779999999999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10145340</v>
      </c>
      <c r="K21" s="12">
        <v>0</v>
      </c>
      <c r="L21" s="13">
        <v>0</v>
      </c>
      <c r="M21" s="13">
        <v>0</v>
      </c>
      <c r="N21" s="12" t="s">
        <v>77</v>
      </c>
    </row>
    <row r="22" spans="1:14" x14ac:dyDescent="0.2">
      <c r="A22" s="11" t="s">
        <v>40</v>
      </c>
      <c r="B22" s="11" t="s">
        <v>39</v>
      </c>
      <c r="C22" s="13">
        <v>230800</v>
      </c>
      <c r="D22" s="13">
        <v>230800</v>
      </c>
      <c r="E22" s="13">
        <v>30630120</v>
      </c>
      <c r="F22" s="13">
        <v>25093910</v>
      </c>
      <c r="G22" s="13">
        <v>5536216</v>
      </c>
      <c r="H22" s="13">
        <v>-5536216</v>
      </c>
      <c r="I22" s="13">
        <v>0.1104982</v>
      </c>
      <c r="J22" s="13">
        <v>0</v>
      </c>
      <c r="K22" s="12">
        <v>0</v>
      </c>
      <c r="L22" s="13">
        <v>0</v>
      </c>
      <c r="M22" s="13">
        <v>80282940</v>
      </c>
      <c r="N22" s="12">
        <v>1.4407239999999999</v>
      </c>
    </row>
    <row r="23" spans="1:14" x14ac:dyDescent="0.2">
      <c r="A23" s="14" t="s">
        <v>38</v>
      </c>
      <c r="B23" s="11" t="s">
        <v>37</v>
      </c>
      <c r="C23" s="13">
        <v>12450</v>
      </c>
      <c r="D23" s="13">
        <v>12450</v>
      </c>
      <c r="E23" s="13">
        <v>9442736</v>
      </c>
      <c r="F23" s="13">
        <v>5961563</v>
      </c>
      <c r="G23" s="13">
        <v>3481173</v>
      </c>
      <c r="H23" s="13">
        <v>-3481173</v>
      </c>
      <c r="I23" s="13">
        <v>0.56626690000000002</v>
      </c>
      <c r="J23" s="13">
        <v>30684420</v>
      </c>
      <c r="K23" s="12">
        <v>0</v>
      </c>
      <c r="L23" s="13">
        <v>0</v>
      </c>
      <c r="M23" s="13">
        <v>65100600</v>
      </c>
      <c r="N23" s="12">
        <v>4.2261319999999998</v>
      </c>
    </row>
    <row r="24" spans="1:14" x14ac:dyDescent="0.2">
      <c r="A24" s="15"/>
      <c r="B24" s="11" t="s">
        <v>74</v>
      </c>
      <c r="C24" s="13">
        <v>20000000</v>
      </c>
      <c r="D24" s="13">
        <v>20000000</v>
      </c>
      <c r="E24" s="13">
        <v>0</v>
      </c>
      <c r="F24" s="13">
        <v>708637.4</v>
      </c>
      <c r="G24" s="13">
        <v>-708637.4</v>
      </c>
      <c r="H24" s="13">
        <v>0</v>
      </c>
      <c r="I24" s="13">
        <v>1.6215959999999999E-5</v>
      </c>
      <c r="J24" s="13">
        <v>43699290000</v>
      </c>
      <c r="K24" s="12">
        <v>0</v>
      </c>
      <c r="L24" s="13">
        <v>7.0863699999999996</v>
      </c>
      <c r="M24" s="13">
        <v>-2821697</v>
      </c>
      <c r="N24" s="12">
        <v>-3.981862</v>
      </c>
    </row>
    <row r="25" spans="1:14" ht="30" x14ac:dyDescent="0.2">
      <c r="A25" s="15"/>
      <c r="B25" s="11" t="s">
        <v>36</v>
      </c>
      <c r="C25" s="13">
        <v>3653.0949999999998</v>
      </c>
      <c r="D25" s="13">
        <v>3653.0949999999998</v>
      </c>
      <c r="E25" s="13">
        <v>0</v>
      </c>
      <c r="F25" s="13">
        <v>109581.5</v>
      </c>
      <c r="G25" s="13">
        <v>-109581.5</v>
      </c>
      <c r="H25" s="13">
        <v>0</v>
      </c>
      <c r="I25" s="13">
        <v>1.3728550000000001E-2</v>
      </c>
      <c r="J25" s="13">
        <v>7872431</v>
      </c>
      <c r="K25" s="12">
        <v>0</v>
      </c>
      <c r="L25" s="13">
        <v>0</v>
      </c>
      <c r="M25" s="13">
        <v>0</v>
      </c>
      <c r="N25" s="12" t="s">
        <v>77</v>
      </c>
    </row>
    <row r="26" spans="1:14" ht="30" x14ac:dyDescent="0.2">
      <c r="A26" s="15"/>
      <c r="B26" s="11" t="s">
        <v>35</v>
      </c>
      <c r="C26" s="13">
        <v>278.38099999999997</v>
      </c>
      <c r="D26" s="13">
        <v>278.38099999999997</v>
      </c>
      <c r="E26" s="13">
        <v>0</v>
      </c>
      <c r="F26" s="13">
        <v>71691.009999999995</v>
      </c>
      <c r="G26" s="13">
        <v>-71691.009999999995</v>
      </c>
      <c r="H26" s="13">
        <v>0</v>
      </c>
      <c r="I26" s="13">
        <v>0.11786199999999999</v>
      </c>
      <c r="J26" s="13">
        <v>536571.5</v>
      </c>
      <c r="K26" s="12">
        <v>0</v>
      </c>
      <c r="L26" s="13">
        <v>358455</v>
      </c>
      <c r="M26" s="13">
        <v>0</v>
      </c>
      <c r="N26" s="12" t="s">
        <v>77</v>
      </c>
    </row>
    <row r="27" spans="1:14" ht="30" x14ac:dyDescent="0.2">
      <c r="A27" s="16"/>
      <c r="B27" s="11" t="s">
        <v>75</v>
      </c>
      <c r="C27" s="13">
        <v>90000000</v>
      </c>
      <c r="D27" s="13">
        <v>90000000</v>
      </c>
      <c r="E27" s="13">
        <v>0</v>
      </c>
      <c r="F27" s="13">
        <v>37269.75</v>
      </c>
      <c r="G27" s="13">
        <v>-37269.75</v>
      </c>
      <c r="H27" s="13">
        <v>37269.75</v>
      </c>
      <c r="I27" s="13">
        <v>1.8952320000000001E-7</v>
      </c>
      <c r="J27" s="13">
        <v>196650000000</v>
      </c>
      <c r="K27" s="12">
        <v>0</v>
      </c>
      <c r="L27" s="13">
        <v>0.37269999999999998</v>
      </c>
      <c r="M27" s="13">
        <v>-55983.199999999997</v>
      </c>
      <c r="N27" s="12">
        <v>-1.5021089999999999</v>
      </c>
    </row>
    <row r="28" spans="1:14" ht="30" x14ac:dyDescent="0.2">
      <c r="A28" s="14" t="s">
        <v>34</v>
      </c>
      <c r="B28" s="11" t="s">
        <v>33</v>
      </c>
      <c r="C28" s="13">
        <v>0</v>
      </c>
      <c r="D28" s="13">
        <v>0</v>
      </c>
      <c r="E28" s="13">
        <v>0</v>
      </c>
      <c r="F28" s="13">
        <v>1877552</v>
      </c>
      <c r="G28" s="13">
        <v>-1877552</v>
      </c>
      <c r="H28" s="13">
        <v>0</v>
      </c>
      <c r="I28" s="12" t="s">
        <v>77</v>
      </c>
      <c r="J28" s="13">
        <v>0</v>
      </c>
      <c r="K28" s="12">
        <v>0</v>
      </c>
      <c r="L28" s="13">
        <v>0</v>
      </c>
      <c r="M28" s="13">
        <v>-14016470</v>
      </c>
      <c r="N28" s="12">
        <v>-7.4652900000000004</v>
      </c>
    </row>
    <row r="29" spans="1:14" x14ac:dyDescent="0.2">
      <c r="A29" s="16"/>
      <c r="B29" s="11" t="s">
        <v>32</v>
      </c>
      <c r="C29" s="13">
        <v>0</v>
      </c>
      <c r="D29" s="13">
        <v>0</v>
      </c>
      <c r="E29" s="13">
        <v>0</v>
      </c>
      <c r="F29" s="13">
        <v>52178340</v>
      </c>
      <c r="G29" s="13">
        <v>-52178340</v>
      </c>
      <c r="H29" s="13">
        <v>0</v>
      </c>
      <c r="I29" s="12" t="s">
        <v>77</v>
      </c>
      <c r="J29" s="13">
        <v>0</v>
      </c>
      <c r="K29" s="12">
        <v>0</v>
      </c>
      <c r="L29" s="13">
        <v>0</v>
      </c>
      <c r="M29" s="13">
        <v>-398954200</v>
      </c>
      <c r="N29" s="12">
        <v>-7.6459739999999998</v>
      </c>
    </row>
    <row r="30" spans="1:14" ht="30" x14ac:dyDescent="0.2">
      <c r="A30" s="14" t="s">
        <v>31</v>
      </c>
      <c r="B30" s="11" t="s">
        <v>30</v>
      </c>
      <c r="C30" s="13">
        <v>26471.97</v>
      </c>
      <c r="D30" s="13">
        <v>26471.97</v>
      </c>
      <c r="E30" s="13">
        <v>3331616</v>
      </c>
      <c r="F30" s="13">
        <v>6559424</v>
      </c>
      <c r="G30" s="13">
        <v>-3227808</v>
      </c>
      <c r="H30" s="13">
        <v>0</v>
      </c>
      <c r="I30" s="13">
        <v>0.17100319999999999</v>
      </c>
      <c r="J30" s="13">
        <v>61069070</v>
      </c>
      <c r="K30" s="12">
        <v>0</v>
      </c>
      <c r="L30" s="13">
        <v>0</v>
      </c>
      <c r="M30" s="13">
        <v>16038000</v>
      </c>
      <c r="N30" s="12">
        <v>1.6214679999999999</v>
      </c>
    </row>
    <row r="31" spans="1:14" ht="45" x14ac:dyDescent="0.2">
      <c r="A31" s="15"/>
      <c r="B31" s="11" t="s">
        <v>29</v>
      </c>
      <c r="C31" s="13">
        <v>857.70799999999997</v>
      </c>
      <c r="D31" s="13">
        <v>857.70799999999997</v>
      </c>
      <c r="E31" s="13">
        <v>174409.3</v>
      </c>
      <c r="F31" s="13">
        <v>295005.09999999998</v>
      </c>
      <c r="G31" s="13">
        <v>-120595.8</v>
      </c>
      <c r="H31" s="13">
        <v>0</v>
      </c>
      <c r="I31" s="13">
        <v>0.25047560000000002</v>
      </c>
      <c r="J31" s="13">
        <v>1994688</v>
      </c>
      <c r="K31" s="12">
        <v>0</v>
      </c>
      <c r="L31" s="13">
        <v>0</v>
      </c>
      <c r="M31" s="13">
        <v>526528.19999999995</v>
      </c>
      <c r="N31" s="12">
        <v>1.1216699999999999</v>
      </c>
    </row>
    <row r="32" spans="1:14" ht="45" x14ac:dyDescent="0.2">
      <c r="A32" s="15"/>
      <c r="B32" s="11" t="s">
        <v>28</v>
      </c>
      <c r="C32" s="13">
        <v>457.99400000000003</v>
      </c>
      <c r="D32" s="13">
        <v>457.99400000000003</v>
      </c>
      <c r="E32" s="13">
        <v>33284.36</v>
      </c>
      <c r="F32" s="13">
        <v>243184.4</v>
      </c>
      <c r="G32" s="13">
        <v>-209900</v>
      </c>
      <c r="H32" s="13">
        <v>0</v>
      </c>
      <c r="I32" s="13">
        <v>0.27627069999999998</v>
      </c>
      <c r="J32" s="13">
        <v>1210617</v>
      </c>
      <c r="K32" s="12">
        <v>0</v>
      </c>
      <c r="L32" s="13">
        <v>0</v>
      </c>
      <c r="M32" s="13">
        <v>523674.2</v>
      </c>
      <c r="N32" s="12">
        <v>1.894153</v>
      </c>
    </row>
    <row r="33" spans="1:14" ht="60" x14ac:dyDescent="0.2">
      <c r="A33" s="16"/>
      <c r="B33" s="11" t="s">
        <v>27</v>
      </c>
      <c r="C33" s="13">
        <v>5300</v>
      </c>
      <c r="D33" s="13">
        <v>5300</v>
      </c>
      <c r="E33" s="13">
        <v>988936.3</v>
      </c>
      <c r="F33" s="13">
        <v>2306501</v>
      </c>
      <c r="G33" s="13">
        <v>-1317565</v>
      </c>
      <c r="H33" s="13">
        <v>0</v>
      </c>
      <c r="I33" s="13">
        <v>0.28456779999999998</v>
      </c>
      <c r="J33" s="13">
        <v>12898060</v>
      </c>
      <c r="K33" s="12">
        <v>0</v>
      </c>
      <c r="L33" s="13">
        <v>0</v>
      </c>
      <c r="M33" s="13">
        <v>9835125</v>
      </c>
      <c r="N33" s="12">
        <v>2.984467</v>
      </c>
    </row>
    <row r="34" spans="1:14" x14ac:dyDescent="0.2">
      <c r="A34" s="14" t="s">
        <v>26</v>
      </c>
      <c r="B34" s="11" t="s">
        <v>74</v>
      </c>
      <c r="C34" s="13">
        <v>10000000</v>
      </c>
      <c r="D34" s="13">
        <v>10000000</v>
      </c>
      <c r="E34" s="13">
        <v>354318.7</v>
      </c>
      <c r="F34" s="13">
        <v>354318.7</v>
      </c>
      <c r="G34" s="13">
        <v>0</v>
      </c>
      <c r="H34" s="13">
        <v>0</v>
      </c>
      <c r="I34" s="13">
        <v>0.99503399999999997</v>
      </c>
      <c r="J34" s="13">
        <v>0</v>
      </c>
      <c r="K34" s="12">
        <v>0</v>
      </c>
      <c r="L34" s="13">
        <v>0</v>
      </c>
      <c r="M34" s="13">
        <v>0</v>
      </c>
      <c r="N34" s="12" t="s">
        <v>77</v>
      </c>
    </row>
    <row r="35" spans="1:14" ht="30" x14ac:dyDescent="0.2">
      <c r="A35" s="16"/>
      <c r="B35" s="11" t="s">
        <v>25</v>
      </c>
      <c r="C35" s="13">
        <v>46768.01</v>
      </c>
      <c r="D35" s="13">
        <v>46768.01</v>
      </c>
      <c r="E35" s="13">
        <v>70633.789999999994</v>
      </c>
      <c r="F35" s="13">
        <v>75649.820000000007</v>
      </c>
      <c r="G35" s="13">
        <v>-5016.027</v>
      </c>
      <c r="H35" s="13">
        <v>0</v>
      </c>
      <c r="I35" s="13">
        <v>0.49086220000000003</v>
      </c>
      <c r="J35" s="13">
        <v>0</v>
      </c>
      <c r="K35" s="12">
        <v>0</v>
      </c>
      <c r="L35" s="13">
        <v>0</v>
      </c>
      <c r="M35" s="13">
        <v>0</v>
      </c>
      <c r="N35" s="12" t="s">
        <v>77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6F74-D930-8840-9B6F-F81817A90490}">
  <dimension ref="A1:M30"/>
  <sheetViews>
    <sheetView workbookViewId="0">
      <selection sqref="A1:M30"/>
    </sheetView>
  </sheetViews>
  <sheetFormatPr baseColWidth="10" defaultColWidth="8.83203125" defaultRowHeight="15" x14ac:dyDescent="0.2"/>
  <cols>
    <col min="1" max="16384" width="8.83203125" style="10"/>
  </cols>
  <sheetData>
    <row r="1" spans="1:13" ht="60" x14ac:dyDescent="0.2">
      <c r="A1" s="11"/>
      <c r="B1" s="11"/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</row>
    <row r="2" spans="1:13" ht="30" x14ac:dyDescent="0.2">
      <c r="A2" s="14" t="s">
        <v>61</v>
      </c>
      <c r="B2" s="11" t="s">
        <v>60</v>
      </c>
      <c r="C2" s="12">
        <v>372.43929000000003</v>
      </c>
      <c r="D2" s="12">
        <v>372.43929000000003</v>
      </c>
      <c r="E2" s="13">
        <v>0</v>
      </c>
      <c r="F2" s="13">
        <v>0</v>
      </c>
      <c r="G2" s="13">
        <v>0</v>
      </c>
      <c r="H2" s="13">
        <v>0</v>
      </c>
      <c r="I2" s="12">
        <v>0</v>
      </c>
      <c r="J2" s="13">
        <v>813779.8</v>
      </c>
      <c r="K2" s="12">
        <v>0</v>
      </c>
      <c r="L2" s="13">
        <v>0</v>
      </c>
      <c r="M2" s="13">
        <v>0</v>
      </c>
    </row>
    <row r="3" spans="1:13" x14ac:dyDescent="0.2">
      <c r="A3" s="15"/>
      <c r="B3" s="11" t="s">
        <v>59</v>
      </c>
      <c r="C3" s="12">
        <v>1642.8915400000001</v>
      </c>
      <c r="D3" s="12">
        <v>1642.8915400000001</v>
      </c>
      <c r="E3" s="13">
        <v>0</v>
      </c>
      <c r="F3" s="13">
        <v>0</v>
      </c>
      <c r="G3" s="13">
        <v>0</v>
      </c>
      <c r="H3" s="13">
        <v>0</v>
      </c>
      <c r="I3" s="12">
        <v>0</v>
      </c>
      <c r="J3" s="13">
        <v>3589718</v>
      </c>
      <c r="K3" s="12">
        <v>0</v>
      </c>
      <c r="L3" s="13">
        <v>0</v>
      </c>
      <c r="M3" s="13">
        <v>0</v>
      </c>
    </row>
    <row r="4" spans="1:13" x14ac:dyDescent="0.2">
      <c r="A4" s="15"/>
      <c r="B4" s="11" t="s">
        <v>58</v>
      </c>
      <c r="C4" s="12">
        <v>9185.8067100000007</v>
      </c>
      <c r="D4" s="12">
        <v>9185.8067100000007</v>
      </c>
      <c r="E4" s="13">
        <v>0</v>
      </c>
      <c r="F4" s="13">
        <v>0</v>
      </c>
      <c r="G4" s="13">
        <v>0</v>
      </c>
      <c r="H4" s="13">
        <v>0</v>
      </c>
      <c r="I4" s="12">
        <v>0</v>
      </c>
      <c r="J4" s="13">
        <v>20070990</v>
      </c>
      <c r="K4" s="12">
        <v>0</v>
      </c>
      <c r="L4" s="13">
        <v>0</v>
      </c>
      <c r="M4" s="13">
        <v>0</v>
      </c>
    </row>
    <row r="5" spans="1:13" ht="45" x14ac:dyDescent="0.2">
      <c r="A5" s="15"/>
      <c r="B5" s="11" t="s">
        <v>57</v>
      </c>
      <c r="C5" s="12">
        <v>23586</v>
      </c>
      <c r="D5" s="12">
        <v>23586</v>
      </c>
      <c r="E5" s="13">
        <v>0</v>
      </c>
      <c r="F5" s="13">
        <v>0</v>
      </c>
      <c r="G5" s="13">
        <v>0</v>
      </c>
      <c r="H5" s="13">
        <v>0</v>
      </c>
      <c r="I5" s="12">
        <v>0</v>
      </c>
      <c r="J5" s="13">
        <v>51535410</v>
      </c>
      <c r="K5" s="12">
        <v>0</v>
      </c>
      <c r="L5" s="13">
        <v>0</v>
      </c>
      <c r="M5" s="13">
        <v>0</v>
      </c>
    </row>
    <row r="6" spans="1:13" ht="45" x14ac:dyDescent="0.2">
      <c r="A6" s="15"/>
      <c r="B6" s="11" t="s">
        <v>56</v>
      </c>
      <c r="C6" s="12">
        <v>3534.0360000000001</v>
      </c>
      <c r="D6" s="12">
        <v>3534.0360000000001</v>
      </c>
      <c r="E6" s="13">
        <v>0</v>
      </c>
      <c r="F6" s="13">
        <v>0</v>
      </c>
      <c r="G6" s="13">
        <v>0</v>
      </c>
      <c r="H6" s="13">
        <v>0</v>
      </c>
      <c r="I6" s="12">
        <v>0</v>
      </c>
      <c r="J6" s="13">
        <v>7721869</v>
      </c>
      <c r="K6" s="12">
        <v>0</v>
      </c>
      <c r="L6" s="13">
        <v>0</v>
      </c>
      <c r="M6" s="13">
        <v>0</v>
      </c>
    </row>
    <row r="7" spans="1:13" ht="30" x14ac:dyDescent="0.2">
      <c r="A7" s="15"/>
      <c r="B7" s="11" t="s">
        <v>55</v>
      </c>
      <c r="C7" s="12">
        <v>13695</v>
      </c>
      <c r="D7" s="12">
        <v>13695</v>
      </c>
      <c r="E7" s="13">
        <v>3574109</v>
      </c>
      <c r="F7" s="13">
        <v>0</v>
      </c>
      <c r="G7" s="13">
        <v>3574109</v>
      </c>
      <c r="H7" s="13">
        <v>0</v>
      </c>
      <c r="I7" s="12">
        <v>0.11944100000000001</v>
      </c>
      <c r="J7" s="13">
        <v>26349470</v>
      </c>
      <c r="K7" s="12">
        <v>0</v>
      </c>
      <c r="L7" s="13">
        <v>41118460</v>
      </c>
      <c r="M7" s="13">
        <v>41118460</v>
      </c>
    </row>
    <row r="8" spans="1:13" x14ac:dyDescent="0.2">
      <c r="A8" s="15"/>
      <c r="B8" s="11" t="s">
        <v>54</v>
      </c>
      <c r="C8" s="12">
        <v>4067.2939999999999</v>
      </c>
      <c r="D8" s="12">
        <v>4067.2939999999999</v>
      </c>
      <c r="E8" s="13">
        <v>0</v>
      </c>
      <c r="F8" s="13">
        <v>0</v>
      </c>
      <c r="G8" s="13">
        <v>0</v>
      </c>
      <c r="H8" s="13">
        <v>0</v>
      </c>
      <c r="I8" s="12">
        <v>0</v>
      </c>
      <c r="J8" s="13">
        <v>8887037</v>
      </c>
      <c r="K8" s="12">
        <v>0</v>
      </c>
      <c r="L8" s="13">
        <v>0</v>
      </c>
      <c r="M8" s="13">
        <v>0</v>
      </c>
    </row>
    <row r="9" spans="1:13" ht="30" x14ac:dyDescent="0.2">
      <c r="A9" s="15"/>
      <c r="B9" s="11" t="s">
        <v>53</v>
      </c>
      <c r="C9" s="12">
        <v>11</v>
      </c>
      <c r="D9" s="12">
        <v>11</v>
      </c>
      <c r="E9" s="13">
        <v>4558.2219999999998</v>
      </c>
      <c r="F9" s="13">
        <v>0</v>
      </c>
      <c r="G9" s="13">
        <v>4558.2219999999998</v>
      </c>
      <c r="H9" s="13">
        <v>0</v>
      </c>
      <c r="I9" s="12">
        <v>0.18964900000000001</v>
      </c>
      <c r="J9" s="13">
        <v>19476.78</v>
      </c>
      <c r="K9" s="12">
        <v>0</v>
      </c>
      <c r="L9" s="13">
        <v>56795.45</v>
      </c>
      <c r="M9" s="13">
        <v>97867.21</v>
      </c>
    </row>
    <row r="10" spans="1:13" ht="30" x14ac:dyDescent="0.2">
      <c r="A10" s="15"/>
      <c r="B10" s="11" t="s">
        <v>52</v>
      </c>
      <c r="C10" s="12">
        <v>834.51107000000002</v>
      </c>
      <c r="D10" s="12">
        <v>834.51107000000002</v>
      </c>
      <c r="E10" s="13">
        <v>1037.9960000000001</v>
      </c>
      <c r="F10" s="13">
        <v>0</v>
      </c>
      <c r="G10" s="13">
        <v>1037.9960000000001</v>
      </c>
      <c r="H10" s="13">
        <v>0</v>
      </c>
      <c r="I10" s="12">
        <v>5.6899999999999995E-4</v>
      </c>
      <c r="J10" s="13">
        <v>1822369</v>
      </c>
      <c r="K10" s="12">
        <v>0</v>
      </c>
      <c r="L10" s="13">
        <v>56051.8</v>
      </c>
      <c r="M10" s="13">
        <v>56229.9</v>
      </c>
    </row>
    <row r="11" spans="1:13" ht="30" x14ac:dyDescent="0.2">
      <c r="A11" s="15"/>
      <c r="B11" s="11" t="s">
        <v>51</v>
      </c>
      <c r="C11" s="12">
        <v>1897.296</v>
      </c>
      <c r="D11" s="12">
        <v>1897.296</v>
      </c>
      <c r="E11" s="13">
        <v>1398401</v>
      </c>
      <c r="F11" s="13">
        <v>0</v>
      </c>
      <c r="G11" s="13">
        <v>1398401</v>
      </c>
      <c r="H11" s="13">
        <v>0</v>
      </c>
      <c r="I11" s="12">
        <v>0.33732200000000001</v>
      </c>
      <c r="J11" s="13">
        <v>259835.4</v>
      </c>
      <c r="K11" s="12">
        <v>0</v>
      </c>
      <c r="L11" s="13">
        <v>0</v>
      </c>
      <c r="M11" s="13">
        <v>9285688</v>
      </c>
    </row>
    <row r="12" spans="1:13" ht="30" x14ac:dyDescent="0.2">
      <c r="A12" s="15"/>
      <c r="B12" s="11" t="s">
        <v>50</v>
      </c>
      <c r="C12" s="12">
        <v>48629.190949999997</v>
      </c>
      <c r="D12" s="12">
        <v>48629.190949999997</v>
      </c>
      <c r="E12" s="13">
        <v>0</v>
      </c>
      <c r="F12" s="13">
        <v>0</v>
      </c>
      <c r="G12" s="13">
        <v>0</v>
      </c>
      <c r="H12" s="13">
        <v>0</v>
      </c>
      <c r="I12" s="12">
        <v>0</v>
      </c>
      <c r="J12" s="13">
        <v>52178340</v>
      </c>
      <c r="K12" s="12">
        <v>0</v>
      </c>
      <c r="L12" s="13">
        <v>0</v>
      </c>
      <c r="M12" s="13">
        <v>0</v>
      </c>
    </row>
    <row r="13" spans="1:13" ht="30" x14ac:dyDescent="0.2">
      <c r="A13" s="15"/>
      <c r="B13" s="11" t="s">
        <v>49</v>
      </c>
      <c r="C13" s="12">
        <v>254.358</v>
      </c>
      <c r="D13" s="12">
        <v>254.358</v>
      </c>
      <c r="E13" s="13">
        <v>234748.79999999999</v>
      </c>
      <c r="F13" s="13">
        <v>0</v>
      </c>
      <c r="G13" s="13">
        <v>234748.79999999999</v>
      </c>
      <c r="H13" s="13">
        <v>0</v>
      </c>
      <c r="I13" s="12">
        <v>0.42238300000000001</v>
      </c>
      <c r="J13" s="13">
        <v>39020.699999999997</v>
      </c>
      <c r="K13" s="12">
        <v>0</v>
      </c>
      <c r="L13" s="13">
        <v>0</v>
      </c>
      <c r="M13" s="13">
        <v>1988605</v>
      </c>
    </row>
    <row r="14" spans="1:13" x14ac:dyDescent="0.2">
      <c r="A14" s="15"/>
      <c r="B14" s="11" t="s">
        <v>48</v>
      </c>
      <c r="C14" s="12">
        <v>4570</v>
      </c>
      <c r="D14" s="12">
        <v>4570</v>
      </c>
      <c r="E14" s="13">
        <v>4081360</v>
      </c>
      <c r="F14" s="13">
        <v>0</v>
      </c>
      <c r="G14" s="13">
        <v>4081360</v>
      </c>
      <c r="H14" s="13">
        <v>0</v>
      </c>
      <c r="I14" s="12">
        <v>0.40873100000000001</v>
      </c>
      <c r="J14" s="13">
        <v>5904090</v>
      </c>
      <c r="K14" s="12">
        <v>0</v>
      </c>
      <c r="L14" s="13">
        <v>40813600</v>
      </c>
      <c r="M14" s="13">
        <v>68447700</v>
      </c>
    </row>
    <row r="15" spans="1:13" ht="30" x14ac:dyDescent="0.2">
      <c r="A15" s="15"/>
      <c r="B15" s="11" t="s">
        <v>47</v>
      </c>
      <c r="C15" s="12">
        <v>53544.201999999997</v>
      </c>
      <c r="D15" s="12">
        <v>53544.201999999997</v>
      </c>
      <c r="E15" s="13">
        <v>25282170</v>
      </c>
      <c r="F15" s="13">
        <v>0</v>
      </c>
      <c r="G15" s="13">
        <v>25282170</v>
      </c>
      <c r="H15" s="13">
        <v>0</v>
      </c>
      <c r="I15" s="12">
        <v>0.21609800000000001</v>
      </c>
      <c r="J15" s="13">
        <v>6832674</v>
      </c>
      <c r="K15" s="12">
        <v>0</v>
      </c>
      <c r="L15" s="13">
        <v>0</v>
      </c>
      <c r="M15" s="13">
        <v>101829500</v>
      </c>
    </row>
    <row r="16" spans="1:13" x14ac:dyDescent="0.2">
      <c r="A16" s="15"/>
      <c r="B16" s="11" t="s">
        <v>46</v>
      </c>
      <c r="C16" s="12">
        <v>78.5</v>
      </c>
      <c r="D16" s="12">
        <v>78.5</v>
      </c>
      <c r="E16" s="13">
        <v>0</v>
      </c>
      <c r="F16" s="13">
        <v>0</v>
      </c>
      <c r="G16" s="13">
        <v>0</v>
      </c>
      <c r="H16" s="13">
        <v>0</v>
      </c>
      <c r="I16" s="12">
        <v>0</v>
      </c>
      <c r="J16" s="13">
        <v>171522.5</v>
      </c>
      <c r="K16" s="12">
        <v>0</v>
      </c>
      <c r="L16" s="13">
        <v>0</v>
      </c>
      <c r="M16" s="13">
        <v>0</v>
      </c>
    </row>
    <row r="17" spans="1:13" ht="30" x14ac:dyDescent="0.2">
      <c r="A17" s="15"/>
      <c r="B17" s="11" t="s">
        <v>45</v>
      </c>
      <c r="C17" s="12">
        <v>27270.741000000002</v>
      </c>
      <c r="D17" s="12">
        <v>27270.741000000002</v>
      </c>
      <c r="E17" s="13">
        <v>10978700</v>
      </c>
      <c r="F17" s="13">
        <v>0</v>
      </c>
      <c r="G17" s="13">
        <v>10978700</v>
      </c>
      <c r="H17" s="13">
        <v>0</v>
      </c>
      <c r="I17" s="12">
        <v>0.184248</v>
      </c>
      <c r="J17" s="13">
        <v>3356432</v>
      </c>
      <c r="K17" s="12">
        <v>0</v>
      </c>
      <c r="L17" s="13">
        <v>0</v>
      </c>
      <c r="M17" s="13">
        <v>41949680</v>
      </c>
    </row>
    <row r="18" spans="1:13" ht="45" x14ac:dyDescent="0.2">
      <c r="A18" s="15"/>
      <c r="B18" s="11" t="s">
        <v>44</v>
      </c>
      <c r="C18" s="12">
        <v>3662.89</v>
      </c>
      <c r="D18" s="12">
        <v>3662.89</v>
      </c>
      <c r="E18" s="13">
        <v>0</v>
      </c>
      <c r="F18" s="13">
        <v>0</v>
      </c>
      <c r="G18" s="13">
        <v>0</v>
      </c>
      <c r="H18" s="13">
        <v>0</v>
      </c>
      <c r="I18" s="12">
        <v>0</v>
      </c>
      <c r="J18" s="13">
        <v>8003415</v>
      </c>
      <c r="K18" s="12">
        <v>0</v>
      </c>
      <c r="L18" s="13">
        <v>0</v>
      </c>
      <c r="M18" s="13">
        <v>0</v>
      </c>
    </row>
    <row r="19" spans="1:13" ht="30" x14ac:dyDescent="0.2">
      <c r="A19" s="15"/>
      <c r="B19" s="11" t="s">
        <v>43</v>
      </c>
      <c r="C19" s="12">
        <v>55.819389999999999</v>
      </c>
      <c r="D19" s="12">
        <v>55.819389999999999</v>
      </c>
      <c r="E19" s="13">
        <v>0</v>
      </c>
      <c r="F19" s="13">
        <v>0</v>
      </c>
      <c r="G19" s="13">
        <v>0</v>
      </c>
      <c r="H19" s="13">
        <v>0</v>
      </c>
      <c r="I19" s="12">
        <v>0</v>
      </c>
      <c r="J19" s="13">
        <v>121965.4</v>
      </c>
      <c r="K19" s="12">
        <v>0</v>
      </c>
      <c r="L19" s="13">
        <v>0</v>
      </c>
      <c r="M19" s="13">
        <v>0</v>
      </c>
    </row>
    <row r="20" spans="1:13" x14ac:dyDescent="0.2">
      <c r="A20" s="15"/>
      <c r="B20" s="11" t="s">
        <v>42</v>
      </c>
      <c r="C20" s="12">
        <v>40470.421999999999</v>
      </c>
      <c r="D20" s="12">
        <v>40470.421999999999</v>
      </c>
      <c r="E20" s="13">
        <v>13173270</v>
      </c>
      <c r="F20" s="13">
        <v>0</v>
      </c>
      <c r="G20" s="13">
        <v>13173270</v>
      </c>
      <c r="H20" s="13">
        <v>0</v>
      </c>
      <c r="I20" s="12">
        <v>0.14897199999999999</v>
      </c>
      <c r="J20" s="13">
        <v>1392276</v>
      </c>
      <c r="K20" s="12">
        <v>0</v>
      </c>
      <c r="L20" s="13">
        <v>0</v>
      </c>
      <c r="M20" s="13">
        <v>90600320</v>
      </c>
    </row>
    <row r="21" spans="1:13" ht="30" x14ac:dyDescent="0.2">
      <c r="A21" s="16"/>
      <c r="B21" s="11" t="s">
        <v>41</v>
      </c>
      <c r="C21" s="12">
        <v>4643.1779999999999</v>
      </c>
      <c r="D21" s="12">
        <v>4643.1779999999999</v>
      </c>
      <c r="E21" s="13">
        <v>0</v>
      </c>
      <c r="F21" s="13">
        <v>0</v>
      </c>
      <c r="G21" s="13">
        <v>0</v>
      </c>
      <c r="H21" s="13">
        <v>0</v>
      </c>
      <c r="I21" s="12">
        <v>0</v>
      </c>
      <c r="J21" s="13">
        <v>10145340</v>
      </c>
      <c r="K21" s="12">
        <v>0</v>
      </c>
      <c r="L21" s="13">
        <v>0</v>
      </c>
      <c r="M21" s="13">
        <v>0</v>
      </c>
    </row>
    <row r="22" spans="1:13" x14ac:dyDescent="0.2">
      <c r="A22" s="11" t="s">
        <v>40</v>
      </c>
      <c r="B22" s="11" t="s">
        <v>39</v>
      </c>
      <c r="C22" s="12">
        <v>230800</v>
      </c>
      <c r="D22" s="12">
        <v>230800</v>
      </c>
      <c r="E22" s="13">
        <v>31687430</v>
      </c>
      <c r="F22" s="13">
        <v>23538770</v>
      </c>
      <c r="G22" s="13">
        <v>8148657</v>
      </c>
      <c r="H22" s="13">
        <v>-8148657</v>
      </c>
      <c r="I22" s="12">
        <v>0.109511</v>
      </c>
      <c r="J22" s="13">
        <v>0</v>
      </c>
      <c r="K22" s="12">
        <v>0</v>
      </c>
      <c r="L22" s="13">
        <v>0</v>
      </c>
      <c r="M22" s="13">
        <v>78659330</v>
      </c>
    </row>
    <row r="23" spans="1:13" x14ac:dyDescent="0.2">
      <c r="A23" s="14" t="s">
        <v>38</v>
      </c>
      <c r="B23" s="11" t="s">
        <v>37</v>
      </c>
      <c r="C23" s="12">
        <v>12450</v>
      </c>
      <c r="D23" s="12">
        <v>12450</v>
      </c>
      <c r="E23" s="13">
        <v>9528262</v>
      </c>
      <c r="F23" s="13">
        <v>5862509</v>
      </c>
      <c r="G23" s="13">
        <v>3665753</v>
      </c>
      <c r="H23" s="13">
        <v>-3665753</v>
      </c>
      <c r="I23" s="12">
        <v>0.56577</v>
      </c>
      <c r="J23" s="13">
        <v>30869000</v>
      </c>
      <c r="K23" s="12">
        <v>0</v>
      </c>
      <c r="L23" s="13">
        <v>0</v>
      </c>
      <c r="M23" s="13">
        <v>71315980</v>
      </c>
    </row>
    <row r="24" spans="1:13" ht="30" x14ac:dyDescent="0.2">
      <c r="A24" s="15"/>
      <c r="B24" s="11" t="s">
        <v>36</v>
      </c>
      <c r="C24" s="12">
        <v>3653.0947500000002</v>
      </c>
      <c r="D24" s="12">
        <v>3653.0947500000002</v>
      </c>
      <c r="E24" s="13">
        <v>0</v>
      </c>
      <c r="F24" s="13">
        <v>115909.7</v>
      </c>
      <c r="G24" s="13">
        <v>-115909.7</v>
      </c>
      <c r="H24" s="13">
        <v>0</v>
      </c>
      <c r="I24" s="12">
        <v>1.4520999999999999E-2</v>
      </c>
      <c r="J24" s="13">
        <v>7866102</v>
      </c>
      <c r="K24" s="12">
        <v>0</v>
      </c>
      <c r="L24" s="13">
        <v>0</v>
      </c>
      <c r="M24" s="13">
        <v>36.761699999999998</v>
      </c>
    </row>
    <row r="25" spans="1:13" ht="30" x14ac:dyDescent="0.2">
      <c r="A25" s="16"/>
      <c r="B25" s="11" t="s">
        <v>35</v>
      </c>
      <c r="C25" s="12">
        <v>278.38099999999997</v>
      </c>
      <c r="D25" s="12">
        <v>278.38099999999997</v>
      </c>
      <c r="E25" s="13">
        <v>0</v>
      </c>
      <c r="F25" s="13">
        <v>78025.34</v>
      </c>
      <c r="G25" s="13">
        <v>-78025.34</v>
      </c>
      <c r="H25" s="13">
        <v>0</v>
      </c>
      <c r="I25" s="12">
        <v>0.128276</v>
      </c>
      <c r="J25" s="13">
        <v>530237.1</v>
      </c>
      <c r="K25" s="12">
        <v>0</v>
      </c>
      <c r="L25" s="13">
        <v>390126.7</v>
      </c>
      <c r="M25" s="13">
        <v>0</v>
      </c>
    </row>
    <row r="26" spans="1:13" ht="30" x14ac:dyDescent="0.2">
      <c r="A26" s="14" t="s">
        <v>34</v>
      </c>
      <c r="B26" s="11" t="s">
        <v>33</v>
      </c>
      <c r="C26" s="12">
        <v>0</v>
      </c>
      <c r="D26" s="12">
        <v>0</v>
      </c>
      <c r="E26" s="13">
        <v>0</v>
      </c>
      <c r="F26" s="13">
        <v>1877552</v>
      </c>
      <c r="G26" s="13">
        <v>-1877552</v>
      </c>
      <c r="H26" s="13">
        <v>0</v>
      </c>
      <c r="I26" s="12" t="s">
        <v>77</v>
      </c>
      <c r="J26" s="13">
        <v>0</v>
      </c>
      <c r="K26" s="12">
        <v>0</v>
      </c>
      <c r="L26" s="13">
        <v>0</v>
      </c>
      <c r="M26" s="13">
        <v>-14475760</v>
      </c>
    </row>
    <row r="27" spans="1:13" x14ac:dyDescent="0.2">
      <c r="A27" s="16"/>
      <c r="B27" s="11" t="s">
        <v>32</v>
      </c>
      <c r="C27" s="12">
        <v>0</v>
      </c>
      <c r="D27" s="12">
        <v>0</v>
      </c>
      <c r="E27" s="13">
        <v>0</v>
      </c>
      <c r="F27" s="13">
        <v>52178340</v>
      </c>
      <c r="G27" s="13">
        <v>-52178340</v>
      </c>
      <c r="H27" s="13">
        <v>0</v>
      </c>
      <c r="I27" s="12" t="s">
        <v>77</v>
      </c>
      <c r="J27" s="13">
        <v>0</v>
      </c>
      <c r="K27" s="12">
        <v>0</v>
      </c>
      <c r="L27" s="13">
        <v>0</v>
      </c>
      <c r="M27" s="13">
        <v>-412153700</v>
      </c>
    </row>
    <row r="28" spans="1:13" ht="30" x14ac:dyDescent="0.2">
      <c r="A28" s="14" t="s">
        <v>31</v>
      </c>
      <c r="B28" s="11" t="s">
        <v>30</v>
      </c>
      <c r="C28" s="12">
        <v>26471.973000000002</v>
      </c>
      <c r="D28" s="12">
        <v>26471.973000000002</v>
      </c>
      <c r="E28" s="13">
        <v>3798709</v>
      </c>
      <c r="F28" s="13">
        <v>6913930</v>
      </c>
      <c r="G28" s="13">
        <v>-3115221</v>
      </c>
      <c r="H28" s="13">
        <v>0</v>
      </c>
      <c r="I28" s="12">
        <v>0.18520800000000001</v>
      </c>
      <c r="J28" s="13">
        <v>60956480</v>
      </c>
      <c r="K28" s="12">
        <v>0</v>
      </c>
      <c r="L28" s="13">
        <v>0</v>
      </c>
      <c r="M28" s="13">
        <v>16751020</v>
      </c>
    </row>
    <row r="29" spans="1:13" ht="45" x14ac:dyDescent="0.2">
      <c r="A29" s="15"/>
      <c r="B29" s="11" t="s">
        <v>29</v>
      </c>
      <c r="C29" s="12">
        <v>857.70799999999997</v>
      </c>
      <c r="D29" s="12">
        <v>857.70799999999997</v>
      </c>
      <c r="E29" s="13">
        <v>191162.1</v>
      </c>
      <c r="F29" s="13">
        <v>307458.5</v>
      </c>
      <c r="G29" s="13">
        <v>-116296.3</v>
      </c>
      <c r="H29" s="13">
        <v>0</v>
      </c>
      <c r="I29" s="12">
        <v>0.26606000000000002</v>
      </c>
      <c r="J29" s="13">
        <v>1990388</v>
      </c>
      <c r="K29" s="12">
        <v>0</v>
      </c>
      <c r="L29" s="13">
        <v>0</v>
      </c>
      <c r="M29" s="13">
        <v>542807.30000000005</v>
      </c>
    </row>
    <row r="30" spans="1:13" ht="45" x14ac:dyDescent="0.2">
      <c r="A30" s="16"/>
      <c r="B30" s="11" t="s">
        <v>28</v>
      </c>
      <c r="C30" s="12">
        <v>457.99400000000003</v>
      </c>
      <c r="D30" s="12">
        <v>457.99400000000003</v>
      </c>
      <c r="E30" s="13">
        <v>33084.26</v>
      </c>
      <c r="F30" s="13">
        <v>244788</v>
      </c>
      <c r="G30" s="13">
        <v>-211703.7</v>
      </c>
      <c r="H30" s="13">
        <v>0</v>
      </c>
      <c r="I30" s="12">
        <v>0.277673</v>
      </c>
      <c r="J30" s="13">
        <v>1212421</v>
      </c>
      <c r="K30" s="12">
        <v>0</v>
      </c>
      <c r="L30" s="13">
        <v>0</v>
      </c>
      <c r="M30" s="13">
        <v>554579.4</v>
      </c>
    </row>
  </sheetData>
  <mergeCells count="4">
    <mergeCell ref="A2:A21"/>
    <mergeCell ref="A23:A25"/>
    <mergeCell ref="A26:A27"/>
    <mergeCell ref="A28:A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A373-8A38-7249-9025-F71E25E276C2}">
  <dimension ref="A1:N35"/>
  <sheetViews>
    <sheetView topLeftCell="A30" workbookViewId="0">
      <selection sqref="A1:N35"/>
    </sheetView>
  </sheetViews>
  <sheetFormatPr baseColWidth="10" defaultColWidth="8.83203125" defaultRowHeight="15" x14ac:dyDescent="0.2"/>
  <cols>
    <col min="1" max="16384" width="8.83203125" style="10"/>
  </cols>
  <sheetData>
    <row r="1" spans="1:14" ht="60" x14ac:dyDescent="0.2">
      <c r="A1" s="11"/>
      <c r="B1" s="11"/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ht="30" x14ac:dyDescent="0.2">
      <c r="A2" s="14" t="s">
        <v>61</v>
      </c>
      <c r="B2" s="11" t="s">
        <v>60</v>
      </c>
      <c r="C2" s="13">
        <v>372.4393</v>
      </c>
      <c r="D2" s="13">
        <v>372.4393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813779.8</v>
      </c>
      <c r="K2" s="12">
        <v>0</v>
      </c>
      <c r="L2" s="13">
        <v>0</v>
      </c>
      <c r="M2" s="13">
        <v>0</v>
      </c>
      <c r="N2" s="12" t="s">
        <v>77</v>
      </c>
    </row>
    <row r="3" spans="1:14" x14ac:dyDescent="0.2">
      <c r="A3" s="15"/>
      <c r="B3" s="11" t="s">
        <v>59</v>
      </c>
      <c r="C3" s="13">
        <v>1642.8920000000001</v>
      </c>
      <c r="D3" s="13">
        <v>1642.8920000000001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3589718</v>
      </c>
      <c r="K3" s="12">
        <v>0</v>
      </c>
      <c r="L3" s="13">
        <v>0</v>
      </c>
      <c r="M3" s="13">
        <v>0</v>
      </c>
      <c r="N3" s="12" t="s">
        <v>77</v>
      </c>
    </row>
    <row r="4" spans="1:14" x14ac:dyDescent="0.2">
      <c r="A4" s="15"/>
      <c r="B4" s="11" t="s">
        <v>58</v>
      </c>
      <c r="C4" s="13">
        <v>9185.8070000000007</v>
      </c>
      <c r="D4" s="13">
        <v>9185.8070000000007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20070990</v>
      </c>
      <c r="K4" s="12">
        <v>0</v>
      </c>
      <c r="L4" s="13">
        <v>0</v>
      </c>
      <c r="M4" s="13">
        <v>0</v>
      </c>
      <c r="N4" s="12" t="s">
        <v>77</v>
      </c>
    </row>
    <row r="5" spans="1:14" ht="45" x14ac:dyDescent="0.2">
      <c r="A5" s="15"/>
      <c r="B5" s="11" t="s">
        <v>57</v>
      </c>
      <c r="C5" s="13">
        <v>23586</v>
      </c>
      <c r="D5" s="13">
        <v>23586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51535410</v>
      </c>
      <c r="K5" s="12">
        <v>0</v>
      </c>
      <c r="L5" s="13">
        <v>0</v>
      </c>
      <c r="M5" s="13">
        <v>0</v>
      </c>
      <c r="N5" s="12" t="s">
        <v>77</v>
      </c>
    </row>
    <row r="6" spans="1:14" ht="45" x14ac:dyDescent="0.2">
      <c r="A6" s="15"/>
      <c r="B6" s="11" t="s">
        <v>56</v>
      </c>
      <c r="C6" s="13">
        <v>3534.0360000000001</v>
      </c>
      <c r="D6" s="13">
        <v>3534.0360000000001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7721869</v>
      </c>
      <c r="K6" s="12">
        <v>0</v>
      </c>
      <c r="L6" s="13">
        <v>0</v>
      </c>
      <c r="M6" s="13">
        <v>0</v>
      </c>
      <c r="N6" s="12" t="s">
        <v>77</v>
      </c>
    </row>
    <row r="7" spans="1:14" ht="30" x14ac:dyDescent="0.2">
      <c r="A7" s="15"/>
      <c r="B7" s="11" t="s">
        <v>55</v>
      </c>
      <c r="C7" s="13">
        <v>13695</v>
      </c>
      <c r="D7" s="13">
        <v>13695</v>
      </c>
      <c r="E7" s="13">
        <v>3386601</v>
      </c>
      <c r="F7" s="13">
        <v>0</v>
      </c>
      <c r="G7" s="13">
        <v>3386601</v>
      </c>
      <c r="H7" s="13">
        <v>0</v>
      </c>
      <c r="I7" s="13">
        <v>0.113175</v>
      </c>
      <c r="J7" s="13">
        <v>26536970</v>
      </c>
      <c r="K7" s="12">
        <v>0</v>
      </c>
      <c r="L7" s="13">
        <v>37256290</v>
      </c>
      <c r="M7" s="13">
        <v>37256290</v>
      </c>
      <c r="N7" s="12">
        <v>11.001085</v>
      </c>
    </row>
    <row r="8" spans="1:14" x14ac:dyDescent="0.2">
      <c r="A8" s="15"/>
      <c r="B8" s="11" t="s">
        <v>54</v>
      </c>
      <c r="C8" s="13">
        <v>4067.2939999999999</v>
      </c>
      <c r="D8" s="13">
        <v>4067.2939999999999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8887037</v>
      </c>
      <c r="K8" s="12">
        <v>0</v>
      </c>
      <c r="L8" s="13">
        <v>0</v>
      </c>
      <c r="M8" s="13">
        <v>0</v>
      </c>
      <c r="N8" s="12" t="s">
        <v>77</v>
      </c>
    </row>
    <row r="9" spans="1:14" ht="30" x14ac:dyDescent="0.2">
      <c r="A9" s="15"/>
      <c r="B9" s="11" t="s">
        <v>53</v>
      </c>
      <c r="C9" s="13">
        <v>11</v>
      </c>
      <c r="D9" s="13">
        <v>11</v>
      </c>
      <c r="E9" s="13">
        <v>4162.0829999999996</v>
      </c>
      <c r="F9" s="13">
        <v>0</v>
      </c>
      <c r="G9" s="13">
        <v>4162.0829999999996</v>
      </c>
      <c r="H9" s="13">
        <v>0</v>
      </c>
      <c r="I9" s="13">
        <v>0.1731673</v>
      </c>
      <c r="J9" s="13">
        <v>19872.919999999998</v>
      </c>
      <c r="K9" s="12">
        <v>0</v>
      </c>
      <c r="L9" s="13">
        <v>51859.55</v>
      </c>
      <c r="M9" s="13">
        <v>89006.05</v>
      </c>
      <c r="N9" s="12">
        <v>21.385014000000002</v>
      </c>
    </row>
    <row r="10" spans="1:14" ht="30" x14ac:dyDescent="0.2">
      <c r="A10" s="15"/>
      <c r="B10" s="11" t="s">
        <v>52</v>
      </c>
      <c r="C10" s="13">
        <v>834.51110000000006</v>
      </c>
      <c r="D10" s="13">
        <v>834.51110000000006</v>
      </c>
      <c r="E10" s="13">
        <v>35.582079999999998</v>
      </c>
      <c r="F10" s="13">
        <v>0</v>
      </c>
      <c r="G10" s="13">
        <v>35.582079999999998</v>
      </c>
      <c r="H10" s="13">
        <v>0</v>
      </c>
      <c r="I10" s="13">
        <v>1.950843E-5</v>
      </c>
      <c r="J10" s="13">
        <v>1823371</v>
      </c>
      <c r="K10" s="12">
        <v>0</v>
      </c>
      <c r="L10" s="13">
        <v>1921.433</v>
      </c>
      <c r="M10" s="13">
        <v>1968.375</v>
      </c>
      <c r="N10" s="12">
        <v>55.335380999999998</v>
      </c>
    </row>
    <row r="11" spans="1:14" ht="30" x14ac:dyDescent="0.2">
      <c r="A11" s="15"/>
      <c r="B11" s="11" t="s">
        <v>51</v>
      </c>
      <c r="C11" s="13">
        <v>1897.296</v>
      </c>
      <c r="D11" s="13">
        <v>1897.296</v>
      </c>
      <c r="E11" s="13">
        <v>1405286</v>
      </c>
      <c r="F11" s="13">
        <v>0</v>
      </c>
      <c r="G11" s="13">
        <v>1405286</v>
      </c>
      <c r="H11" s="13">
        <v>0</v>
      </c>
      <c r="I11" s="13">
        <v>0.33898319999999998</v>
      </c>
      <c r="J11" s="13">
        <v>252950.6</v>
      </c>
      <c r="K11" s="12">
        <v>0</v>
      </c>
      <c r="L11" s="13">
        <v>0</v>
      </c>
      <c r="M11" s="13">
        <v>8908533</v>
      </c>
      <c r="N11" s="12">
        <v>6.339302</v>
      </c>
    </row>
    <row r="12" spans="1:14" ht="30" x14ac:dyDescent="0.2">
      <c r="A12" s="15"/>
      <c r="B12" s="11" t="s">
        <v>50</v>
      </c>
      <c r="C12" s="13">
        <v>48629.19</v>
      </c>
      <c r="D12" s="13">
        <v>48629.19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52178340</v>
      </c>
      <c r="K12" s="12">
        <v>0</v>
      </c>
      <c r="L12" s="13">
        <v>0</v>
      </c>
      <c r="M12" s="13">
        <v>0</v>
      </c>
      <c r="N12" s="12" t="s">
        <v>77</v>
      </c>
    </row>
    <row r="13" spans="1:14" ht="30" x14ac:dyDescent="0.2">
      <c r="A13" s="15"/>
      <c r="B13" s="11" t="s">
        <v>49</v>
      </c>
      <c r="C13" s="13">
        <v>254.358</v>
      </c>
      <c r="D13" s="13">
        <v>254.358</v>
      </c>
      <c r="E13" s="13">
        <v>234209.1</v>
      </c>
      <c r="F13" s="13">
        <v>0</v>
      </c>
      <c r="G13" s="13">
        <v>234209.1</v>
      </c>
      <c r="H13" s="13">
        <v>0</v>
      </c>
      <c r="I13" s="13">
        <v>0.42141210000000001</v>
      </c>
      <c r="J13" s="13">
        <v>39560.42</v>
      </c>
      <c r="K13" s="12">
        <v>0</v>
      </c>
      <c r="L13" s="13">
        <v>0</v>
      </c>
      <c r="M13" s="13">
        <v>1918863</v>
      </c>
      <c r="N13" s="12">
        <v>8.1929459999999992</v>
      </c>
    </row>
    <row r="14" spans="1:14" x14ac:dyDescent="0.2">
      <c r="A14" s="15"/>
      <c r="B14" s="11" t="s">
        <v>48</v>
      </c>
      <c r="C14" s="13">
        <v>4570</v>
      </c>
      <c r="D14" s="13">
        <v>4570</v>
      </c>
      <c r="E14" s="13">
        <v>3934853</v>
      </c>
      <c r="F14" s="13">
        <v>0</v>
      </c>
      <c r="G14" s="13">
        <v>3934853</v>
      </c>
      <c r="H14" s="13">
        <v>0</v>
      </c>
      <c r="I14" s="13">
        <v>0.39405859999999998</v>
      </c>
      <c r="J14" s="13">
        <v>6050597</v>
      </c>
      <c r="K14" s="12">
        <v>0</v>
      </c>
      <c r="L14" s="13">
        <v>39348530</v>
      </c>
      <c r="M14" s="13">
        <v>64276110</v>
      </c>
      <c r="N14" s="12">
        <v>16.335073999999999</v>
      </c>
    </row>
    <row r="15" spans="1:14" ht="30" x14ac:dyDescent="0.2">
      <c r="A15" s="15"/>
      <c r="B15" s="11" t="s">
        <v>47</v>
      </c>
      <c r="C15" s="13">
        <v>53544.2</v>
      </c>
      <c r="D15" s="13">
        <v>53544.2</v>
      </c>
      <c r="E15" s="13">
        <v>25208400</v>
      </c>
      <c r="F15" s="13">
        <v>0</v>
      </c>
      <c r="G15" s="13">
        <v>25208400</v>
      </c>
      <c r="H15" s="13">
        <v>0</v>
      </c>
      <c r="I15" s="13">
        <v>0.2154673</v>
      </c>
      <c r="J15" s="13">
        <v>6906443</v>
      </c>
      <c r="K15" s="12">
        <v>0</v>
      </c>
      <c r="L15" s="13">
        <v>0</v>
      </c>
      <c r="M15" s="13">
        <v>98895540</v>
      </c>
      <c r="N15" s="12">
        <v>3.9231180000000001</v>
      </c>
    </row>
    <row r="16" spans="1:14" x14ac:dyDescent="0.2">
      <c r="A16" s="15"/>
      <c r="B16" s="11" t="s">
        <v>46</v>
      </c>
      <c r="C16" s="13">
        <v>78.5</v>
      </c>
      <c r="D16" s="13">
        <v>78.5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171522.5</v>
      </c>
      <c r="K16" s="12">
        <v>0</v>
      </c>
      <c r="L16" s="13">
        <v>0</v>
      </c>
      <c r="M16" s="13">
        <v>0</v>
      </c>
      <c r="N16" s="12" t="s">
        <v>77</v>
      </c>
    </row>
    <row r="17" spans="1:14" ht="30" x14ac:dyDescent="0.2">
      <c r="A17" s="15"/>
      <c r="B17" s="11" t="s">
        <v>45</v>
      </c>
      <c r="C17" s="13">
        <v>27270.74</v>
      </c>
      <c r="D17" s="13">
        <v>27270.74</v>
      </c>
      <c r="E17" s="13">
        <v>11053330</v>
      </c>
      <c r="F17" s="13">
        <v>0</v>
      </c>
      <c r="G17" s="13">
        <v>11053330</v>
      </c>
      <c r="H17" s="13">
        <v>0</v>
      </c>
      <c r="I17" s="13">
        <v>0.18550030000000001</v>
      </c>
      <c r="J17" s="13">
        <v>3281806</v>
      </c>
      <c r="K17" s="12">
        <v>0</v>
      </c>
      <c r="L17" s="13">
        <v>0</v>
      </c>
      <c r="M17" s="13">
        <v>40514490</v>
      </c>
      <c r="N17" s="12">
        <v>3.6653660000000001</v>
      </c>
    </row>
    <row r="18" spans="1:14" ht="45" x14ac:dyDescent="0.2">
      <c r="A18" s="15"/>
      <c r="B18" s="11" t="s">
        <v>44</v>
      </c>
      <c r="C18" s="13">
        <v>3662.89</v>
      </c>
      <c r="D18" s="13">
        <v>3662.89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8003415</v>
      </c>
      <c r="K18" s="12">
        <v>0</v>
      </c>
      <c r="L18" s="13">
        <v>0</v>
      </c>
      <c r="M18" s="13">
        <v>0</v>
      </c>
      <c r="N18" s="12" t="s">
        <v>77</v>
      </c>
    </row>
    <row r="19" spans="1:14" ht="30" x14ac:dyDescent="0.2">
      <c r="A19" s="15"/>
      <c r="B19" s="11" t="s">
        <v>43</v>
      </c>
      <c r="C19" s="13">
        <v>55.819389999999999</v>
      </c>
      <c r="D19" s="13">
        <v>55.819389999999999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121965.4</v>
      </c>
      <c r="K19" s="12">
        <v>0</v>
      </c>
      <c r="L19" s="13">
        <v>0</v>
      </c>
      <c r="M19" s="13">
        <v>0</v>
      </c>
      <c r="N19" s="12" t="s">
        <v>77</v>
      </c>
    </row>
    <row r="20" spans="1:14" x14ac:dyDescent="0.2">
      <c r="A20" s="15"/>
      <c r="B20" s="11" t="s">
        <v>42</v>
      </c>
      <c r="C20" s="13">
        <v>40470.42</v>
      </c>
      <c r="D20" s="13">
        <v>40470.42</v>
      </c>
      <c r="E20" s="13">
        <v>13304360</v>
      </c>
      <c r="F20" s="13">
        <v>0</v>
      </c>
      <c r="G20" s="13">
        <v>13304360</v>
      </c>
      <c r="H20" s="13">
        <v>0</v>
      </c>
      <c r="I20" s="13">
        <v>0.15045430000000001</v>
      </c>
      <c r="J20" s="13">
        <v>1261186</v>
      </c>
      <c r="K20" s="12">
        <v>0</v>
      </c>
      <c r="L20" s="13">
        <v>0</v>
      </c>
      <c r="M20" s="13">
        <v>87943640</v>
      </c>
      <c r="N20" s="12">
        <v>6.6101390000000002</v>
      </c>
    </row>
    <row r="21" spans="1:14" ht="30" x14ac:dyDescent="0.2">
      <c r="A21" s="16"/>
      <c r="B21" s="11" t="s">
        <v>41</v>
      </c>
      <c r="C21" s="13">
        <v>4643.1779999999999</v>
      </c>
      <c r="D21" s="13">
        <v>4643.1779999999999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10145340</v>
      </c>
      <c r="K21" s="12">
        <v>0</v>
      </c>
      <c r="L21" s="13">
        <v>0</v>
      </c>
      <c r="M21" s="13">
        <v>0</v>
      </c>
      <c r="N21" s="12" t="s">
        <v>77</v>
      </c>
    </row>
    <row r="22" spans="1:14" x14ac:dyDescent="0.2">
      <c r="A22" s="11" t="s">
        <v>40</v>
      </c>
      <c r="B22" s="11" t="s">
        <v>39</v>
      </c>
      <c r="C22" s="13">
        <v>230800</v>
      </c>
      <c r="D22" s="13">
        <v>230800</v>
      </c>
      <c r="E22" s="13">
        <v>31880120</v>
      </c>
      <c r="F22" s="13">
        <v>23608080</v>
      </c>
      <c r="G22" s="13">
        <v>8272034</v>
      </c>
      <c r="H22" s="13">
        <v>-8272034</v>
      </c>
      <c r="I22" s="13">
        <v>0.11003060000000001</v>
      </c>
      <c r="J22" s="13">
        <v>0</v>
      </c>
      <c r="K22" s="12">
        <v>0</v>
      </c>
      <c r="L22" s="13">
        <v>0</v>
      </c>
      <c r="M22" s="13">
        <v>80666310</v>
      </c>
      <c r="N22" s="12">
        <v>1.453756</v>
      </c>
    </row>
    <row r="23" spans="1:14" x14ac:dyDescent="0.2">
      <c r="A23" s="14" t="s">
        <v>38</v>
      </c>
      <c r="B23" s="11" t="s">
        <v>37</v>
      </c>
      <c r="C23" s="13">
        <v>12450</v>
      </c>
      <c r="D23" s="13">
        <v>12450</v>
      </c>
      <c r="E23" s="13">
        <v>9442567</v>
      </c>
      <c r="F23" s="13">
        <v>5969130</v>
      </c>
      <c r="G23" s="13">
        <v>3473437</v>
      </c>
      <c r="H23" s="13">
        <v>-3473437</v>
      </c>
      <c r="I23" s="13">
        <v>0.56653880000000001</v>
      </c>
      <c r="J23" s="13">
        <v>30676690</v>
      </c>
      <c r="K23" s="12">
        <v>0</v>
      </c>
      <c r="L23" s="13">
        <v>0</v>
      </c>
      <c r="M23" s="13">
        <v>65137020</v>
      </c>
      <c r="N23" s="12">
        <v>4.2264660000000003</v>
      </c>
    </row>
    <row r="24" spans="1:14" x14ac:dyDescent="0.2">
      <c r="A24" s="15"/>
      <c r="B24" s="11" t="s">
        <v>74</v>
      </c>
      <c r="C24" s="13">
        <v>20000000</v>
      </c>
      <c r="D24" s="13">
        <v>20000000</v>
      </c>
      <c r="E24" s="13">
        <v>0</v>
      </c>
      <c r="F24" s="13">
        <v>708639.7</v>
      </c>
      <c r="G24" s="13">
        <v>-708639.7</v>
      </c>
      <c r="H24" s="13">
        <v>0</v>
      </c>
      <c r="I24" s="13">
        <v>1.6216009999999999E-5</v>
      </c>
      <c r="J24" s="13">
        <v>43699290000</v>
      </c>
      <c r="K24" s="12">
        <v>0</v>
      </c>
      <c r="L24" s="13">
        <v>7.0864000000000003</v>
      </c>
      <c r="M24" s="13">
        <v>-2816730</v>
      </c>
      <c r="N24" s="12">
        <v>-3.9748410000000001</v>
      </c>
    </row>
    <row r="25" spans="1:14" ht="30" x14ac:dyDescent="0.2">
      <c r="A25" s="15"/>
      <c r="B25" s="11" t="s">
        <v>36</v>
      </c>
      <c r="C25" s="13">
        <v>3653.0949999999998</v>
      </c>
      <c r="D25" s="13">
        <v>3653.0949999999998</v>
      </c>
      <c r="E25" s="13">
        <v>0</v>
      </c>
      <c r="F25" s="13">
        <v>112774</v>
      </c>
      <c r="G25" s="13">
        <v>-112774</v>
      </c>
      <c r="H25" s="13">
        <v>0</v>
      </c>
      <c r="I25" s="13">
        <v>1.412852E-2</v>
      </c>
      <c r="J25" s="13">
        <v>7869238</v>
      </c>
      <c r="K25" s="12">
        <v>0</v>
      </c>
      <c r="L25" s="13">
        <v>0</v>
      </c>
      <c r="M25" s="13">
        <v>32.225209999999997</v>
      </c>
      <c r="N25" s="12">
        <v>2.8600000000000001E-4</v>
      </c>
    </row>
    <row r="26" spans="1:14" ht="30" x14ac:dyDescent="0.2">
      <c r="A26" s="15"/>
      <c r="B26" s="11" t="s">
        <v>35</v>
      </c>
      <c r="C26" s="13">
        <v>278.38099999999997</v>
      </c>
      <c r="D26" s="13">
        <v>278.38099999999997</v>
      </c>
      <c r="E26" s="13">
        <v>0</v>
      </c>
      <c r="F26" s="13">
        <v>71301.67</v>
      </c>
      <c r="G26" s="13">
        <v>-71301.67</v>
      </c>
      <c r="H26" s="13">
        <v>0</v>
      </c>
      <c r="I26" s="13">
        <v>0.1172219</v>
      </c>
      <c r="J26" s="13">
        <v>536960.80000000005</v>
      </c>
      <c r="K26" s="12">
        <v>0</v>
      </c>
      <c r="L26" s="13">
        <v>356508.3</v>
      </c>
      <c r="M26" s="13">
        <v>0</v>
      </c>
      <c r="N26" s="12" t="s">
        <v>77</v>
      </c>
    </row>
    <row r="27" spans="1:14" ht="30" x14ac:dyDescent="0.2">
      <c r="A27" s="16"/>
      <c r="B27" s="11" t="s">
        <v>75</v>
      </c>
      <c r="C27" s="13">
        <v>90000000</v>
      </c>
      <c r="D27" s="13">
        <v>90000000</v>
      </c>
      <c r="E27" s="13">
        <v>0</v>
      </c>
      <c r="F27" s="13">
        <v>37315.51</v>
      </c>
      <c r="G27" s="13">
        <v>-37315.51</v>
      </c>
      <c r="H27" s="13">
        <v>37315.51</v>
      </c>
      <c r="I27" s="13">
        <v>1.89756E-7</v>
      </c>
      <c r="J27" s="13">
        <v>196650000000</v>
      </c>
      <c r="K27" s="12">
        <v>0</v>
      </c>
      <c r="L27" s="13">
        <v>0.37315999999999999</v>
      </c>
      <c r="M27" s="13">
        <v>-54575.53</v>
      </c>
      <c r="N27" s="12">
        <v>-1.4625429999999999</v>
      </c>
    </row>
    <row r="28" spans="1:14" ht="30" x14ac:dyDescent="0.2">
      <c r="A28" s="14" t="s">
        <v>34</v>
      </c>
      <c r="B28" s="11" t="s">
        <v>33</v>
      </c>
      <c r="C28" s="13">
        <v>0</v>
      </c>
      <c r="D28" s="13">
        <v>0</v>
      </c>
      <c r="E28" s="13">
        <v>0</v>
      </c>
      <c r="F28" s="13">
        <v>1877552</v>
      </c>
      <c r="G28" s="13">
        <v>-1877552</v>
      </c>
      <c r="H28" s="13">
        <v>0</v>
      </c>
      <c r="I28" s="12" t="s">
        <v>77</v>
      </c>
      <c r="J28" s="13">
        <v>0</v>
      </c>
      <c r="K28" s="12">
        <v>0</v>
      </c>
      <c r="L28" s="13">
        <v>0</v>
      </c>
      <c r="M28" s="13">
        <v>-13991740</v>
      </c>
      <c r="N28" s="12">
        <v>-7.4521199999999999</v>
      </c>
    </row>
    <row r="29" spans="1:14" x14ac:dyDescent="0.2">
      <c r="A29" s="16"/>
      <c r="B29" s="11" t="s">
        <v>32</v>
      </c>
      <c r="C29" s="13">
        <v>0</v>
      </c>
      <c r="D29" s="13">
        <v>0</v>
      </c>
      <c r="E29" s="13">
        <v>0</v>
      </c>
      <c r="F29" s="13">
        <v>52178340</v>
      </c>
      <c r="G29" s="13">
        <v>-52178340</v>
      </c>
      <c r="H29" s="13">
        <v>0</v>
      </c>
      <c r="I29" s="12" t="s">
        <v>77</v>
      </c>
      <c r="J29" s="13">
        <v>0</v>
      </c>
      <c r="K29" s="12">
        <v>0</v>
      </c>
      <c r="L29" s="13">
        <v>0</v>
      </c>
      <c r="M29" s="13">
        <v>-398476000</v>
      </c>
      <c r="N29" s="12">
        <v>-7.6368090000000004</v>
      </c>
    </row>
    <row r="30" spans="1:14" ht="30" x14ac:dyDescent="0.2">
      <c r="A30" s="14" t="s">
        <v>31</v>
      </c>
      <c r="B30" s="11" t="s">
        <v>30</v>
      </c>
      <c r="C30" s="13">
        <v>26471.97</v>
      </c>
      <c r="D30" s="13">
        <v>26471.97</v>
      </c>
      <c r="E30" s="13">
        <v>4271644</v>
      </c>
      <c r="F30" s="13">
        <v>7231965</v>
      </c>
      <c r="G30" s="13">
        <v>-2960322</v>
      </c>
      <c r="H30" s="13">
        <v>0</v>
      </c>
      <c r="I30" s="13">
        <v>0.19888239999999999</v>
      </c>
      <c r="J30" s="13">
        <v>60801580</v>
      </c>
      <c r="K30" s="12">
        <v>0</v>
      </c>
      <c r="L30" s="13">
        <v>0</v>
      </c>
      <c r="M30" s="13">
        <v>15992070</v>
      </c>
      <c r="N30" s="12">
        <v>1.3901790000000001</v>
      </c>
    </row>
    <row r="31" spans="1:14" ht="45" x14ac:dyDescent="0.2">
      <c r="A31" s="15"/>
      <c r="B31" s="11" t="s">
        <v>29</v>
      </c>
      <c r="C31" s="13">
        <v>857.70799999999997</v>
      </c>
      <c r="D31" s="13">
        <v>857.70799999999997</v>
      </c>
      <c r="E31" s="13">
        <v>219438.6</v>
      </c>
      <c r="F31" s="13">
        <v>326672.3</v>
      </c>
      <c r="G31" s="13">
        <v>-107233.7</v>
      </c>
      <c r="H31" s="13">
        <v>0</v>
      </c>
      <c r="I31" s="13">
        <v>0.2914003</v>
      </c>
      <c r="J31" s="13">
        <v>1981326</v>
      </c>
      <c r="K31" s="12">
        <v>0</v>
      </c>
      <c r="L31" s="13">
        <v>0</v>
      </c>
      <c r="M31" s="13">
        <v>518962.3</v>
      </c>
      <c r="N31" s="12">
        <v>0.95028699999999999</v>
      </c>
    </row>
    <row r="32" spans="1:14" ht="45" x14ac:dyDescent="0.2">
      <c r="A32" s="15"/>
      <c r="B32" s="11" t="s">
        <v>28</v>
      </c>
      <c r="C32" s="13">
        <v>457.99400000000003</v>
      </c>
      <c r="D32" s="13">
        <v>457.99400000000003</v>
      </c>
      <c r="E32" s="13">
        <v>34596.76</v>
      </c>
      <c r="F32" s="13">
        <v>245532.6</v>
      </c>
      <c r="G32" s="13">
        <v>-210935.9</v>
      </c>
      <c r="H32" s="13">
        <v>0</v>
      </c>
      <c r="I32" s="13">
        <v>0.27992869999999997</v>
      </c>
      <c r="J32" s="13">
        <v>1211653</v>
      </c>
      <c r="K32" s="12">
        <v>0</v>
      </c>
      <c r="L32" s="13">
        <v>0</v>
      </c>
      <c r="M32" s="13">
        <v>523343.8</v>
      </c>
      <c r="N32" s="12">
        <v>1.868222</v>
      </c>
    </row>
    <row r="33" spans="1:14" ht="60" x14ac:dyDescent="0.2">
      <c r="A33" s="16"/>
      <c r="B33" s="11" t="s">
        <v>27</v>
      </c>
      <c r="C33" s="13">
        <v>5300</v>
      </c>
      <c r="D33" s="13">
        <v>5300</v>
      </c>
      <c r="E33" s="13">
        <v>1139088</v>
      </c>
      <c r="F33" s="13">
        <v>2345654</v>
      </c>
      <c r="G33" s="13">
        <v>-1206566</v>
      </c>
      <c r="H33" s="13">
        <v>0</v>
      </c>
      <c r="I33" s="13">
        <v>0.30091459999999998</v>
      </c>
      <c r="J33" s="13">
        <v>12787070</v>
      </c>
      <c r="K33" s="12">
        <v>0</v>
      </c>
      <c r="L33" s="13">
        <v>0</v>
      </c>
      <c r="M33" s="13">
        <v>9751333</v>
      </c>
      <c r="N33" s="12">
        <v>2.7982939999999998</v>
      </c>
    </row>
    <row r="34" spans="1:14" x14ac:dyDescent="0.2">
      <c r="A34" s="14" t="s">
        <v>26</v>
      </c>
      <c r="B34" s="11" t="s">
        <v>74</v>
      </c>
      <c r="C34" s="13">
        <v>10000000</v>
      </c>
      <c r="D34" s="13">
        <v>10000000</v>
      </c>
      <c r="E34" s="13">
        <v>354319.8</v>
      </c>
      <c r="F34" s="13">
        <v>354319.8</v>
      </c>
      <c r="G34" s="13">
        <v>0</v>
      </c>
      <c r="H34" s="13">
        <v>0</v>
      </c>
      <c r="I34" s="13">
        <v>0.99498929999999997</v>
      </c>
      <c r="J34" s="13">
        <v>0</v>
      </c>
      <c r="K34" s="12">
        <v>0</v>
      </c>
      <c r="L34" s="13">
        <v>0</v>
      </c>
      <c r="M34" s="13">
        <v>0</v>
      </c>
      <c r="N34" s="12" t="s">
        <v>77</v>
      </c>
    </row>
    <row r="35" spans="1:14" ht="30" x14ac:dyDescent="0.2">
      <c r="A35" s="16"/>
      <c r="B35" s="11" t="s">
        <v>25</v>
      </c>
      <c r="C35" s="13">
        <v>46768.01</v>
      </c>
      <c r="D35" s="13">
        <v>46768.01</v>
      </c>
      <c r="E35" s="13">
        <v>69612.429999999993</v>
      </c>
      <c r="F35" s="13">
        <v>77252.59</v>
      </c>
      <c r="G35" s="13">
        <v>-7640.1580000000004</v>
      </c>
      <c r="H35" s="13">
        <v>0</v>
      </c>
      <c r="I35" s="13">
        <v>0.74765630000000005</v>
      </c>
      <c r="J35" s="13">
        <v>0</v>
      </c>
      <c r="K35" s="12">
        <v>0</v>
      </c>
      <c r="L35" s="13">
        <v>0</v>
      </c>
      <c r="M35" s="13">
        <v>0</v>
      </c>
      <c r="N35" s="12" t="s">
        <v>77</v>
      </c>
    </row>
  </sheetData>
  <mergeCells count="5">
    <mergeCell ref="A34:A35"/>
    <mergeCell ref="A23:A27"/>
    <mergeCell ref="A2:A21"/>
    <mergeCell ref="A28:A29"/>
    <mergeCell ref="A30:A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2026-08-20T19:46:07Z</dcterms:modified>
</cp:coreProperties>
</file>