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"/>
    </mc:Choice>
  </mc:AlternateContent>
  <xr:revisionPtr revIDLastSave="0" documentId="13_ncr:1_{323A3E17-D118-3A4C-BAF3-014940C9A471}" xr6:coauthVersionLast="47" xr6:coauthVersionMax="47" xr10:uidLastSave="{00000000-0000-0000-0000-000000000000}"/>
  <bookViews>
    <workbookView xWindow="8700" yWindow="760" windowWidth="20620" windowHeight="17400" xr2:uid="{D4188A73-9F76-7B43-A2AE-82D891E862BC}"/>
  </bookViews>
  <sheets>
    <sheet name="Summary" sheetId="8" r:id="rId1"/>
    <sheet name="Inflexible" sheetId="9" r:id="rId2"/>
    <sheet name="Temporal" sheetId="10" r:id="rId3"/>
    <sheet name="Spatial" sheetId="11" r:id="rId4"/>
    <sheet name="Both" sheetId="12" r:id="rId5"/>
    <sheet name="CFE" sheetId="13" r:id="rId6"/>
    <sheet name="CFE_both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8" l="1"/>
  <c r="F23" i="8"/>
  <c r="E23" i="8"/>
  <c r="D23" i="8"/>
  <c r="C23" i="8"/>
  <c r="E14" i="8"/>
  <c r="F15" i="8"/>
  <c r="E13" i="8"/>
  <c r="C11" i="8"/>
  <c r="G13" i="8"/>
  <c r="B8" i="8"/>
  <c r="C13" i="8"/>
  <c r="D14" i="8"/>
  <c r="G12" i="8"/>
  <c r="F13" i="8"/>
  <c r="B12" i="8"/>
  <c r="B14" i="8"/>
  <c r="F14" i="8"/>
  <c r="D11" i="8"/>
  <c r="E15" i="8"/>
  <c r="G14" i="8"/>
  <c r="E11" i="8"/>
  <c r="C14" i="8"/>
  <c r="D13" i="8"/>
  <c r="D12" i="8"/>
  <c r="C15" i="8"/>
  <c r="B7" i="8"/>
  <c r="G11" i="8"/>
  <c r="B13" i="8"/>
  <c r="D15" i="8"/>
  <c r="E12" i="8"/>
  <c r="F12" i="8"/>
  <c r="F11" i="8"/>
  <c r="G15" i="8"/>
  <c r="C12" i="8"/>
  <c r="B11" i="8"/>
  <c r="B15" i="8"/>
  <c r="F20" i="8" l="1"/>
  <c r="C21" i="8"/>
  <c r="C18" i="8"/>
  <c r="C20" i="8"/>
  <c r="D20" i="8"/>
  <c r="D21" i="8"/>
  <c r="F21" i="8"/>
  <c r="E18" i="8"/>
  <c r="D19" i="8"/>
  <c r="E22" i="8"/>
  <c r="C22" i="8"/>
  <c r="E20" i="8"/>
  <c r="E19" i="8"/>
  <c r="G20" i="8"/>
  <c r="G22" i="8"/>
  <c r="F18" i="8"/>
  <c r="F19" i="8"/>
  <c r="G18" i="8"/>
  <c r="F22" i="8"/>
  <c r="C19" i="8"/>
  <c r="E21" i="8"/>
  <c r="G21" i="8"/>
  <c r="G19" i="8"/>
  <c r="D22" i="8"/>
  <c r="D18" i="8"/>
</calcChain>
</file>

<file path=xl/sharedStrings.xml><?xml version="1.0" encoding="utf-8"?>
<sst xmlns="http://schemas.openxmlformats.org/spreadsheetml/2006/main" count="323" uniqueCount="78">
  <si>
    <t>BIG SUMMARY</t>
  </si>
  <si>
    <t xml:space="preserve">Data Centre Allocation: </t>
  </si>
  <si>
    <t>Flexibility:</t>
  </si>
  <si>
    <t>x_CFE: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</si>
  <si>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</si>
  <si>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</si>
  <si>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</si>
  <si>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</si>
  <si>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</si>
  <si>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</si>
  <si>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</si>
  <si>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</si>
  <si>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</si>
  <si>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</si>
  <si>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</si>
  <si>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</si>
  <si>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</si>
  <si>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</si>
  <si>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</si>
  <si>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Objective Reduction w.r.t. Inflexible</t>
  </si>
  <si>
    <t>DC Cost Reduction w.r.t. Inflexible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</si>
  <si>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</si>
  <si>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</si>
  <si>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</si>
  <si>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</si>
  <si>
    <t>Hydrogen Gas</t>
  </si>
  <si>
    <t>Store</t>
  </si>
  <si>
    <t>Pumped Storage Hydroelectricity</t>
  </si>
  <si>
    <t>Liquid Air Energy Storage</t>
  </si>
  <si>
    <t>Domestic Battery Storage</t>
  </si>
  <si>
    <t>Battery Storage</t>
  </si>
  <si>
    <t>StorageUnit</t>
  </si>
  <si>
    <t>Electricity</t>
  </si>
  <si>
    <t>Data Centre</t>
  </si>
  <si>
    <t>Load</t>
  </si>
  <si>
    <t>H2 Power Generation</t>
  </si>
  <si>
    <t>Electrolysis</t>
  </si>
  <si>
    <t>DC</t>
  </si>
  <si>
    <t>Link</t>
  </si>
  <si>
    <t>AC</t>
  </si>
  <si>
    <t>Line</t>
  </si>
  <si>
    <t>Waste to Energy</t>
  </si>
  <si>
    <t>Solar PV</t>
  </si>
  <si>
    <t>Sewage Gas</t>
  </si>
  <si>
    <t>Open Cycle Gas Turbine</t>
  </si>
  <si>
    <t>Onshore Wind</t>
  </si>
  <si>
    <t>Oil</t>
  </si>
  <si>
    <t>Offshore Wind</t>
  </si>
  <si>
    <t>Nuclear</t>
  </si>
  <si>
    <t>Marine Energy</t>
  </si>
  <si>
    <t>Load Shedding</t>
  </si>
  <si>
    <t>Large Hydro</t>
  </si>
  <si>
    <t>Landfill Gas</t>
  </si>
  <si>
    <t>Geothermal</t>
  </si>
  <si>
    <t>Gas Engine</t>
  </si>
  <si>
    <t>European Imports</t>
  </si>
  <si>
    <t>Combined Heat &amp; Power</t>
  </si>
  <si>
    <t>Combined Cycle Gas Turbine</t>
  </si>
  <si>
    <t>Biomass</t>
  </si>
  <si>
    <t>Biogas</t>
  </si>
  <si>
    <t>Advanced Biofuel</t>
  </si>
  <si>
    <t>Generator</t>
  </si>
  <si>
    <t>Market Value</t>
  </si>
  <si>
    <t>Revenue</t>
  </si>
  <si>
    <t>Operational Expenditure</t>
  </si>
  <si>
    <t>Capital Expenditure</t>
  </si>
  <si>
    <t>Curtailment</t>
  </si>
  <si>
    <t>Capacity Factor</t>
  </si>
  <si>
    <t>Transmission</t>
  </si>
  <si>
    <t>Energy Balance</t>
  </si>
  <si>
    <t>Withdrawal</t>
  </si>
  <si>
    <t>Supply</t>
  </si>
  <si>
    <t>Installed Capacity</t>
  </si>
  <si>
    <t>Optimal Capacity</t>
  </si>
  <si>
    <t>DSM</t>
  </si>
  <si>
    <t>Virtual Link</t>
  </si>
  <si>
    <t>Current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</si>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</sst>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13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0" fontId="6" fillId="0" borderId="0" xfId="2" applyFont="1"/>
    <xf numFmtId="10" fontId="2" fillId="0" borderId="0" xfId="2" applyNumberFormat="1"/>
    <xf numFmtId="0" fontId="5" fillId="0" borderId="0" xfId="4"/>
    <xf numFmtId="0" fontId="7" fillId="0" borderId="1" xfId="4" applyFont="1" applyBorder="1" applyAlignment="1">
      <alignment horizontal="center" vertical="top"/>
    </xf>
    <xf numFmtId="0" fontId="7" fillId="0" borderId="1" xfId="4" applyFont="1" applyBorder="1" applyAlignment="1">
      <alignment horizontal="center" vertical="top"/>
    </xf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4"/>
  <sheetViews>
    <sheetView tabSelected="1" workbookViewId="0">
      <selection activeCell="B23" sqref="B23"/>
    </sheetView>
  </sheetViews>
  <sheetFormatPr baseColWidth="10" defaultRowHeight="16" x14ac:dyDescent="0.2"/>
  <cols>
    <col min="1" max="1" width="45.1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0</v>
      </c>
    </row>
    <row r="3" spans="1:7" x14ac:dyDescent="0.2">
      <c r="A3" s="4" t="s">
        <v>1</v>
      </c>
      <c r="B3" s="2" t="s">
        <v>76</v>
      </c>
    </row>
    <row r="4" spans="1:7" x14ac:dyDescent="0.2">
      <c r="A4" s="4" t="s">
        <v>4</v>
      </c>
      <c r="B4" s="2">
        <v>10</v>
      </c>
      <c r="D4" s="1"/>
    </row>
    <row r="5" spans="1:7" x14ac:dyDescent="0.2">
      <c r="A5" s="4" t="s">
        <v>2</v>
      </c>
      <c r="B5" s="6">
        <v>0.1</v>
      </c>
      <c r="D5" s="1"/>
    </row>
    <row r="6" spans="1:7" x14ac:dyDescent="0.2">
      <c r="A6" s="4" t="s">
        <v>3</v>
      </c>
      <c r="B6" s="6">
        <v>0.03</v>
      </c>
      <c r="D6" s="1"/>
    </row>
    <row r="7" spans="1:7" x14ac:dyDescent="0.2">
      <c r="A7" s="4" t="s">
        <v>5</v>
      </c>
      <c r="B7" s="3">
        <f ca="1">SUMIFS(INDIRECT(B$10&amp;"!$D$2:$D$35"), INDIRECT(B$10&amp;"!$B$2:$B$35"), "Solar PV")
+SUMIFS(INDIRECT(B$10&amp;"!$D$2:$D$35"), INDIRECT(B$10&amp;"!$B$2:$B$35"), "Offshore Wind")
+SUMIFS(INDIRECT(B$10&amp;"!$D$2:$D$35"), INDIRECT(B$10&amp;"!$B$2:$B$35"), "Onshore Wind")
+SUMIFS(INDIRECT(B$10&amp;"!$D$2:$D$35"), INDIRECT(B$10&amp;"!$B$2:$B$35"), "Large Hydro")
+SUMIFS(INDIRECT(B$10&amp;"!$D$2:$D$35"), INDIRECT(B$10&amp;"!$B$2:$B$35"), "Marine Energy")</f>
        <v>123437.01899999999</v>
      </c>
      <c r="D7" s="1"/>
    </row>
    <row r="8" spans="1:7" x14ac:dyDescent="0.2">
      <c r="A8" s="4" t="s">
        <v>16</v>
      </c>
      <c r="B8" s="3">
        <f ca="1">SUMIFS(INDIRECT(B$10&amp;"!$D$2:$D$35"), INDIRECT(B$10&amp;"!$B$2:$B$35"), "Battery Storage")
+SUMIFS(INDIRECT(B$10&amp;"!$D$2:$D$35"), INDIRECT(B$10&amp;"!$B$2:$B$35"), "Domestic Battery Storage")
+SUMIFS(INDIRECT(B$10&amp;"!$D$2:$D$35"), INDIRECT(B$10&amp;"!$B$2:$B$35"), "Liquid Air Energy Storage")
+SUMIFS(INDIRECT(B$10&amp;"!$D$2:$D$35"), INDIRECT(B$10&amp;"!$B$2:$B$35"), "Pumped Storage Hydroelectricity")</f>
        <v>33087.675000000003</v>
      </c>
      <c r="D8" s="1"/>
    </row>
    <row r="10" spans="1:7" x14ac:dyDescent="0.2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18</v>
      </c>
    </row>
    <row r="11" spans="1:7" x14ac:dyDescent="0.2">
      <c r="A11" s="4" t="s">
        <v>6</v>
      </c>
      <c r="B11" s="3">
        <f ca="1">SUMIFS(INDIRECT(B$10&amp;"!$J$2:$J$35"), INDIRECT(B$10&amp;"!$B$2:$B$35"), "Solar PV")
+SUMIFS(INDIRECT(B$10&amp;"!$J$2:$J$35"), INDIRECT(B$10&amp;"!$B$2:$B$35"), "Offshore Wind")
+SUMIFS(INDIRECT(B$10&amp;"!$J$2:$J$35"), INDIRECT(B$10&amp;"!$B$2:$B$35"), "Onshore Wind")
+SUMIFS(INDIRECT(B$10&amp;"!$J$2:$J$35"), INDIRECT(B$10&amp;"!$B$2:$B$35"), "Large Hydro")
+SUMIFS(INDIRECT(B$10&amp;"!$J$2:$J$35"), INDIRECT(B$10&amp;"!$B$2:$B$35"), "Marine Energy")</f>
        <v>10467141.299360001</v>
      </c>
      <c r="C11" s="3">
        <f t="shared" ref="C11:G11" ca="1" si="0">SUMIFS(INDIRECT(C$10&amp;"!$J$2:$J$35"), INDIRECT(C$10&amp;"!$B$2:$B$35"), "Solar PV")
+SUMIFS(INDIRECT(C$10&amp;"!$J$2:$J$35"), INDIRECT(C$10&amp;"!$B$2:$B$35"), "Offshore Wind")
+SUMIFS(INDIRECT(C$10&amp;"!$J$2:$J$35"), INDIRECT(C$10&amp;"!$B$2:$B$35"), "Onshore Wind")
+SUMIFS(INDIRECT(C$10&amp;"!$J$2:$J$35"), INDIRECT(C$10&amp;"!$B$2:$B$35"), "Large Hydro")
+SUMIFS(INDIRECT(C$10&amp;"!$J$2:$J$35"), INDIRECT(C$10&amp;"!$B$2:$B$35"), "Marine Energy")</f>
        <v>10399242.797850002</v>
      </c>
      <c r="D11" s="3">
        <f t="shared" ca="1" si="0"/>
        <v>10825490.247619998</v>
      </c>
      <c r="E11" s="3">
        <f t="shared" ca="1" si="0"/>
        <v>10667446.40326</v>
      </c>
      <c r="F11" s="3">
        <f t="shared" ca="1" si="0"/>
        <v>0</v>
      </c>
      <c r="G11" s="3">
        <f t="shared" ca="1" si="0"/>
        <v>0</v>
      </c>
    </row>
    <row r="12" spans="1:7" x14ac:dyDescent="0.2">
      <c r="A12" s="4" t="s">
        <v>7</v>
      </c>
      <c r="B12" s="3">
        <f ca="1">SUMIFS(INDIRECT(B$10&amp;"!$J$2:$J$35"), INDIRECT(B$10&amp;"!$B$2:$B$35"), "Offshore Wind")</f>
        <v>5945609.7109200004</v>
      </c>
      <c r="C12" s="3">
        <f t="shared" ref="C12:G12" ca="1" si="1">SUMIFS(INDIRECT(C$10&amp;"!$J$2:$J$35"), INDIRECT(C$10&amp;"!$B$2:$B$35"), "Offshore Wind")</f>
        <v>5708788.8343700003</v>
      </c>
      <c r="D12" s="3">
        <f t="shared" ca="1" si="1"/>
        <v>5835942.11735</v>
      </c>
      <c r="E12" s="3">
        <f t="shared" ca="1" si="1"/>
        <v>5876501.5757999998</v>
      </c>
      <c r="F12" s="3">
        <f t="shared" ca="1" si="1"/>
        <v>0</v>
      </c>
      <c r="G12" s="3">
        <f t="shared" ca="1" si="1"/>
        <v>0</v>
      </c>
    </row>
    <row r="13" spans="1:7" x14ac:dyDescent="0.2">
      <c r="A13" s="4" t="s">
        <v>8</v>
      </c>
      <c r="B13" s="5">
        <f ca="1">SUMIFS(INDIRECT(B$10&amp;"!$J$2:$J$35"), INDIRECT(B$10&amp;"!$B$2:$B$35"), "Onshore Wind")</f>
        <v>3066174.7617899999</v>
      </c>
      <c r="C13" s="5">
        <f t="shared" ref="C13:G13" ca="1" si="2">SUMIFS(INDIRECT(C$10&amp;"!$J$2:$J$35"), INDIRECT(C$10&amp;"!$B$2:$B$35"), "Onshore Wind")</f>
        <v>3106588.9176099999</v>
      </c>
      <c r="D13" s="5">
        <f t="shared" ca="1" si="2"/>
        <v>3386732.94569</v>
      </c>
      <c r="E13" s="5">
        <f t="shared" ca="1" si="2"/>
        <v>3208432.1283200001</v>
      </c>
      <c r="F13" s="5">
        <f t="shared" ca="1" si="2"/>
        <v>0</v>
      </c>
      <c r="G13" s="5">
        <f t="shared" ca="1" si="2"/>
        <v>0</v>
      </c>
    </row>
    <row r="14" spans="1:7" x14ac:dyDescent="0.2">
      <c r="A14" s="4" t="s">
        <v>9</v>
      </c>
      <c r="B14" s="5">
        <f ca="1">SUMIFS(INDIRECT(B$10&amp;"!$J$2:$J$35"), INDIRECT(B$10&amp;"!$B$2:$B$35"), "Solar PV")</f>
        <v>1162986.0913499999</v>
      </c>
      <c r="C14" s="5">
        <f t="shared" ref="C14:G14" ca="1" si="3">SUMIFS(INDIRECT(C$10&amp;"!$J$2:$J$35"), INDIRECT(C$10&amp;"!$B$2:$B$35"), "Solar PV")</f>
        <v>1278651.17141</v>
      </c>
      <c r="D14" s="5">
        <f t="shared" ca="1" si="3"/>
        <v>1275121.2988799999</v>
      </c>
      <c r="E14" s="5">
        <f t="shared" ca="1" si="3"/>
        <v>1268884.88711</v>
      </c>
      <c r="F14" s="5">
        <f t="shared" ca="1" si="3"/>
        <v>0</v>
      </c>
      <c r="G14" s="5">
        <f t="shared" ca="1" si="3"/>
        <v>0</v>
      </c>
    </row>
    <row r="15" spans="1:7" x14ac:dyDescent="0.2">
      <c r="A15" s="4" t="s">
        <v>17</v>
      </c>
      <c r="B15" s="3">
        <f ca="1">-SUMIFS(INDIRECT(B$10&amp;"!$M$2:$M$35"), INDIRECT(B$10&amp;"!$B$2:$B$35"), "Data Centre")</f>
        <v>44279873.668839999</v>
      </c>
      <c r="C15" s="3">
        <f t="shared" ref="C15:G15" ca="1" si="4">-SUMIFS(INDIRECT(C$10&amp;"!$M$2:$M$35"), INDIRECT(C$10&amp;"!$B$2:$B$35"), "Data Centre")</f>
        <v>43800867.850259997</v>
      </c>
      <c r="D15" s="3">
        <f t="shared" ca="1" si="4"/>
        <v>44245797.033830002</v>
      </c>
      <c r="E15" s="3">
        <f t="shared" ca="1" si="4"/>
        <v>43377600.619060002</v>
      </c>
      <c r="F15" s="3">
        <f t="shared" ca="1" si="4"/>
        <v>0</v>
      </c>
      <c r="G15" s="3">
        <f t="shared" ca="1" si="4"/>
        <v>0</v>
      </c>
    </row>
    <row r="16" spans="1:7" x14ac:dyDescent="0.2">
      <c r="A16" s="4" t="s">
        <v>10</v>
      </c>
      <c r="B16" s="3">
        <v>107387470.14957</v>
      </c>
      <c r="C16" s="3">
        <v>106219425.498326</v>
      </c>
      <c r="D16" s="3">
        <v>107228765.635968</v>
      </c>
      <c r="E16" s="3">
        <v>103390896.636123</v>
      </c>
      <c r="F16" s="3" t="s">
        <v>77</v>
      </c>
      <c r="G16" s="3" t="s">
        <v>77</v>
      </c>
    </row>
    <row r="17" spans="1:7" x14ac:dyDescent="0.2">
      <c r="A17" s="4"/>
      <c r="B17" s="3"/>
      <c r="C17" s="3"/>
      <c r="D17" s="3"/>
      <c r="E17" s="3"/>
      <c r="F17" s="3"/>
      <c r="G17" s="3"/>
    </row>
    <row r="18" spans="1:7" x14ac:dyDescent="0.2">
      <c r="A18" s="8" t="s">
        <v>21</v>
      </c>
      <c r="C18" s="9">
        <f ca="1">1-C$11/$B$11</f>
        <v>6.4868238201916117E-3</v>
      </c>
      <c r="D18" s="9">
        <f t="shared" ref="D18:G18" ca="1" si="5">1-D$11/$B$11</f>
        <v>-3.4235608177173082E-2</v>
      </c>
      <c r="E18" s="9">
        <f t="shared" ca="1" si="5"/>
        <v>-1.9136562521826939E-2</v>
      </c>
      <c r="F18" s="9">
        <f t="shared" ca="1" si="5"/>
        <v>1</v>
      </c>
      <c r="G18" s="9">
        <f t="shared" ca="1" si="5"/>
        <v>1</v>
      </c>
    </row>
    <row r="19" spans="1:7" x14ac:dyDescent="0.2">
      <c r="A19" s="8" t="s">
        <v>22</v>
      </c>
      <c r="C19" s="9">
        <f ca="1">1-C$12/$B$12</f>
        <v>3.9831218001922242E-2</v>
      </c>
      <c r="D19" s="9">
        <f t="shared" ref="D19:G19" ca="1" si="6">1-D$12/$B$12</f>
        <v>1.8445138329308719E-2</v>
      </c>
      <c r="E19" s="9">
        <f t="shared" ca="1" si="6"/>
        <v>1.1623389102226711E-2</v>
      </c>
      <c r="F19" s="9">
        <f t="shared" ca="1" si="6"/>
        <v>1</v>
      </c>
      <c r="G19" s="9">
        <f t="shared" ca="1" si="6"/>
        <v>1</v>
      </c>
    </row>
    <row r="20" spans="1:7" x14ac:dyDescent="0.2">
      <c r="A20" s="8" t="s">
        <v>23</v>
      </c>
      <c r="C20" s="9">
        <f ca="1">1-C$13/$B$13</f>
        <v>-1.3180643296537564E-2</v>
      </c>
      <c r="D20" s="9">
        <f t="shared" ref="D20:G20" ca="1" si="7">1-D$13/$B$13</f>
        <v>-0.10454661224621842</v>
      </c>
      <c r="E20" s="9">
        <f t="shared" ca="1" si="7"/>
        <v>-4.6395713741689049E-2</v>
      </c>
      <c r="F20" s="9">
        <f t="shared" ca="1" si="7"/>
        <v>1</v>
      </c>
      <c r="G20" s="9">
        <f t="shared" ca="1" si="7"/>
        <v>1</v>
      </c>
    </row>
    <row r="21" spans="1:7" x14ac:dyDescent="0.2">
      <c r="A21" s="8" t="s">
        <v>24</v>
      </c>
      <c r="C21" s="9">
        <f ca="1">1-C$14/$B$14</f>
        <v>-9.9455256533408365E-2</v>
      </c>
      <c r="D21" s="9">
        <f t="shared" ref="D21:G21" ca="1" si="8">1-D$14/$B$14</f>
        <v>-9.6420076184946302E-2</v>
      </c>
      <c r="E21" s="9">
        <f t="shared" ca="1" si="8"/>
        <v>-9.1057663154915591E-2</v>
      </c>
      <c r="F21" s="9">
        <f t="shared" ca="1" si="8"/>
        <v>1</v>
      </c>
      <c r="G21" s="9">
        <f t="shared" ca="1" si="8"/>
        <v>1</v>
      </c>
    </row>
    <row r="22" spans="1:7" x14ac:dyDescent="0.2">
      <c r="A22" s="8" t="s">
        <v>20</v>
      </c>
      <c r="C22" s="9">
        <f ca="1">1-C$15/$B$15</f>
        <v>1.081768710910036E-2</v>
      </c>
      <c r="D22" s="9">
        <f t="shared" ref="D22:G22" ca="1" si="9">1-D$15/$B$15</f>
        <v>7.6957389862597481E-4</v>
      </c>
      <c r="E22" s="9">
        <f t="shared" ca="1" si="9"/>
        <v>2.037659494080557E-2</v>
      </c>
      <c r="F22" s="9">
        <f t="shared" ca="1" si="9"/>
        <v>1</v>
      </c>
      <c r="G22" s="9">
        <f t="shared" ca="1" si="9"/>
        <v>1</v>
      </c>
    </row>
    <row r="23" spans="1:7" x14ac:dyDescent="0.2">
      <c r="A23" s="8" t="s">
        <v>19</v>
      </c>
      <c r="C23" s="9">
        <f>1-C$16/$B$16</f>
        <v>1.087691748038333E-2</v>
      </c>
      <c r="D23" s="9">
        <f t="shared" ref="D23:G23" si="10">1-D$16/$B$16</f>
        <v>1.4778680732581151E-3</v>
      </c>
      <c r="E23" s="9">
        <f t="shared" si="10"/>
        <v>3.7216385746684844E-2</v>
      </c>
      <c r="F23" s="9" t="e">
        <f t="shared" si="10"/>
        <v>#VALUE!</v>
      </c>
      <c r="G23" s="9" t="e">
        <f t="shared" si="10"/>
        <v>#VALUE!</v>
      </c>
    </row>
    <row r="24" spans="1:7" x14ac:dyDescent="0.2">
      <c r="A24" s="8"/>
    </row>
  </sheetData>
  <conditionalFormatting sqref="B11:G1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AF78-460C-4142-8138-3239AB1C21B5}">
  <dimension ref="A1:N32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4578851.0038700001</v>
      </c>
      <c r="F7" s="10">
        <v>0</v>
      </c>
      <c r="G7" s="10">
        <v>4578851.0038700001</v>
      </c>
      <c r="H7" s="10">
        <v>0</v>
      </c>
      <c r="I7" s="10">
        <v>0.1530181803577948</v>
      </c>
      <c r="J7" s="10">
        <v>25344723.996130001</v>
      </c>
      <c r="K7" s="10">
        <v>0</v>
      </c>
      <c r="L7" s="10">
        <v>59626240.441299997</v>
      </c>
      <c r="M7" s="10">
        <v>59626240.441299997</v>
      </c>
      <c r="N7" s="10">
        <v>13.022096699746671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5740.3320000000003</v>
      </c>
      <c r="F9" s="10">
        <v>0</v>
      </c>
      <c r="G9" s="10">
        <v>5740.3320000000003</v>
      </c>
      <c r="H9" s="10">
        <v>0</v>
      </c>
      <c r="I9" s="10">
        <v>0.2388318181818182</v>
      </c>
      <c r="J9" s="10">
        <v>18294.668000000001</v>
      </c>
      <c r="K9" s="10">
        <v>0</v>
      </c>
      <c r="L9" s="10">
        <v>71524.536720000004</v>
      </c>
      <c r="M9" s="10">
        <v>132731.88381999999</v>
      </c>
      <c r="N9" s="10">
        <v>23.122722341701081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13199.61887</v>
      </c>
      <c r="F10" s="10">
        <v>0</v>
      </c>
      <c r="G10" s="10">
        <v>13199.61887</v>
      </c>
      <c r="H10" s="10">
        <v>0</v>
      </c>
      <c r="I10" s="10">
        <v>7.238993246668375E-3</v>
      </c>
      <c r="J10" s="10">
        <v>1810207.06076</v>
      </c>
      <c r="K10" s="10">
        <v>0</v>
      </c>
      <c r="L10" s="10">
        <v>712779.41917000001</v>
      </c>
      <c r="M10" s="10">
        <v>786769.82593000005</v>
      </c>
      <c r="N10" s="10">
        <v>59.605450735140757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1398939.46218</v>
      </c>
      <c r="F11" s="10">
        <v>0</v>
      </c>
      <c r="G11" s="10">
        <v>1398939.46218</v>
      </c>
      <c r="H11" s="10">
        <v>0</v>
      </c>
      <c r="I11" s="10">
        <v>0.33745229526652659</v>
      </c>
      <c r="J11" s="10">
        <v>259297.24182</v>
      </c>
      <c r="K11" s="10">
        <v>0</v>
      </c>
      <c r="L11" s="10">
        <v>0</v>
      </c>
      <c r="M11" s="10">
        <v>10843118.00382</v>
      </c>
      <c r="N11" s="10">
        <v>7.7509558851586151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240696.05733000001</v>
      </c>
      <c r="F13" s="10">
        <v>0</v>
      </c>
      <c r="G13" s="10">
        <v>240696.05733000001</v>
      </c>
      <c r="H13" s="10">
        <v>0</v>
      </c>
      <c r="I13" s="10">
        <v>0.43308399971693429</v>
      </c>
      <c r="J13" s="10">
        <v>33073.493479999997</v>
      </c>
      <c r="K13" s="10">
        <v>0</v>
      </c>
      <c r="L13" s="10">
        <v>0</v>
      </c>
      <c r="M13" s="10">
        <v>2332259.3823299999</v>
      </c>
      <c r="N13" s="10">
        <v>9.6896450365373941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4655967.0673000002</v>
      </c>
      <c r="F14" s="10">
        <v>0</v>
      </c>
      <c r="G14" s="10">
        <v>4655967.0673000002</v>
      </c>
      <c r="H14" s="10">
        <v>0</v>
      </c>
      <c r="I14" s="10">
        <v>0.46627513785557978</v>
      </c>
      <c r="J14" s="10">
        <v>5329482.9326999998</v>
      </c>
      <c r="K14" s="10">
        <v>0</v>
      </c>
      <c r="L14" s="10">
        <v>46559670.672990002</v>
      </c>
      <c r="M14" s="10">
        <v>86904613.646280006</v>
      </c>
      <c r="N14" s="10">
        <v>18.665212242292419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26169236.398650002</v>
      </c>
      <c r="F15" s="10">
        <v>0</v>
      </c>
      <c r="G15" s="10">
        <v>26169236.398650002</v>
      </c>
      <c r="H15" s="10">
        <v>0</v>
      </c>
      <c r="I15" s="10">
        <v>0.22368000236514871</v>
      </c>
      <c r="J15" s="10">
        <v>5945609.7109200004</v>
      </c>
      <c r="K15" s="10">
        <v>0</v>
      </c>
      <c r="L15" s="10">
        <v>0</v>
      </c>
      <c r="M15" s="10">
        <v>121128921.03978001</v>
      </c>
      <c r="N15" s="10">
        <v>4.6286761749146894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11268959.594629999</v>
      </c>
      <c r="F17" s="10">
        <v>0</v>
      </c>
      <c r="G17" s="10">
        <v>11268959.594629999</v>
      </c>
      <c r="H17" s="10">
        <v>0</v>
      </c>
      <c r="I17" s="10">
        <v>0.1891191214789506</v>
      </c>
      <c r="J17" s="10">
        <v>3066174.7617899999</v>
      </c>
      <c r="K17" s="10">
        <v>0</v>
      </c>
      <c r="L17" s="10">
        <v>0</v>
      </c>
      <c r="M17" s="10">
        <v>49522195.526900001</v>
      </c>
      <c r="N17" s="10">
        <v>4.3945667834469244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13402555.367869999</v>
      </c>
      <c r="F20" s="10">
        <v>0</v>
      </c>
      <c r="G20" s="10">
        <v>13402555.367869999</v>
      </c>
      <c r="H20" s="10">
        <v>0</v>
      </c>
      <c r="I20" s="10">
        <v>0.15156482974158261</v>
      </c>
      <c r="J20" s="10">
        <v>1162986.0913499999</v>
      </c>
      <c r="K20" s="10">
        <v>0</v>
      </c>
      <c r="L20" s="10">
        <v>0</v>
      </c>
      <c r="M20" s="10">
        <v>106498051.47352999</v>
      </c>
      <c r="N20" s="10">
        <v>7.946100463362856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32512010.881499998</v>
      </c>
      <c r="F22" s="10">
        <v>25060677.698419999</v>
      </c>
      <c r="G22" s="10">
        <v>7451333.1830799999</v>
      </c>
      <c r="H22" s="10">
        <v>-7451333.1830799999</v>
      </c>
      <c r="I22" s="10">
        <v>0.11416402322357019</v>
      </c>
      <c r="J22" s="10">
        <v>0</v>
      </c>
      <c r="K22" s="10">
        <v>0</v>
      </c>
      <c r="L22" s="10">
        <v>0</v>
      </c>
      <c r="M22" s="10">
        <v>117198707.27477001</v>
      </c>
      <c r="N22" s="10">
        <v>2.035665002952197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10230646.20682</v>
      </c>
      <c r="F23" s="10">
        <v>5534388.7669599997</v>
      </c>
      <c r="G23" s="10">
        <v>4696257.4398699999</v>
      </c>
      <c r="H23" s="10">
        <v>-4696257.4398699999</v>
      </c>
      <c r="I23" s="10">
        <v>0.57952762891566267</v>
      </c>
      <c r="J23" s="10">
        <v>31899507.43987</v>
      </c>
      <c r="K23" s="10">
        <v>0</v>
      </c>
      <c r="L23" s="10">
        <v>0</v>
      </c>
      <c r="M23" s="10">
        <v>103364705.95665</v>
      </c>
      <c r="N23" s="10">
        <v>6.5565795534531848</v>
      </c>
    </row>
    <row r="24" spans="1:14" x14ac:dyDescent="0.2">
      <c r="A24" s="12"/>
      <c r="B24" s="11" t="s">
        <v>36</v>
      </c>
      <c r="C24" s="10">
        <v>3653.0947500000002</v>
      </c>
      <c r="D24" s="10">
        <v>3653.0947500000002</v>
      </c>
      <c r="E24" s="10">
        <v>0</v>
      </c>
      <c r="F24" s="10">
        <v>129845.75915</v>
      </c>
      <c r="G24" s="10">
        <v>-129845.75915</v>
      </c>
      <c r="H24" s="10">
        <v>0</v>
      </c>
      <c r="I24" s="10">
        <v>1.6267297748025839E-2</v>
      </c>
      <c r="J24" s="10">
        <v>7852166.27948</v>
      </c>
      <c r="K24" s="10">
        <v>0</v>
      </c>
      <c r="L24" s="10">
        <v>0</v>
      </c>
      <c r="M24" s="10">
        <v>0</v>
      </c>
    </row>
    <row r="25" spans="1:14" x14ac:dyDescent="0.2">
      <c r="A25" s="12"/>
      <c r="B25" s="11" t="s">
        <v>35</v>
      </c>
      <c r="C25" s="10">
        <v>278.38099999999997</v>
      </c>
      <c r="D25" s="10">
        <v>278.38099999999997</v>
      </c>
      <c r="E25" s="10">
        <v>0</v>
      </c>
      <c r="F25" s="10">
        <v>83451.015870000003</v>
      </c>
      <c r="G25" s="10">
        <v>-83451.015870000003</v>
      </c>
      <c r="H25" s="10">
        <v>0</v>
      </c>
      <c r="I25" s="10">
        <v>0.1371957137879381</v>
      </c>
      <c r="J25" s="10">
        <v>524811.46912999998</v>
      </c>
      <c r="K25" s="10">
        <v>0</v>
      </c>
      <c r="L25" s="10">
        <v>417255.07935999997</v>
      </c>
      <c r="M25" s="10">
        <v>0</v>
      </c>
    </row>
    <row r="26" spans="1:14" x14ac:dyDescent="0.2">
      <c r="A26" s="12" t="s">
        <v>34</v>
      </c>
      <c r="B26" s="11" t="s">
        <v>33</v>
      </c>
      <c r="C26" s="10">
        <v>0</v>
      </c>
      <c r="D26" s="10">
        <v>0</v>
      </c>
      <c r="E26" s="10">
        <v>0</v>
      </c>
      <c r="F26" s="10">
        <v>4693863.9985400001</v>
      </c>
      <c r="G26" s="10">
        <v>-4693863.9985400001</v>
      </c>
      <c r="H26" s="10">
        <v>0</v>
      </c>
      <c r="J26" s="10">
        <v>0</v>
      </c>
      <c r="K26" s="10">
        <v>0</v>
      </c>
      <c r="L26" s="10">
        <v>0</v>
      </c>
      <c r="M26" s="10">
        <v>-44279873.668839999</v>
      </c>
      <c r="N26" s="10">
        <v>-9.4335655404549037</v>
      </c>
    </row>
    <row r="27" spans="1:14" x14ac:dyDescent="0.2">
      <c r="A27" s="12"/>
      <c r="B27" s="11" t="s">
        <v>32</v>
      </c>
      <c r="C27" s="10">
        <v>0</v>
      </c>
      <c r="D27" s="10">
        <v>0</v>
      </c>
      <c r="E27" s="10">
        <v>0</v>
      </c>
      <c r="F27" s="10">
        <v>52178335.791649997</v>
      </c>
      <c r="G27" s="10">
        <v>-52178335.791649997</v>
      </c>
      <c r="H27" s="10">
        <v>0</v>
      </c>
      <c r="J27" s="10">
        <v>0</v>
      </c>
      <c r="K27" s="10">
        <v>0</v>
      </c>
      <c r="L27" s="10">
        <v>0</v>
      </c>
      <c r="M27" s="10">
        <v>-486524984.38490999</v>
      </c>
      <c r="N27" s="10">
        <v>-9.3242717895860334</v>
      </c>
    </row>
    <row r="28" spans="1:14" x14ac:dyDescent="0.2">
      <c r="A28" s="12" t="s">
        <v>31</v>
      </c>
      <c r="B28" s="11" t="s">
        <v>30</v>
      </c>
      <c r="C28" s="10">
        <v>26471.973000000002</v>
      </c>
      <c r="D28" s="10">
        <v>26471.973000000002</v>
      </c>
      <c r="E28" s="10">
        <v>2753827.8749199999</v>
      </c>
      <c r="F28" s="10">
        <v>5935937.3766999999</v>
      </c>
      <c r="G28" s="10">
        <v>-3182109.50178</v>
      </c>
      <c r="H28" s="10">
        <v>0</v>
      </c>
      <c r="I28" s="10">
        <v>0.15023471314359529</v>
      </c>
      <c r="J28" s="10">
        <v>61023370.506779999</v>
      </c>
      <c r="K28" s="10">
        <v>0</v>
      </c>
      <c r="L28" s="10">
        <v>0</v>
      </c>
      <c r="M28" s="10">
        <v>20141791.428470001</v>
      </c>
      <c r="N28" s="10">
        <v>2.3178752057573151</v>
      </c>
    </row>
    <row r="29" spans="1:14" x14ac:dyDescent="0.2">
      <c r="A29" s="12"/>
      <c r="B29" s="11" t="s">
        <v>29</v>
      </c>
      <c r="C29" s="10">
        <v>857.70799999999997</v>
      </c>
      <c r="D29" s="10">
        <v>857.70799999999997</v>
      </c>
      <c r="E29" s="10">
        <v>144081.42162000001</v>
      </c>
      <c r="F29" s="10">
        <v>268702.18138000002</v>
      </c>
      <c r="G29" s="10">
        <v>-124620.75976</v>
      </c>
      <c r="H29" s="10">
        <v>0</v>
      </c>
      <c r="I29" s="10">
        <v>0.22025791994478311</v>
      </c>
      <c r="J29" s="10">
        <v>1998712.73976</v>
      </c>
      <c r="K29" s="10">
        <v>0</v>
      </c>
      <c r="L29" s="10">
        <v>0</v>
      </c>
      <c r="M29" s="10">
        <v>662003.73950999998</v>
      </c>
      <c r="N29" s="10">
        <v>1.603754940397629</v>
      </c>
    </row>
    <row r="30" spans="1:14" x14ac:dyDescent="0.2">
      <c r="A30" s="12"/>
      <c r="B30" s="11" t="s">
        <v>28</v>
      </c>
      <c r="C30" s="10">
        <v>457.99400000000003</v>
      </c>
      <c r="D30" s="10">
        <v>457.99400000000003</v>
      </c>
      <c r="E30" s="10">
        <v>30804.480299999999</v>
      </c>
      <c r="F30" s="10">
        <v>235853.93409</v>
      </c>
      <c r="G30" s="10">
        <v>-205049.45379</v>
      </c>
      <c r="H30" s="10">
        <v>0</v>
      </c>
      <c r="I30" s="10">
        <v>0.26646737730188602</v>
      </c>
      <c r="J30" s="10">
        <v>1205766.3437900001</v>
      </c>
      <c r="K30" s="10">
        <v>0</v>
      </c>
      <c r="L30" s="10">
        <v>0</v>
      </c>
      <c r="M30" s="10">
        <v>664777.54905000003</v>
      </c>
      <c r="N30" s="10">
        <v>2.492993061481414</v>
      </c>
    </row>
    <row r="31" spans="1:14" x14ac:dyDescent="0.2">
      <c r="A31" s="12"/>
      <c r="B31" s="11" t="s">
        <v>27</v>
      </c>
      <c r="C31" s="10">
        <v>5300</v>
      </c>
      <c r="D31" s="10">
        <v>5300</v>
      </c>
      <c r="E31" s="10">
        <v>830398.89890999999</v>
      </c>
      <c r="F31" s="10">
        <v>2209850.4808700001</v>
      </c>
      <c r="G31" s="10">
        <v>-1379451.5819600001</v>
      </c>
      <c r="H31" s="10">
        <v>0</v>
      </c>
      <c r="I31" s="10">
        <v>0.26253178867924531</v>
      </c>
      <c r="J31" s="10">
        <v>12959951.58196</v>
      </c>
      <c r="K31" s="10">
        <v>0</v>
      </c>
      <c r="L31" s="10">
        <v>0</v>
      </c>
      <c r="M31" s="10">
        <v>12275408.83574</v>
      </c>
      <c r="N31" s="10">
        <v>4.0376322154352868</v>
      </c>
    </row>
    <row r="32" spans="1:14" x14ac:dyDescent="0.2">
      <c r="A32" s="11" t="s">
        <v>26</v>
      </c>
      <c r="B32" s="11" t="s">
        <v>25</v>
      </c>
      <c r="C32" s="10">
        <v>46768.008000000002</v>
      </c>
      <c r="D32" s="10">
        <v>46768.008000000002</v>
      </c>
      <c r="E32" s="10">
        <v>82122.679879999996</v>
      </c>
      <c r="F32" s="10">
        <v>89563.69541</v>
      </c>
      <c r="G32" s="10">
        <v>-7441.0155299999997</v>
      </c>
      <c r="H32" s="10">
        <v>0</v>
      </c>
      <c r="I32" s="10">
        <v>0.72816851639265889</v>
      </c>
      <c r="J32" s="10">
        <v>0</v>
      </c>
      <c r="K32" s="10">
        <v>0</v>
      </c>
      <c r="L32" s="10">
        <v>0</v>
      </c>
      <c r="M32" s="10">
        <v>0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64A4-27CD-8A4E-A16B-205DCE78E756}">
  <dimension ref="A1:N34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4532511.90001</v>
      </c>
      <c r="F7" s="10">
        <v>0</v>
      </c>
      <c r="G7" s="10">
        <v>4532511.90001</v>
      </c>
      <c r="H7" s="10">
        <v>0</v>
      </c>
      <c r="I7" s="10">
        <v>0.15146959912376781</v>
      </c>
      <c r="J7" s="10">
        <v>25391063.099989999</v>
      </c>
      <c r="K7" s="10">
        <v>0</v>
      </c>
      <c r="L7" s="10">
        <v>58483834.328510001</v>
      </c>
      <c r="M7" s="10">
        <v>58483834.328510001</v>
      </c>
      <c r="N7" s="10">
        <v>12.903183817924329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5738.683</v>
      </c>
      <c r="F9" s="10">
        <v>0</v>
      </c>
      <c r="G9" s="10">
        <v>5738.683</v>
      </c>
      <c r="H9" s="10">
        <v>0</v>
      </c>
      <c r="I9" s="10">
        <v>0.23876363636363629</v>
      </c>
      <c r="J9" s="10">
        <v>18296.316999999999</v>
      </c>
      <c r="K9" s="10">
        <v>0</v>
      </c>
      <c r="L9" s="10">
        <v>71503.990179999993</v>
      </c>
      <c r="M9" s="10">
        <v>131006.42859</v>
      </c>
      <c r="N9" s="10">
        <v>22.828655193420651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13199.61887</v>
      </c>
      <c r="F10" s="10">
        <v>0</v>
      </c>
      <c r="G10" s="10">
        <v>13199.61887</v>
      </c>
      <c r="H10" s="10">
        <v>0</v>
      </c>
      <c r="I10" s="10">
        <v>7.238993246668375E-3</v>
      </c>
      <c r="J10" s="10">
        <v>1810207.06076</v>
      </c>
      <c r="K10" s="10">
        <v>0</v>
      </c>
      <c r="L10" s="10">
        <v>712779.41917000001</v>
      </c>
      <c r="M10" s="10">
        <v>778613.23126000003</v>
      </c>
      <c r="N10" s="10">
        <v>58.987510387318707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1388876.58339</v>
      </c>
      <c r="F11" s="10">
        <v>0</v>
      </c>
      <c r="G11" s="10">
        <v>1388876.58339</v>
      </c>
      <c r="H11" s="10">
        <v>0</v>
      </c>
      <c r="I11" s="10">
        <v>0.3350249302164765</v>
      </c>
      <c r="J11" s="10">
        <v>269360.12060999998</v>
      </c>
      <c r="K11" s="10">
        <v>0</v>
      </c>
      <c r="L11" s="10">
        <v>0</v>
      </c>
      <c r="M11" s="10">
        <v>10716590.177270001</v>
      </c>
      <c r="N11" s="10">
        <v>7.7160132537610124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237915.79696000001</v>
      </c>
      <c r="F13" s="10">
        <v>0</v>
      </c>
      <c r="G13" s="10">
        <v>237915.79696000001</v>
      </c>
      <c r="H13" s="10">
        <v>0</v>
      </c>
      <c r="I13" s="10">
        <v>0.4280814835782637</v>
      </c>
      <c r="J13" s="10">
        <v>35853.753850000001</v>
      </c>
      <c r="K13" s="10">
        <v>0</v>
      </c>
      <c r="L13" s="10">
        <v>0</v>
      </c>
      <c r="M13" s="10">
        <v>2307094.0878699999</v>
      </c>
      <c r="N13" s="10">
        <v>9.6971032534500559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4654176.5698899999</v>
      </c>
      <c r="F14" s="10">
        <v>0</v>
      </c>
      <c r="G14" s="10">
        <v>4654176.5698899999</v>
      </c>
      <c r="H14" s="10">
        <v>0</v>
      </c>
      <c r="I14" s="10">
        <v>0.46609582713347919</v>
      </c>
      <c r="J14" s="10">
        <v>5331273.4301100001</v>
      </c>
      <c r="K14" s="10">
        <v>0</v>
      </c>
      <c r="L14" s="10">
        <v>46541765.698890001</v>
      </c>
      <c r="M14" s="10">
        <v>85907620.888750002</v>
      </c>
      <c r="N14" s="10">
        <v>18.458178257151911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26406057.275189999</v>
      </c>
      <c r="F15" s="10">
        <v>0</v>
      </c>
      <c r="G15" s="10">
        <v>26406057.275189999</v>
      </c>
      <c r="H15" s="10">
        <v>0</v>
      </c>
      <c r="I15" s="10">
        <v>0.2257042148092897</v>
      </c>
      <c r="J15" s="10">
        <v>5708788.8343700003</v>
      </c>
      <c r="K15" s="10">
        <v>0</v>
      </c>
      <c r="L15" s="10">
        <v>0</v>
      </c>
      <c r="M15" s="10">
        <v>120016907.5808</v>
      </c>
      <c r="N15" s="10">
        <v>4.5450521575439309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11228545.4388</v>
      </c>
      <c r="F17" s="10">
        <v>0</v>
      </c>
      <c r="G17" s="10">
        <v>11228545.4388</v>
      </c>
      <c r="H17" s="10">
        <v>0</v>
      </c>
      <c r="I17" s="10">
        <v>0.18844087881587079</v>
      </c>
      <c r="J17" s="10">
        <v>3106588.9176099999</v>
      </c>
      <c r="K17" s="10">
        <v>0</v>
      </c>
      <c r="L17" s="10">
        <v>0</v>
      </c>
      <c r="M17" s="10">
        <v>49047394.263429999</v>
      </c>
      <c r="N17" s="10">
        <v>4.3680986562474651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13286890.28781</v>
      </c>
      <c r="F20" s="10">
        <v>0</v>
      </c>
      <c r="G20" s="10">
        <v>13286890.28781</v>
      </c>
      <c r="H20" s="10">
        <v>0</v>
      </c>
      <c r="I20" s="10">
        <v>0.15025681348220191</v>
      </c>
      <c r="J20" s="10">
        <v>1278651.17141</v>
      </c>
      <c r="K20" s="10">
        <v>0</v>
      </c>
      <c r="L20" s="10">
        <v>0</v>
      </c>
      <c r="M20" s="10">
        <v>105712588.70051999</v>
      </c>
      <c r="N20" s="10">
        <v>7.9561572700900607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31906930.114980001</v>
      </c>
      <c r="F22" s="10">
        <v>25176779.640769999</v>
      </c>
      <c r="G22" s="10">
        <v>6730150.4742200002</v>
      </c>
      <c r="H22" s="10">
        <v>-6730150.4742200002</v>
      </c>
      <c r="I22" s="10">
        <v>0.1131944004332756</v>
      </c>
      <c r="J22" s="10">
        <v>0</v>
      </c>
      <c r="K22" s="10">
        <v>0</v>
      </c>
      <c r="L22" s="10">
        <v>0</v>
      </c>
      <c r="M22" s="10">
        <v>113403818.65595999</v>
      </c>
      <c r="N22" s="10">
        <v>1.986623139135522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10174735.54937</v>
      </c>
      <c r="F23" s="10">
        <v>5526005.3955199998</v>
      </c>
      <c r="G23" s="10">
        <v>4648730.15386</v>
      </c>
      <c r="H23" s="10">
        <v>-4648730.15386</v>
      </c>
      <c r="I23" s="10">
        <v>0.57716416064257026</v>
      </c>
      <c r="J23" s="10">
        <v>31851980.153859999</v>
      </c>
      <c r="K23" s="10">
        <v>0</v>
      </c>
      <c r="L23" s="10">
        <v>0</v>
      </c>
      <c r="M23" s="10">
        <v>101011645.33471</v>
      </c>
      <c r="N23" s="10">
        <v>6.4335591324528743</v>
      </c>
    </row>
    <row r="24" spans="1:14" x14ac:dyDescent="0.2">
      <c r="A24" s="12"/>
      <c r="B24" s="11" t="s">
        <v>74</v>
      </c>
      <c r="C24" s="10">
        <v>38000000</v>
      </c>
      <c r="D24" s="10">
        <v>38000000</v>
      </c>
      <c r="E24" s="10">
        <v>0</v>
      </c>
      <c r="F24" s="10">
        <v>293211.56070999999</v>
      </c>
      <c r="G24" s="10">
        <v>-293211.56070999999</v>
      </c>
      <c r="H24" s="10">
        <v>0</v>
      </c>
      <c r="I24" s="10">
        <v>3.531392894736842E-6</v>
      </c>
      <c r="J24" s="10">
        <v>83029706788.439285</v>
      </c>
      <c r="K24" s="10">
        <v>0</v>
      </c>
      <c r="L24" s="10">
        <v>2.9321199999999998</v>
      </c>
      <c r="M24" s="10">
        <v>-2556791.8827399998</v>
      </c>
      <c r="N24" s="10">
        <v>-8.7199561854711725</v>
      </c>
    </row>
    <row r="25" spans="1:14" x14ac:dyDescent="0.2">
      <c r="A25" s="12"/>
      <c r="B25" s="11" t="s">
        <v>36</v>
      </c>
      <c r="C25" s="10">
        <v>3653.0947500000002</v>
      </c>
      <c r="D25" s="10">
        <v>3653.0947500000002</v>
      </c>
      <c r="E25" s="10">
        <v>0</v>
      </c>
      <c r="F25" s="10">
        <v>127255.30052999999</v>
      </c>
      <c r="G25" s="10">
        <v>-127255.30052999999</v>
      </c>
      <c r="H25" s="10">
        <v>0</v>
      </c>
      <c r="I25" s="10">
        <v>1.594275921805751E-2</v>
      </c>
      <c r="J25" s="10">
        <v>7854756.7380999997</v>
      </c>
      <c r="K25" s="10">
        <v>0</v>
      </c>
      <c r="L25" s="10">
        <v>0</v>
      </c>
      <c r="M25" s="10">
        <v>0</v>
      </c>
    </row>
    <row r="26" spans="1:14" x14ac:dyDescent="0.2">
      <c r="A26" s="12"/>
      <c r="B26" s="11" t="s">
        <v>35</v>
      </c>
      <c r="C26" s="10">
        <v>278.38099999999997</v>
      </c>
      <c r="D26" s="10">
        <v>278.38099999999997</v>
      </c>
      <c r="E26" s="10">
        <v>0</v>
      </c>
      <c r="F26" s="10">
        <v>81907.825880000004</v>
      </c>
      <c r="G26" s="10">
        <v>-81907.825880000004</v>
      </c>
      <c r="H26" s="10">
        <v>0</v>
      </c>
      <c r="I26" s="10">
        <v>0.13465868719488761</v>
      </c>
      <c r="J26" s="10">
        <v>526354.65911999997</v>
      </c>
      <c r="K26" s="10">
        <v>0</v>
      </c>
      <c r="L26" s="10">
        <v>409539.12942000001</v>
      </c>
      <c r="M26" s="10">
        <v>0</v>
      </c>
    </row>
    <row r="27" spans="1:14" x14ac:dyDescent="0.2">
      <c r="A27" s="12" t="s">
        <v>34</v>
      </c>
      <c r="B27" s="11" t="s">
        <v>33</v>
      </c>
      <c r="C27" s="10">
        <v>0</v>
      </c>
      <c r="D27" s="10">
        <v>0</v>
      </c>
      <c r="E27" s="10">
        <v>0</v>
      </c>
      <c r="F27" s="10">
        <v>4693863.9985400001</v>
      </c>
      <c r="G27" s="10">
        <v>-4693863.9985400001</v>
      </c>
      <c r="H27" s="10">
        <v>0</v>
      </c>
      <c r="J27" s="10">
        <v>0</v>
      </c>
      <c r="K27" s="10">
        <v>0</v>
      </c>
      <c r="L27" s="10">
        <v>0</v>
      </c>
      <c r="M27" s="10">
        <v>-43800867.850259997</v>
      </c>
      <c r="N27" s="10">
        <v>-9.3315161805637068</v>
      </c>
    </row>
    <row r="28" spans="1:14" x14ac:dyDescent="0.2">
      <c r="A28" s="12"/>
      <c r="B28" s="11" t="s">
        <v>32</v>
      </c>
      <c r="C28" s="10">
        <v>0</v>
      </c>
      <c r="D28" s="10">
        <v>0</v>
      </c>
      <c r="E28" s="10">
        <v>0</v>
      </c>
      <c r="F28" s="10">
        <v>52178335.791649997</v>
      </c>
      <c r="G28" s="10">
        <v>-52178335.791649997</v>
      </c>
      <c r="H28" s="10">
        <v>0</v>
      </c>
      <c r="J28" s="10">
        <v>0</v>
      </c>
      <c r="K28" s="10">
        <v>0</v>
      </c>
      <c r="L28" s="10">
        <v>0</v>
      </c>
      <c r="M28" s="10">
        <v>-481150390.54361999</v>
      </c>
      <c r="N28" s="10">
        <v>-9.2212674729063213</v>
      </c>
    </row>
    <row r="29" spans="1:14" x14ac:dyDescent="0.2">
      <c r="A29" s="12" t="s">
        <v>31</v>
      </c>
      <c r="B29" s="11" t="s">
        <v>30</v>
      </c>
      <c r="C29" s="10">
        <v>26471.973000000002</v>
      </c>
      <c r="D29" s="10">
        <v>26471.973000000002</v>
      </c>
      <c r="E29" s="10">
        <v>2645560.6790100001</v>
      </c>
      <c r="F29" s="10">
        <v>5863839.7131000003</v>
      </c>
      <c r="G29" s="10">
        <v>-3218279.0340999998</v>
      </c>
      <c r="H29" s="10">
        <v>0</v>
      </c>
      <c r="I29" s="10">
        <v>0.14711643971531699</v>
      </c>
      <c r="J29" s="10">
        <v>61059540.039099999</v>
      </c>
      <c r="K29" s="10">
        <v>0</v>
      </c>
      <c r="L29" s="10">
        <v>0</v>
      </c>
      <c r="M29" s="10">
        <v>19578127.107659999</v>
      </c>
      <c r="N29" s="10">
        <v>2.3007645917918498</v>
      </c>
    </row>
    <row r="30" spans="1:14" x14ac:dyDescent="0.2">
      <c r="A30" s="12"/>
      <c r="B30" s="11" t="s">
        <v>29</v>
      </c>
      <c r="C30" s="10">
        <v>857.70799999999997</v>
      </c>
      <c r="D30" s="10">
        <v>857.70799999999997</v>
      </c>
      <c r="E30" s="10">
        <v>139530.34106999999</v>
      </c>
      <c r="F30" s="10">
        <v>264210.54371</v>
      </c>
      <c r="G30" s="10">
        <v>-124680.20264</v>
      </c>
      <c r="H30" s="10">
        <v>0</v>
      </c>
      <c r="I30" s="10">
        <v>0.21543280463747569</v>
      </c>
      <c r="J30" s="10">
        <v>1998772.18264</v>
      </c>
      <c r="K30" s="10">
        <v>0</v>
      </c>
      <c r="L30" s="10">
        <v>0</v>
      </c>
      <c r="M30" s="10">
        <v>643113.79743999999</v>
      </c>
      <c r="N30" s="10">
        <v>1.592887460246986</v>
      </c>
    </row>
    <row r="31" spans="1:14" x14ac:dyDescent="0.2">
      <c r="A31" s="12"/>
      <c r="B31" s="11" t="s">
        <v>28</v>
      </c>
      <c r="C31" s="10">
        <v>457.99400000000003</v>
      </c>
      <c r="D31" s="10">
        <v>457.99400000000003</v>
      </c>
      <c r="E31" s="10">
        <v>30820.963159999999</v>
      </c>
      <c r="F31" s="10">
        <v>238103.09969999999</v>
      </c>
      <c r="G31" s="10">
        <v>-207282.13654000001</v>
      </c>
      <c r="H31" s="10">
        <v>0</v>
      </c>
      <c r="I31" s="10">
        <v>0.26873140259479378</v>
      </c>
      <c r="J31" s="10">
        <v>1207999.02654</v>
      </c>
      <c r="K31" s="10">
        <v>0</v>
      </c>
      <c r="L31" s="10">
        <v>0</v>
      </c>
      <c r="M31" s="10">
        <v>648999.93111999996</v>
      </c>
      <c r="N31" s="10">
        <v>2.413320499129938</v>
      </c>
    </row>
    <row r="32" spans="1:14" x14ac:dyDescent="0.2">
      <c r="A32" s="12"/>
      <c r="B32" s="11" t="s">
        <v>27</v>
      </c>
      <c r="C32" s="10">
        <v>5300</v>
      </c>
      <c r="D32" s="10">
        <v>5300</v>
      </c>
      <c r="E32" s="10">
        <v>844199.75734000001</v>
      </c>
      <c r="F32" s="10">
        <v>2205587.6140600001</v>
      </c>
      <c r="G32" s="10">
        <v>-1361387.85672</v>
      </c>
      <c r="H32" s="10">
        <v>0</v>
      </c>
      <c r="I32" s="10">
        <v>0.26335541320754718</v>
      </c>
      <c r="J32" s="10">
        <v>12941887.856720001</v>
      </c>
      <c r="K32" s="10">
        <v>0</v>
      </c>
      <c r="L32" s="10">
        <v>0</v>
      </c>
      <c r="M32" s="10">
        <v>12001138.29895</v>
      </c>
      <c r="N32" s="10">
        <v>3.9350737863973748</v>
      </c>
    </row>
    <row r="33" spans="1:13" x14ac:dyDescent="0.2">
      <c r="A33" s="12" t="s">
        <v>26</v>
      </c>
      <c r="B33" s="11" t="s">
        <v>74</v>
      </c>
      <c r="C33" s="10">
        <v>19000000</v>
      </c>
      <c r="D33" s="10">
        <v>19000000</v>
      </c>
      <c r="E33" s="10">
        <v>146605.78036</v>
      </c>
      <c r="F33" s="10">
        <v>146605.78036</v>
      </c>
      <c r="G33" s="10">
        <v>0</v>
      </c>
      <c r="H33" s="10">
        <v>0</v>
      </c>
      <c r="I33" s="10">
        <v>0.99987670106052629</v>
      </c>
      <c r="J33" s="10">
        <v>0</v>
      </c>
      <c r="K33" s="10">
        <v>0</v>
      </c>
      <c r="L33" s="10">
        <v>0</v>
      </c>
      <c r="M33" s="10">
        <v>0</v>
      </c>
    </row>
    <row r="34" spans="1:13" x14ac:dyDescent="0.2">
      <c r="A34" s="12"/>
      <c r="B34" s="11" t="s">
        <v>25</v>
      </c>
      <c r="C34" s="10">
        <v>46768.008000000002</v>
      </c>
      <c r="D34" s="10">
        <v>46768.008000000002</v>
      </c>
      <c r="E34" s="10">
        <v>80591.584910000005</v>
      </c>
      <c r="F34" s="10">
        <v>87762.469400000002</v>
      </c>
      <c r="G34" s="10">
        <v>-7170.8844900000004</v>
      </c>
      <c r="H34" s="10">
        <v>0</v>
      </c>
      <c r="I34" s="10">
        <v>0.70173382860351896</v>
      </c>
      <c r="J34" s="10">
        <v>0</v>
      </c>
      <c r="K34" s="10">
        <v>0</v>
      </c>
      <c r="L34" s="10">
        <v>0</v>
      </c>
      <c r="M34" s="10">
        <v>0</v>
      </c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E524-914B-724E-AFCA-5D43B80210D5}">
  <dimension ref="A1:N33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4558204.1471999995</v>
      </c>
      <c r="F7" s="10">
        <v>0</v>
      </c>
      <c r="G7" s="10">
        <v>4558204.1471999995</v>
      </c>
      <c r="H7" s="10">
        <v>0</v>
      </c>
      <c r="I7" s="10">
        <v>0.15232819423147129</v>
      </c>
      <c r="J7" s="10">
        <v>25365370.8528</v>
      </c>
      <c r="K7" s="10">
        <v>0</v>
      </c>
      <c r="L7" s="10">
        <v>59492379.695979998</v>
      </c>
      <c r="M7" s="10">
        <v>59492379.695979998</v>
      </c>
      <c r="N7" s="10">
        <v>13.05171462520477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5805.8015100000002</v>
      </c>
      <c r="F9" s="10">
        <v>0</v>
      </c>
      <c r="G9" s="10">
        <v>5805.8015100000002</v>
      </c>
      <c r="H9" s="10">
        <v>0</v>
      </c>
      <c r="I9" s="10">
        <v>0.2415563636363636</v>
      </c>
      <c r="J9" s="10">
        <v>18229.198489999999</v>
      </c>
      <c r="K9" s="10">
        <v>0</v>
      </c>
      <c r="L9" s="10">
        <v>72340.286840000001</v>
      </c>
      <c r="M9" s="10">
        <v>133431.26292000001</v>
      </c>
      <c r="N9" s="10">
        <v>22.982379418317581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13199.61887</v>
      </c>
      <c r="F10" s="10">
        <v>0</v>
      </c>
      <c r="G10" s="10">
        <v>13199.61887</v>
      </c>
      <c r="H10" s="10">
        <v>0</v>
      </c>
      <c r="I10" s="10">
        <v>7.238993246668375E-3</v>
      </c>
      <c r="J10" s="10">
        <v>1810207.06076</v>
      </c>
      <c r="K10" s="10">
        <v>0</v>
      </c>
      <c r="L10" s="10">
        <v>712779.41917000001</v>
      </c>
      <c r="M10" s="10">
        <v>786769.82593000005</v>
      </c>
      <c r="N10" s="10">
        <v>59.605450735140757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1364478.2408</v>
      </c>
      <c r="F11" s="10">
        <v>0</v>
      </c>
      <c r="G11" s="10">
        <v>1364478.2408</v>
      </c>
      <c r="H11" s="10">
        <v>0</v>
      </c>
      <c r="I11" s="10">
        <v>0.32913955966807501</v>
      </c>
      <c r="J11" s="10">
        <v>293758.4632</v>
      </c>
      <c r="K11" s="10">
        <v>0</v>
      </c>
      <c r="L11" s="10">
        <v>0</v>
      </c>
      <c r="M11" s="10">
        <v>10852723.36335</v>
      </c>
      <c r="N11" s="10">
        <v>7.9537533093589614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239834.12831</v>
      </c>
      <c r="F13" s="10">
        <v>0</v>
      </c>
      <c r="G13" s="10">
        <v>239834.12831</v>
      </c>
      <c r="H13" s="10">
        <v>0</v>
      </c>
      <c r="I13" s="10">
        <v>0.43153311474378642</v>
      </c>
      <c r="J13" s="10">
        <v>33935.422500000001</v>
      </c>
      <c r="K13" s="10">
        <v>0</v>
      </c>
      <c r="L13" s="10">
        <v>0</v>
      </c>
      <c r="M13" s="10">
        <v>2331710.4613600001</v>
      </c>
      <c r="N13" s="10">
        <v>9.7221798788126144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4651353.0410599997</v>
      </c>
      <c r="F14" s="10">
        <v>0</v>
      </c>
      <c r="G14" s="10">
        <v>4651353.0410599997</v>
      </c>
      <c r="H14" s="10">
        <v>0</v>
      </c>
      <c r="I14" s="10">
        <v>0.46581306126914662</v>
      </c>
      <c r="J14" s="10">
        <v>5334096.9589400003</v>
      </c>
      <c r="K14" s="10">
        <v>0</v>
      </c>
      <c r="L14" s="10">
        <v>46513530.410580002</v>
      </c>
      <c r="M14" s="10">
        <v>86781810.47112</v>
      </c>
      <c r="N14" s="10">
        <v>18.657326128738951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26278903.992210001</v>
      </c>
      <c r="F15" s="10">
        <v>0</v>
      </c>
      <c r="G15" s="10">
        <v>26278903.992210001</v>
      </c>
      <c r="H15" s="10">
        <v>0</v>
      </c>
      <c r="I15" s="10">
        <v>0.22461737967446041</v>
      </c>
      <c r="J15" s="10">
        <v>5835942.11735</v>
      </c>
      <c r="K15" s="10">
        <v>0</v>
      </c>
      <c r="L15" s="10">
        <v>0</v>
      </c>
      <c r="M15" s="10">
        <v>121017998.39447001</v>
      </c>
      <c r="N15" s="10">
        <v>4.6051387232084329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10948401.410730001</v>
      </c>
      <c r="F17" s="10">
        <v>0</v>
      </c>
      <c r="G17" s="10">
        <v>10948401.410730001</v>
      </c>
      <c r="H17" s="10">
        <v>0</v>
      </c>
      <c r="I17" s="10">
        <v>0.18373941617501341</v>
      </c>
      <c r="J17" s="10">
        <v>3386732.94569</v>
      </c>
      <c r="K17" s="10">
        <v>0</v>
      </c>
      <c r="L17" s="10">
        <v>0</v>
      </c>
      <c r="M17" s="10">
        <v>49502602.639930002</v>
      </c>
      <c r="N17" s="10">
        <v>4.521445712155888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13290420.160329999</v>
      </c>
      <c r="F20" s="10">
        <v>0</v>
      </c>
      <c r="G20" s="10">
        <v>13290420.160329999</v>
      </c>
      <c r="H20" s="10">
        <v>0</v>
      </c>
      <c r="I20" s="10">
        <v>0.15029673177116859</v>
      </c>
      <c r="J20" s="10">
        <v>1275121.2988799999</v>
      </c>
      <c r="K20" s="10">
        <v>0</v>
      </c>
      <c r="L20" s="10">
        <v>0</v>
      </c>
      <c r="M20" s="10">
        <v>106400577.20679</v>
      </c>
      <c r="N20" s="10">
        <v>8.0058098875065387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32499993.193119999</v>
      </c>
      <c r="F22" s="10">
        <v>25138149.263489999</v>
      </c>
      <c r="G22" s="10">
        <v>7361843.9296300001</v>
      </c>
      <c r="H22" s="10">
        <v>-7361843.9296300001</v>
      </c>
      <c r="I22" s="10">
        <v>0.1142938152946274</v>
      </c>
      <c r="J22" s="10">
        <v>0</v>
      </c>
      <c r="K22" s="10">
        <v>0</v>
      </c>
      <c r="L22" s="10">
        <v>0</v>
      </c>
      <c r="M22" s="10">
        <v>115288696.26702</v>
      </c>
      <c r="N22" s="10">
        <v>2.0002153321692742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10230483.56721</v>
      </c>
      <c r="F23" s="10">
        <v>5555402.3905999996</v>
      </c>
      <c r="G23" s="10">
        <v>4675081.1766100004</v>
      </c>
      <c r="H23" s="10">
        <v>-4675081.1766100004</v>
      </c>
      <c r="I23" s="10">
        <v>0.58029411807228914</v>
      </c>
      <c r="J23" s="10">
        <v>31878331.17661</v>
      </c>
      <c r="K23" s="10">
        <v>0</v>
      </c>
      <c r="L23" s="10">
        <v>0</v>
      </c>
      <c r="M23" s="10">
        <v>103149568.66302</v>
      </c>
      <c r="N23" s="10">
        <v>6.5342907506104613</v>
      </c>
    </row>
    <row r="24" spans="1:14" x14ac:dyDescent="0.2">
      <c r="A24" s="12"/>
      <c r="B24" s="11" t="s">
        <v>36</v>
      </c>
      <c r="C24" s="10">
        <v>3653.0947500000002</v>
      </c>
      <c r="D24" s="10">
        <v>3653.0947500000002</v>
      </c>
      <c r="E24" s="10">
        <v>0</v>
      </c>
      <c r="F24" s="10">
        <v>135952.79753000001</v>
      </c>
      <c r="G24" s="10">
        <v>-135952.79753000001</v>
      </c>
      <c r="H24" s="10">
        <v>0</v>
      </c>
      <c r="I24" s="10">
        <v>1.703239698340701E-2</v>
      </c>
      <c r="J24" s="10">
        <v>7846059.2411000002</v>
      </c>
      <c r="K24" s="10">
        <v>0</v>
      </c>
      <c r="L24" s="10">
        <v>0</v>
      </c>
      <c r="M24" s="10">
        <v>0</v>
      </c>
    </row>
    <row r="25" spans="1:14" x14ac:dyDescent="0.2">
      <c r="A25" s="12"/>
      <c r="B25" s="11" t="s">
        <v>35</v>
      </c>
      <c r="C25" s="10">
        <v>278.38099999999997</v>
      </c>
      <c r="D25" s="10">
        <v>278.38099999999997</v>
      </c>
      <c r="E25" s="10">
        <v>0</v>
      </c>
      <c r="F25" s="10">
        <v>87547.144809999998</v>
      </c>
      <c r="G25" s="10">
        <v>-87547.144809999998</v>
      </c>
      <c r="H25" s="10">
        <v>0</v>
      </c>
      <c r="I25" s="10">
        <v>0.14392986590320461</v>
      </c>
      <c r="J25" s="10">
        <v>520715.34019000002</v>
      </c>
      <c r="K25" s="10">
        <v>0</v>
      </c>
      <c r="L25" s="10">
        <v>437735.72405000002</v>
      </c>
      <c r="M25" s="10">
        <v>0</v>
      </c>
    </row>
    <row r="26" spans="1:14" x14ac:dyDescent="0.2">
      <c r="A26" s="12"/>
      <c r="B26" s="11" t="s">
        <v>75</v>
      </c>
      <c r="C26" s="10">
        <v>342000000</v>
      </c>
      <c r="D26" s="10">
        <v>342000000</v>
      </c>
      <c r="E26" s="10">
        <v>0</v>
      </c>
      <c r="F26" s="10">
        <v>9932.5342199999996</v>
      </c>
      <c r="G26" s="10">
        <v>-9932.5342199999996</v>
      </c>
      <c r="H26" s="10">
        <v>9932.5342199999996</v>
      </c>
      <c r="I26" s="10">
        <v>1.3291754385964909E-8</v>
      </c>
      <c r="J26" s="10">
        <v>747269990067.46582</v>
      </c>
      <c r="K26" s="10">
        <v>0</v>
      </c>
      <c r="L26" s="10">
        <v>9.9330000000000002E-2</v>
      </c>
      <c r="M26" s="10">
        <v>-51279.971469999997</v>
      </c>
      <c r="N26" s="10">
        <v>-5.1628301413618791</v>
      </c>
    </row>
    <row r="27" spans="1:14" x14ac:dyDescent="0.2">
      <c r="A27" s="12" t="s">
        <v>34</v>
      </c>
      <c r="B27" s="11" t="s">
        <v>33</v>
      </c>
      <c r="C27" s="10">
        <v>0</v>
      </c>
      <c r="D27" s="10">
        <v>0</v>
      </c>
      <c r="E27" s="10">
        <v>0</v>
      </c>
      <c r="F27" s="10">
        <v>4693863.9985400001</v>
      </c>
      <c r="G27" s="10">
        <v>-4693863.9985400001</v>
      </c>
      <c r="H27" s="10">
        <v>0</v>
      </c>
      <c r="J27" s="10">
        <v>0</v>
      </c>
      <c r="K27" s="10">
        <v>0</v>
      </c>
      <c r="L27" s="10">
        <v>0</v>
      </c>
      <c r="M27" s="10">
        <v>-44245797.033830002</v>
      </c>
      <c r="N27" s="10">
        <v>-9.4263057118350897</v>
      </c>
    </row>
    <row r="28" spans="1:14" x14ac:dyDescent="0.2">
      <c r="A28" s="12"/>
      <c r="B28" s="11" t="s">
        <v>32</v>
      </c>
      <c r="C28" s="10">
        <v>0</v>
      </c>
      <c r="D28" s="10">
        <v>0</v>
      </c>
      <c r="E28" s="10">
        <v>0</v>
      </c>
      <c r="F28" s="10">
        <v>52178335.791649997</v>
      </c>
      <c r="G28" s="10">
        <v>-52178335.791649997</v>
      </c>
      <c r="H28" s="10">
        <v>0</v>
      </c>
      <c r="J28" s="10">
        <v>0</v>
      </c>
      <c r="K28" s="10">
        <v>0</v>
      </c>
      <c r="L28" s="10">
        <v>0</v>
      </c>
      <c r="M28" s="10">
        <v>-486184608.04166001</v>
      </c>
      <c r="N28" s="10">
        <v>-9.3177484629354854</v>
      </c>
    </row>
    <row r="29" spans="1:14" x14ac:dyDescent="0.2">
      <c r="A29" s="12" t="s">
        <v>31</v>
      </c>
      <c r="B29" s="11" t="s">
        <v>30</v>
      </c>
      <c r="C29" s="10">
        <v>26471.973000000002</v>
      </c>
      <c r="D29" s="10">
        <v>26471.973000000002</v>
      </c>
      <c r="E29" s="10">
        <v>3909506.40295</v>
      </c>
      <c r="F29" s="10">
        <v>6861646.7612800002</v>
      </c>
      <c r="G29" s="10">
        <v>-2952140.3583300002</v>
      </c>
      <c r="H29" s="10">
        <v>0</v>
      </c>
      <c r="I29" s="10">
        <v>0.1862191968086398</v>
      </c>
      <c r="J29" s="10">
        <v>60793401.363329999</v>
      </c>
      <c r="K29" s="10">
        <v>0</v>
      </c>
      <c r="L29" s="10">
        <v>0</v>
      </c>
      <c r="M29" s="10">
        <v>20160932.23889</v>
      </c>
      <c r="N29" s="10">
        <v>1.8717524423509051</v>
      </c>
    </row>
    <row r="30" spans="1:14" x14ac:dyDescent="0.2">
      <c r="A30" s="12"/>
      <c r="B30" s="11" t="s">
        <v>29</v>
      </c>
      <c r="C30" s="10">
        <v>857.70799999999997</v>
      </c>
      <c r="D30" s="10">
        <v>857.70799999999997</v>
      </c>
      <c r="E30" s="10">
        <v>180066.49463</v>
      </c>
      <c r="F30" s="10">
        <v>292826.76942000003</v>
      </c>
      <c r="G30" s="10">
        <v>-112760.27479</v>
      </c>
      <c r="H30" s="10">
        <v>0</v>
      </c>
      <c r="I30" s="10">
        <v>0.25233193581032243</v>
      </c>
      <c r="J30" s="10">
        <v>1986852.2547899999</v>
      </c>
      <c r="K30" s="10">
        <v>0</v>
      </c>
      <c r="L30" s="10">
        <v>0</v>
      </c>
      <c r="M30" s="10">
        <v>662569.29926</v>
      </c>
      <c r="N30" s="10">
        <v>1.401096960491828</v>
      </c>
    </row>
    <row r="31" spans="1:14" x14ac:dyDescent="0.2">
      <c r="A31" s="12"/>
      <c r="B31" s="11" t="s">
        <v>28</v>
      </c>
      <c r="C31" s="10">
        <v>457.99400000000003</v>
      </c>
      <c r="D31" s="10">
        <v>457.99400000000003</v>
      </c>
      <c r="E31" s="10">
        <v>35012.417569999998</v>
      </c>
      <c r="F31" s="10">
        <v>230776.24345000001</v>
      </c>
      <c r="G31" s="10">
        <v>-195763.82587999999</v>
      </c>
      <c r="H31" s="10">
        <v>0</v>
      </c>
      <c r="I31" s="10">
        <v>0.26559826111259099</v>
      </c>
      <c r="J31" s="10">
        <v>1196480.71588</v>
      </c>
      <c r="K31" s="10">
        <v>0</v>
      </c>
      <c r="L31" s="10">
        <v>0</v>
      </c>
      <c r="M31" s="10">
        <v>664621.62471</v>
      </c>
      <c r="N31" s="10">
        <v>2.5005642357792812</v>
      </c>
    </row>
    <row r="32" spans="1:14" x14ac:dyDescent="0.2">
      <c r="A32" s="12"/>
      <c r="B32" s="11" t="s">
        <v>27</v>
      </c>
      <c r="C32" s="10">
        <v>5300</v>
      </c>
      <c r="D32" s="10">
        <v>5300</v>
      </c>
      <c r="E32" s="10">
        <v>1076114.4904499999</v>
      </c>
      <c r="F32" s="10">
        <v>2318548.5865799999</v>
      </c>
      <c r="G32" s="10">
        <v>-1242434.09613</v>
      </c>
      <c r="H32" s="10">
        <v>0</v>
      </c>
      <c r="I32" s="10">
        <v>0.29313614150943401</v>
      </c>
      <c r="J32" s="10">
        <v>12822934.09613</v>
      </c>
      <c r="K32" s="10">
        <v>0</v>
      </c>
      <c r="L32" s="10">
        <v>0</v>
      </c>
      <c r="M32" s="10">
        <v>12309029.736989999</v>
      </c>
      <c r="N32" s="10">
        <v>3.6259945158458948</v>
      </c>
    </row>
    <row r="33" spans="1:13" x14ac:dyDescent="0.2">
      <c r="A33" s="11" t="s">
        <v>26</v>
      </c>
      <c r="B33" s="11" t="s">
        <v>25</v>
      </c>
      <c r="C33" s="10">
        <v>46768.008000000002</v>
      </c>
      <c r="D33" s="10">
        <v>46768.008000000002</v>
      </c>
      <c r="E33" s="10">
        <v>86062.92297</v>
      </c>
      <c r="F33" s="10">
        <v>93682.736430000004</v>
      </c>
      <c r="G33" s="10">
        <v>-7619.8134600000003</v>
      </c>
      <c r="H33" s="10">
        <v>0</v>
      </c>
      <c r="I33" s="10">
        <v>0.74566545938839213</v>
      </c>
      <c r="J33" s="10">
        <v>0</v>
      </c>
      <c r="K33" s="10">
        <v>0</v>
      </c>
      <c r="L33" s="10">
        <v>0</v>
      </c>
      <c r="M33" s="10">
        <v>0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E76B-D018-6A4D-95E9-623F41B2BCA3}">
  <dimension ref="A1:N35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4423062.5091599999</v>
      </c>
      <c r="F7" s="10">
        <v>0</v>
      </c>
      <c r="G7" s="10">
        <v>4423062.5091599999</v>
      </c>
      <c r="H7" s="10">
        <v>0</v>
      </c>
      <c r="I7" s="10">
        <v>0.14781196787148601</v>
      </c>
      <c r="J7" s="10">
        <v>25500512.490839999</v>
      </c>
      <c r="K7" s="10">
        <v>0</v>
      </c>
      <c r="L7" s="10">
        <v>56310149.188110001</v>
      </c>
      <c r="M7" s="10">
        <v>56310149.188110001</v>
      </c>
      <c r="N7" s="10">
        <v>12.731031748544879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5691.3850000000002</v>
      </c>
      <c r="F9" s="10">
        <v>0</v>
      </c>
      <c r="G9" s="10">
        <v>5691.3850000000002</v>
      </c>
      <c r="H9" s="10">
        <v>0</v>
      </c>
      <c r="I9" s="10">
        <v>0.23679545454545459</v>
      </c>
      <c r="J9" s="10">
        <v>18343.615000000002</v>
      </c>
      <c r="K9" s="10">
        <v>0</v>
      </c>
      <c r="L9" s="10">
        <v>70914.657099999997</v>
      </c>
      <c r="M9" s="10">
        <v>128420.79862</v>
      </c>
      <c r="N9" s="10">
        <v>22.56409252327478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13201.84275</v>
      </c>
      <c r="F10" s="10">
        <v>0</v>
      </c>
      <c r="G10" s="10">
        <v>13201.84275</v>
      </c>
      <c r="H10" s="10">
        <v>0</v>
      </c>
      <c r="I10" s="10">
        <v>7.2402035361855636E-3</v>
      </c>
      <c r="J10" s="10">
        <v>1810204.8368800001</v>
      </c>
      <c r="K10" s="10">
        <v>0</v>
      </c>
      <c r="L10" s="10">
        <v>712899.50870000001</v>
      </c>
      <c r="M10" s="10">
        <v>761582.53992000001</v>
      </c>
      <c r="N10" s="10">
        <v>57.687624854560482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1379768.1355300001</v>
      </c>
      <c r="F11" s="10">
        <v>0</v>
      </c>
      <c r="G11" s="10">
        <v>1379768.1355300001</v>
      </c>
      <c r="H11" s="10">
        <v>0</v>
      </c>
      <c r="I11" s="10">
        <v>0.33282778754606562</v>
      </c>
      <c r="J11" s="10">
        <v>278468.56847</v>
      </c>
      <c r="K11" s="10">
        <v>0</v>
      </c>
      <c r="L11" s="10">
        <v>0</v>
      </c>
      <c r="M11" s="10">
        <v>10594521.818849999</v>
      </c>
      <c r="N11" s="10">
        <v>7.6784798484520698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238610.30725000001</v>
      </c>
      <c r="F13" s="10">
        <v>0</v>
      </c>
      <c r="G13" s="10">
        <v>238610.30725000001</v>
      </c>
      <c r="H13" s="10">
        <v>0</v>
      </c>
      <c r="I13" s="10">
        <v>0.42933110026026311</v>
      </c>
      <c r="J13" s="10">
        <v>35159.243560000003</v>
      </c>
      <c r="K13" s="10">
        <v>0</v>
      </c>
      <c r="L13" s="10">
        <v>0</v>
      </c>
      <c r="M13" s="10">
        <v>2281383.1626400002</v>
      </c>
      <c r="N13" s="10">
        <v>9.5611259864583467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4588511.0663999999</v>
      </c>
      <c r="F14" s="10">
        <v>0</v>
      </c>
      <c r="G14" s="10">
        <v>4588511.0663999999</v>
      </c>
      <c r="H14" s="10">
        <v>0</v>
      </c>
      <c r="I14" s="10">
        <v>0.45951970678336979</v>
      </c>
      <c r="J14" s="10">
        <v>5396938.9336000001</v>
      </c>
      <c r="K14" s="10">
        <v>0</v>
      </c>
      <c r="L14" s="10">
        <v>45885110.66398</v>
      </c>
      <c r="M14" s="10">
        <v>84215497.791999996</v>
      </c>
      <c r="N14" s="10">
        <v>18.35355669095388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26238344.53376</v>
      </c>
      <c r="F15" s="10">
        <v>0</v>
      </c>
      <c r="G15" s="10">
        <v>26238344.53376</v>
      </c>
      <c r="H15" s="10">
        <v>0</v>
      </c>
      <c r="I15" s="10">
        <v>0.22427070012174241</v>
      </c>
      <c r="J15" s="10">
        <v>5876501.5757999998</v>
      </c>
      <c r="K15" s="10">
        <v>0</v>
      </c>
      <c r="L15" s="10">
        <v>0</v>
      </c>
      <c r="M15" s="10">
        <v>119209815.86769</v>
      </c>
      <c r="N15" s="10">
        <v>4.5433436430063932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11126702.2281</v>
      </c>
      <c r="F17" s="10">
        <v>0</v>
      </c>
      <c r="G17" s="10">
        <v>11126702.2281</v>
      </c>
      <c r="H17" s="10">
        <v>0</v>
      </c>
      <c r="I17" s="10">
        <v>0.18673171477078679</v>
      </c>
      <c r="J17" s="10">
        <v>3208432.1283200001</v>
      </c>
      <c r="K17" s="10">
        <v>0</v>
      </c>
      <c r="L17" s="10">
        <v>0</v>
      </c>
      <c r="M17" s="10">
        <v>48666360.31899</v>
      </c>
      <c r="N17" s="10">
        <v>4.3738350623484843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13296656.5721</v>
      </c>
      <c r="F20" s="10">
        <v>0</v>
      </c>
      <c r="G20" s="10">
        <v>13296656.5721</v>
      </c>
      <c r="H20" s="10">
        <v>0</v>
      </c>
      <c r="I20" s="10">
        <v>0.15036725710446011</v>
      </c>
      <c r="J20" s="10">
        <v>1268884.88711</v>
      </c>
      <c r="K20" s="10">
        <v>0</v>
      </c>
      <c r="L20" s="10">
        <v>0</v>
      </c>
      <c r="M20" s="10">
        <v>104765282.56265999</v>
      </c>
      <c r="N20" s="10">
        <v>7.8790695971532054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32382243.17272</v>
      </c>
      <c r="F22" s="10">
        <v>25089557.283059999</v>
      </c>
      <c r="G22" s="10">
        <v>7292685.8896700004</v>
      </c>
      <c r="H22" s="10">
        <v>-7292685.8896700004</v>
      </c>
      <c r="I22" s="10">
        <v>0.11396396663778161</v>
      </c>
      <c r="J22" s="10">
        <v>0</v>
      </c>
      <c r="K22" s="10">
        <v>0</v>
      </c>
      <c r="L22" s="10">
        <v>0</v>
      </c>
      <c r="M22" s="10">
        <v>110761445.6996</v>
      </c>
      <c r="N22" s="10">
        <v>1.9272311782850731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10118818.67496</v>
      </c>
      <c r="F23" s="10">
        <v>5582344.3065900002</v>
      </c>
      <c r="G23" s="10">
        <v>4536474.3683700003</v>
      </c>
      <c r="H23" s="10">
        <v>-4536474.3683700003</v>
      </c>
      <c r="I23" s="10">
        <v>0.57717967469879516</v>
      </c>
      <c r="J23" s="10">
        <v>31739724.36837</v>
      </c>
      <c r="K23" s="10">
        <v>0</v>
      </c>
      <c r="L23" s="10">
        <v>0</v>
      </c>
      <c r="M23" s="10">
        <v>97418999.043080002</v>
      </c>
      <c r="N23" s="10">
        <v>6.2045721788038977</v>
      </c>
    </row>
    <row r="24" spans="1:14" x14ac:dyDescent="0.2">
      <c r="A24" s="12"/>
      <c r="B24" s="11" t="s">
        <v>74</v>
      </c>
      <c r="C24" s="10">
        <v>38000000</v>
      </c>
      <c r="D24" s="10">
        <v>38000000</v>
      </c>
      <c r="E24" s="10">
        <v>0</v>
      </c>
      <c r="F24" s="10">
        <v>454249.57326999999</v>
      </c>
      <c r="G24" s="10">
        <v>-454249.57326999999</v>
      </c>
      <c r="H24" s="10">
        <v>0</v>
      </c>
      <c r="I24" s="10">
        <v>5.4709089473684212E-6</v>
      </c>
      <c r="J24" s="10">
        <v>83029545750.426727</v>
      </c>
      <c r="K24" s="10">
        <v>0</v>
      </c>
      <c r="L24" s="10">
        <v>4.5425000000000004</v>
      </c>
      <c r="M24" s="10">
        <v>-2445431.5639999998</v>
      </c>
      <c r="N24" s="10">
        <v>-5.3834537934473889</v>
      </c>
    </row>
    <row r="25" spans="1:14" x14ac:dyDescent="0.2">
      <c r="A25" s="12"/>
      <c r="B25" s="11" t="s">
        <v>36</v>
      </c>
      <c r="C25" s="10">
        <v>3653.0947500000002</v>
      </c>
      <c r="D25" s="10">
        <v>3653.0947500000002</v>
      </c>
      <c r="E25" s="10">
        <v>0</v>
      </c>
      <c r="F25" s="10">
        <v>121826.26227000001</v>
      </c>
      <c r="G25" s="10">
        <v>-121826.26227000001</v>
      </c>
      <c r="H25" s="10">
        <v>0</v>
      </c>
      <c r="I25" s="10">
        <v>1.526260166123531E-2</v>
      </c>
      <c r="J25" s="10">
        <v>7860185.7763599996</v>
      </c>
      <c r="K25" s="10">
        <v>0</v>
      </c>
      <c r="L25" s="10">
        <v>0</v>
      </c>
      <c r="M25" s="10">
        <v>0</v>
      </c>
    </row>
    <row r="26" spans="1:14" x14ac:dyDescent="0.2">
      <c r="A26" s="12"/>
      <c r="B26" s="11" t="s">
        <v>35</v>
      </c>
      <c r="C26" s="10">
        <v>278.38099999999997</v>
      </c>
      <c r="D26" s="10">
        <v>278.38099999999997</v>
      </c>
      <c r="E26" s="10">
        <v>0</v>
      </c>
      <c r="F26" s="10">
        <v>82363.590779999999</v>
      </c>
      <c r="G26" s="10">
        <v>-82363.590779999999</v>
      </c>
      <c r="H26" s="10">
        <v>0</v>
      </c>
      <c r="I26" s="10">
        <v>0.1354079840218981</v>
      </c>
      <c r="J26" s="10">
        <v>525898.89422000002</v>
      </c>
      <c r="K26" s="10">
        <v>0</v>
      </c>
      <c r="L26" s="10">
        <v>411817.95390999998</v>
      </c>
      <c r="M26" s="10">
        <v>0</v>
      </c>
    </row>
    <row r="27" spans="1:14" x14ac:dyDescent="0.2">
      <c r="A27" s="12"/>
      <c r="B27" s="11" t="s">
        <v>75</v>
      </c>
      <c r="C27" s="10">
        <v>342000000</v>
      </c>
      <c r="D27" s="10">
        <v>342000000</v>
      </c>
      <c r="E27" s="10">
        <v>0</v>
      </c>
      <c r="F27" s="10">
        <v>12178.980820000001</v>
      </c>
      <c r="G27" s="10">
        <v>-12178.980820000001</v>
      </c>
      <c r="H27" s="10">
        <v>12178.980820000001</v>
      </c>
      <c r="I27" s="10">
        <v>1.6297953216374272E-8</v>
      </c>
      <c r="J27" s="10">
        <v>747269987821.01917</v>
      </c>
      <c r="K27" s="10">
        <v>0</v>
      </c>
      <c r="L27" s="10">
        <v>0.12179</v>
      </c>
      <c r="M27" s="10">
        <v>-27679.661039999999</v>
      </c>
      <c r="N27" s="10">
        <v>-2.2727426039218499</v>
      </c>
    </row>
    <row r="28" spans="1:14" x14ac:dyDescent="0.2">
      <c r="A28" s="12" t="s">
        <v>34</v>
      </c>
      <c r="B28" s="11" t="s">
        <v>33</v>
      </c>
      <c r="C28" s="10">
        <v>0</v>
      </c>
      <c r="D28" s="10">
        <v>0</v>
      </c>
      <c r="E28" s="10">
        <v>0</v>
      </c>
      <c r="F28" s="10">
        <v>4693863.9985400001</v>
      </c>
      <c r="G28" s="10">
        <v>-4693863.9985400001</v>
      </c>
      <c r="H28" s="10">
        <v>0</v>
      </c>
      <c r="J28" s="10">
        <v>0</v>
      </c>
      <c r="K28" s="10">
        <v>0</v>
      </c>
      <c r="L28" s="10">
        <v>0</v>
      </c>
      <c r="M28" s="10">
        <v>-43377600.619060002</v>
      </c>
      <c r="N28" s="10">
        <v>-9.2413415970311181</v>
      </c>
    </row>
    <row r="29" spans="1:14" x14ac:dyDescent="0.2">
      <c r="A29" s="12"/>
      <c r="B29" s="11" t="s">
        <v>32</v>
      </c>
      <c r="C29" s="10">
        <v>0</v>
      </c>
      <c r="D29" s="10">
        <v>0</v>
      </c>
      <c r="E29" s="10">
        <v>0</v>
      </c>
      <c r="F29" s="10">
        <v>52178335.791649997</v>
      </c>
      <c r="G29" s="10">
        <v>-52178335.791649997</v>
      </c>
      <c r="H29" s="10">
        <v>0</v>
      </c>
      <c r="J29" s="10">
        <v>0</v>
      </c>
      <c r="K29" s="10">
        <v>0</v>
      </c>
      <c r="L29" s="10">
        <v>0</v>
      </c>
      <c r="M29" s="10">
        <v>-476378328.45854002</v>
      </c>
      <c r="N29" s="10">
        <v>-9.1298107022243595</v>
      </c>
    </row>
    <row r="30" spans="1:14" x14ac:dyDescent="0.2">
      <c r="A30" s="12" t="s">
        <v>31</v>
      </c>
      <c r="B30" s="11" t="s">
        <v>30</v>
      </c>
      <c r="C30" s="10">
        <v>26471.973000000002</v>
      </c>
      <c r="D30" s="10">
        <v>26471.973000000002</v>
      </c>
      <c r="E30" s="10">
        <v>3821093.18114</v>
      </c>
      <c r="F30" s="10">
        <v>6743765.7359100003</v>
      </c>
      <c r="G30" s="10">
        <v>-2922672.5547699998</v>
      </c>
      <c r="H30" s="10">
        <v>0</v>
      </c>
      <c r="I30" s="10">
        <v>0.18265263832053619</v>
      </c>
      <c r="J30" s="10">
        <v>60763933.559770003</v>
      </c>
      <c r="K30" s="10">
        <v>0</v>
      </c>
      <c r="L30" s="10">
        <v>0</v>
      </c>
      <c r="M30" s="10">
        <v>19394168.39418</v>
      </c>
      <c r="N30" s="10">
        <v>1.835724313315596</v>
      </c>
    </row>
    <row r="31" spans="1:14" x14ac:dyDescent="0.2">
      <c r="A31" s="12"/>
      <c r="B31" s="11" t="s">
        <v>29</v>
      </c>
      <c r="C31" s="10">
        <v>857.70799999999997</v>
      </c>
      <c r="D31" s="10">
        <v>857.70799999999997</v>
      </c>
      <c r="E31" s="10">
        <v>174454.86186</v>
      </c>
      <c r="F31" s="10">
        <v>288129.11061999999</v>
      </c>
      <c r="G31" s="10">
        <v>-113674.24876</v>
      </c>
      <c r="H31" s="10">
        <v>0</v>
      </c>
      <c r="I31" s="10">
        <v>0.24683098443759419</v>
      </c>
      <c r="J31" s="10">
        <v>1987766.2287600001</v>
      </c>
      <c r="K31" s="10">
        <v>0</v>
      </c>
      <c r="L31" s="10">
        <v>0</v>
      </c>
      <c r="M31" s="10">
        <v>637250.76407000003</v>
      </c>
      <c r="N31" s="10">
        <v>1.37758939857562</v>
      </c>
    </row>
    <row r="32" spans="1:14" x14ac:dyDescent="0.2">
      <c r="A32" s="12"/>
      <c r="B32" s="11" t="s">
        <v>28</v>
      </c>
      <c r="C32" s="10">
        <v>457.99400000000003</v>
      </c>
      <c r="D32" s="10">
        <v>457.99400000000003</v>
      </c>
      <c r="E32" s="10">
        <v>34936.979780000001</v>
      </c>
      <c r="F32" s="10">
        <v>229798.78464999999</v>
      </c>
      <c r="G32" s="10">
        <v>-194861.80486999999</v>
      </c>
      <c r="H32" s="10">
        <v>0</v>
      </c>
      <c r="I32" s="10">
        <v>0.26454610759092911</v>
      </c>
      <c r="J32" s="10">
        <v>1195578.69487</v>
      </c>
      <c r="K32" s="10">
        <v>0</v>
      </c>
      <c r="L32" s="10">
        <v>0</v>
      </c>
      <c r="M32" s="10">
        <v>643336.42301999999</v>
      </c>
      <c r="N32" s="10">
        <v>2.4301078082111398</v>
      </c>
    </row>
    <row r="33" spans="1:14" x14ac:dyDescent="0.2">
      <c r="A33" s="12"/>
      <c r="B33" s="11" t="s">
        <v>27</v>
      </c>
      <c r="C33" s="10">
        <v>5300</v>
      </c>
      <c r="D33" s="10">
        <v>5300</v>
      </c>
      <c r="E33" s="10">
        <v>1061334.1306100001</v>
      </c>
      <c r="F33" s="10">
        <v>2301241.7044099998</v>
      </c>
      <c r="G33" s="10">
        <v>-1239907.5737999999</v>
      </c>
      <c r="H33" s="10">
        <v>0</v>
      </c>
      <c r="I33" s="10">
        <v>0.29036534150943399</v>
      </c>
      <c r="J33" s="10">
        <v>12820407.573799999</v>
      </c>
      <c r="K33" s="10">
        <v>0</v>
      </c>
      <c r="L33" s="10">
        <v>0</v>
      </c>
      <c r="M33" s="10">
        <v>11847673.389590001</v>
      </c>
      <c r="N33" s="10">
        <v>3.5233921733902029</v>
      </c>
    </row>
    <row r="34" spans="1:14" x14ac:dyDescent="0.2">
      <c r="A34" s="12" t="s">
        <v>26</v>
      </c>
      <c r="B34" s="11" t="s">
        <v>74</v>
      </c>
      <c r="C34" s="10">
        <v>19000000</v>
      </c>
      <c r="D34" s="10">
        <v>19000000</v>
      </c>
      <c r="E34" s="10">
        <v>227124.78662999999</v>
      </c>
      <c r="F34" s="10">
        <v>227124.78662999999</v>
      </c>
      <c r="G34" s="10">
        <v>0</v>
      </c>
      <c r="H34" s="10">
        <v>0</v>
      </c>
      <c r="I34" s="10">
        <v>0.99847063184736851</v>
      </c>
      <c r="J34" s="10">
        <v>0</v>
      </c>
      <c r="K34" s="10">
        <v>0</v>
      </c>
      <c r="L34" s="10">
        <v>0</v>
      </c>
      <c r="M34" s="10">
        <v>0</v>
      </c>
    </row>
    <row r="35" spans="1:14" x14ac:dyDescent="0.2">
      <c r="A35" s="12"/>
      <c r="B35" s="11" t="s">
        <v>25</v>
      </c>
      <c r="C35" s="10">
        <v>46768.008000000002</v>
      </c>
      <c r="D35" s="10">
        <v>46768.008000000002</v>
      </c>
      <c r="E35" s="10">
        <v>81133.643150000004</v>
      </c>
      <c r="F35" s="10">
        <v>84048.435960000003</v>
      </c>
      <c r="G35" s="10">
        <v>-2914.7928099999999</v>
      </c>
      <c r="H35" s="10">
        <v>0</v>
      </c>
      <c r="I35" s="10">
        <v>0.28523799516968951</v>
      </c>
      <c r="J35" s="10">
        <v>0</v>
      </c>
      <c r="K35" s="10">
        <v>0</v>
      </c>
      <c r="L35" s="10">
        <v>0</v>
      </c>
      <c r="M35" s="10">
        <v>0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E9188-6D0A-204C-A5B7-C1B245C68AF4}">
  <dimension ref="A1:M30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3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</row>
    <row r="2" spans="1:13" x14ac:dyDescent="0.2">
      <c r="A2" s="12" t="s">
        <v>61</v>
      </c>
      <c r="B2" s="11" t="s">
        <v>60</v>
      </c>
      <c r="C2" s="10">
        <v>0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</row>
    <row r="3" spans="1:13" x14ac:dyDescent="0.2">
      <c r="A3" s="12"/>
      <c r="B3" s="11" t="s">
        <v>59</v>
      </c>
      <c r="C3" s="10">
        <v>0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</row>
    <row r="4" spans="1:13" x14ac:dyDescent="0.2">
      <c r="A4" s="12"/>
      <c r="B4" s="11" t="s">
        <v>58</v>
      </c>
      <c r="C4" s="10">
        <v>0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 x14ac:dyDescent="0.2">
      <c r="A5" s="12"/>
      <c r="B5" s="11" t="s">
        <v>57</v>
      </c>
      <c r="C5" s="10">
        <v>0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</row>
    <row r="6" spans="1:13" x14ac:dyDescent="0.2">
      <c r="A6" s="12"/>
      <c r="B6" s="11" t="s">
        <v>56</v>
      </c>
      <c r="C6" s="10">
        <v>0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</row>
    <row r="7" spans="1:13" x14ac:dyDescent="0.2">
      <c r="A7" s="12"/>
      <c r="B7" s="11" t="s">
        <v>55</v>
      </c>
      <c r="C7" s="10">
        <v>0</v>
      </c>
      <c r="D7" s="10">
        <v>13695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 spans="1:13" x14ac:dyDescent="0.2">
      <c r="A8" s="12"/>
      <c r="B8" s="11" t="s">
        <v>54</v>
      </c>
      <c r="C8" s="10">
        <v>0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 x14ac:dyDescent="0.2">
      <c r="A9" s="12"/>
      <c r="B9" s="11" t="s">
        <v>53</v>
      </c>
      <c r="C9" s="10">
        <v>0</v>
      </c>
      <c r="D9" s="10">
        <v>11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 spans="1:13" x14ac:dyDescent="0.2">
      <c r="A10" s="12"/>
      <c r="B10" s="11" t="s">
        <v>52</v>
      </c>
      <c r="C10" s="10">
        <v>0</v>
      </c>
      <c r="D10" s="10">
        <v>834.51107000000002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</row>
    <row r="11" spans="1:13" x14ac:dyDescent="0.2">
      <c r="A11" s="12"/>
      <c r="B11" s="11" t="s">
        <v>51</v>
      </c>
      <c r="C11" s="10">
        <v>0</v>
      </c>
      <c r="D11" s="10">
        <v>1897.296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 spans="1:13" x14ac:dyDescent="0.2">
      <c r="A12" s="12"/>
      <c r="B12" s="11" t="s">
        <v>50</v>
      </c>
      <c r="C12" s="10">
        <v>0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</row>
    <row r="13" spans="1:13" x14ac:dyDescent="0.2">
      <c r="A13" s="12"/>
      <c r="B13" s="11" t="s">
        <v>49</v>
      </c>
      <c r="C13" s="10">
        <v>0</v>
      </c>
      <c r="D13" s="10">
        <v>254.358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 spans="1:13" x14ac:dyDescent="0.2">
      <c r="A14" s="12"/>
      <c r="B14" s="11" t="s">
        <v>48</v>
      </c>
      <c r="C14" s="10">
        <v>0</v>
      </c>
      <c r="D14" s="10">
        <v>4570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</row>
    <row r="15" spans="1:13" x14ac:dyDescent="0.2">
      <c r="A15" s="12"/>
      <c r="B15" s="11" t="s">
        <v>47</v>
      </c>
      <c r="C15" s="10">
        <v>0</v>
      </c>
      <c r="D15" s="10">
        <v>53544.201999999997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 spans="1:13" x14ac:dyDescent="0.2">
      <c r="A16" s="12"/>
      <c r="B16" s="11" t="s">
        <v>46</v>
      </c>
      <c r="C16" s="10">
        <v>0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</row>
    <row r="17" spans="1:13" x14ac:dyDescent="0.2">
      <c r="A17" s="12"/>
      <c r="B17" s="11" t="s">
        <v>45</v>
      </c>
      <c r="C17" s="10">
        <v>0</v>
      </c>
      <c r="D17" s="10">
        <v>27270.741000000002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 spans="1:13" x14ac:dyDescent="0.2">
      <c r="A18" s="12"/>
      <c r="B18" s="11" t="s">
        <v>44</v>
      </c>
      <c r="C18" s="10">
        <v>0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</row>
    <row r="19" spans="1:13" x14ac:dyDescent="0.2">
      <c r="A19" s="12"/>
      <c r="B19" s="11" t="s">
        <v>43</v>
      </c>
      <c r="C19" s="10">
        <v>0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 spans="1:13" x14ac:dyDescent="0.2">
      <c r="A20" s="12"/>
      <c r="B20" s="11" t="s">
        <v>42</v>
      </c>
      <c r="C20" s="10">
        <v>0</v>
      </c>
      <c r="D20" s="10">
        <v>40470.421999999999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</row>
    <row r="21" spans="1:13" x14ac:dyDescent="0.2">
      <c r="A21" s="12"/>
      <c r="B21" s="11" t="s">
        <v>41</v>
      </c>
      <c r="C21" s="10">
        <v>0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 spans="1:13" x14ac:dyDescent="0.2">
      <c r="A22" s="11" t="s">
        <v>40</v>
      </c>
      <c r="B22" s="11" t="s">
        <v>39</v>
      </c>
      <c r="C22" s="10">
        <v>0</v>
      </c>
      <c r="D22" s="10">
        <v>230800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</row>
    <row r="23" spans="1:13" x14ac:dyDescent="0.2">
      <c r="A23" s="12" t="s">
        <v>38</v>
      </c>
      <c r="B23" s="11" t="s">
        <v>37</v>
      </c>
      <c r="C23" s="10">
        <v>0</v>
      </c>
      <c r="D23" s="10">
        <v>12450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 spans="1:13" x14ac:dyDescent="0.2">
      <c r="A24" s="12"/>
      <c r="B24" s="11" t="s">
        <v>36</v>
      </c>
      <c r="C24" s="10">
        <v>0</v>
      </c>
      <c r="D24" s="10">
        <v>3653.0947500000002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</row>
    <row r="25" spans="1:13" x14ac:dyDescent="0.2">
      <c r="A25" s="12"/>
      <c r="B25" s="11" t="s">
        <v>35</v>
      </c>
      <c r="C25" s="10">
        <v>0</v>
      </c>
      <c r="D25" s="10">
        <v>278.38099999999997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 spans="1:13" x14ac:dyDescent="0.2">
      <c r="A26" s="12" t="s">
        <v>31</v>
      </c>
      <c r="B26" s="11" t="s">
        <v>30</v>
      </c>
      <c r="C26" s="10">
        <v>0</v>
      </c>
      <c r="D26" s="10">
        <v>26471.973000000002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</row>
    <row r="27" spans="1:13" x14ac:dyDescent="0.2">
      <c r="A27" s="12"/>
      <c r="B27" s="11" t="s">
        <v>29</v>
      </c>
      <c r="C27" s="10">
        <v>0</v>
      </c>
      <c r="D27" s="10">
        <v>857.70799999999997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 spans="1:13" x14ac:dyDescent="0.2">
      <c r="A28" s="12"/>
      <c r="B28" s="11" t="s">
        <v>28</v>
      </c>
      <c r="C28" s="10">
        <v>0</v>
      </c>
      <c r="D28" s="10">
        <v>457.99400000000003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</row>
    <row r="29" spans="1:13" x14ac:dyDescent="0.2">
      <c r="A29" s="12"/>
      <c r="B29" s="11" t="s">
        <v>27</v>
      </c>
      <c r="C29" s="10">
        <v>0</v>
      </c>
      <c r="D29" s="10">
        <v>5300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 spans="1:13" x14ac:dyDescent="0.2">
      <c r="A30" s="11" t="s">
        <v>26</v>
      </c>
      <c r="B30" s="11" t="s">
        <v>25</v>
      </c>
      <c r="C30" s="10">
        <v>0</v>
      </c>
      <c r="D30" s="10">
        <v>46768.008000000002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</row>
  </sheetData>
  <mergeCells count="3">
    <mergeCell ref="A26:A29"/>
    <mergeCell ref="A2:A21"/>
    <mergeCell ref="A23:A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AB5A-962D-C94A-86DF-D043CBA6CE2E}">
  <dimension ref="A1:M33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3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</row>
    <row r="2" spans="1:13" x14ac:dyDescent="0.2">
      <c r="A2" s="12" t="s">
        <v>61</v>
      </c>
      <c r="B2" s="11" t="s">
        <v>60</v>
      </c>
      <c r="C2" s="10">
        <v>0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</row>
    <row r="3" spans="1:13" x14ac:dyDescent="0.2">
      <c r="A3" s="12"/>
      <c r="B3" s="11" t="s">
        <v>59</v>
      </c>
      <c r="C3" s="10">
        <v>0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</row>
    <row r="4" spans="1:13" x14ac:dyDescent="0.2">
      <c r="A4" s="12"/>
      <c r="B4" s="11" t="s">
        <v>58</v>
      </c>
      <c r="C4" s="10">
        <v>0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 x14ac:dyDescent="0.2">
      <c r="A5" s="12"/>
      <c r="B5" s="11" t="s">
        <v>57</v>
      </c>
      <c r="C5" s="10">
        <v>0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</row>
    <row r="6" spans="1:13" x14ac:dyDescent="0.2">
      <c r="A6" s="12"/>
      <c r="B6" s="11" t="s">
        <v>56</v>
      </c>
      <c r="C6" s="10">
        <v>0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</row>
    <row r="7" spans="1:13" x14ac:dyDescent="0.2">
      <c r="A7" s="12"/>
      <c r="B7" s="11" t="s">
        <v>55</v>
      </c>
      <c r="C7" s="10">
        <v>0</v>
      </c>
      <c r="D7" s="10">
        <v>13695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 spans="1:13" x14ac:dyDescent="0.2">
      <c r="A8" s="12"/>
      <c r="B8" s="11" t="s">
        <v>54</v>
      </c>
      <c r="C8" s="10">
        <v>0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 x14ac:dyDescent="0.2">
      <c r="A9" s="12"/>
      <c r="B9" s="11" t="s">
        <v>53</v>
      </c>
      <c r="C9" s="10">
        <v>0</v>
      </c>
      <c r="D9" s="10">
        <v>11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 spans="1:13" x14ac:dyDescent="0.2">
      <c r="A10" s="12"/>
      <c r="B10" s="11" t="s">
        <v>52</v>
      </c>
      <c r="C10" s="10">
        <v>0</v>
      </c>
      <c r="D10" s="10">
        <v>834.51107000000002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</row>
    <row r="11" spans="1:13" x14ac:dyDescent="0.2">
      <c r="A11" s="12"/>
      <c r="B11" s="11" t="s">
        <v>51</v>
      </c>
      <c r="C11" s="10">
        <v>0</v>
      </c>
      <c r="D11" s="10">
        <v>1897.296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 spans="1:13" x14ac:dyDescent="0.2">
      <c r="A12" s="12"/>
      <c r="B12" s="11" t="s">
        <v>50</v>
      </c>
      <c r="C12" s="10">
        <v>0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</row>
    <row r="13" spans="1:13" x14ac:dyDescent="0.2">
      <c r="A13" s="12"/>
      <c r="B13" s="11" t="s">
        <v>49</v>
      </c>
      <c r="C13" s="10">
        <v>0</v>
      </c>
      <c r="D13" s="10">
        <v>254.358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 spans="1:13" x14ac:dyDescent="0.2">
      <c r="A14" s="12"/>
      <c r="B14" s="11" t="s">
        <v>48</v>
      </c>
      <c r="C14" s="10">
        <v>0</v>
      </c>
      <c r="D14" s="10">
        <v>4570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</row>
    <row r="15" spans="1:13" x14ac:dyDescent="0.2">
      <c r="A15" s="12"/>
      <c r="B15" s="11" t="s">
        <v>47</v>
      </c>
      <c r="C15" s="10">
        <v>0</v>
      </c>
      <c r="D15" s="10">
        <v>53544.201999999997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 spans="1:13" x14ac:dyDescent="0.2">
      <c r="A16" s="12"/>
      <c r="B16" s="11" t="s">
        <v>46</v>
      </c>
      <c r="C16" s="10">
        <v>0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</row>
    <row r="17" spans="1:13" x14ac:dyDescent="0.2">
      <c r="A17" s="12"/>
      <c r="B17" s="11" t="s">
        <v>45</v>
      </c>
      <c r="C17" s="10">
        <v>0</v>
      </c>
      <c r="D17" s="10">
        <v>27270.741000000002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 spans="1:13" x14ac:dyDescent="0.2">
      <c r="A18" s="12"/>
      <c r="B18" s="11" t="s">
        <v>44</v>
      </c>
      <c r="C18" s="10">
        <v>0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</row>
    <row r="19" spans="1:13" x14ac:dyDescent="0.2">
      <c r="A19" s="12"/>
      <c r="B19" s="11" t="s">
        <v>43</v>
      </c>
      <c r="C19" s="10">
        <v>0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 spans="1:13" x14ac:dyDescent="0.2">
      <c r="A20" s="12"/>
      <c r="B20" s="11" t="s">
        <v>42</v>
      </c>
      <c r="C20" s="10">
        <v>0</v>
      </c>
      <c r="D20" s="10">
        <v>40470.421999999999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</row>
    <row r="21" spans="1:13" x14ac:dyDescent="0.2">
      <c r="A21" s="12"/>
      <c r="B21" s="11" t="s">
        <v>41</v>
      </c>
      <c r="C21" s="10">
        <v>0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 spans="1:13" x14ac:dyDescent="0.2">
      <c r="A22" s="11" t="s">
        <v>40</v>
      </c>
      <c r="B22" s="11" t="s">
        <v>39</v>
      </c>
      <c r="C22" s="10">
        <v>0</v>
      </c>
      <c r="D22" s="10">
        <v>230800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</row>
    <row r="23" spans="1:13" x14ac:dyDescent="0.2">
      <c r="A23" s="12" t="s">
        <v>38</v>
      </c>
      <c r="B23" s="11" t="s">
        <v>37</v>
      </c>
      <c r="C23" s="10">
        <v>0</v>
      </c>
      <c r="D23" s="10">
        <v>12450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 spans="1:13" x14ac:dyDescent="0.2">
      <c r="A24" s="12"/>
      <c r="B24" s="11" t="s">
        <v>74</v>
      </c>
      <c r="C24" s="10">
        <v>0</v>
      </c>
      <c r="D24" s="10">
        <v>38000000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</row>
    <row r="25" spans="1:13" x14ac:dyDescent="0.2">
      <c r="A25" s="12"/>
      <c r="B25" s="11" t="s">
        <v>36</v>
      </c>
      <c r="C25" s="10">
        <v>0</v>
      </c>
      <c r="D25" s="10">
        <v>3653.0947500000002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 spans="1:13" x14ac:dyDescent="0.2">
      <c r="A26" s="12"/>
      <c r="B26" s="11" t="s">
        <v>35</v>
      </c>
      <c r="C26" s="10">
        <v>0</v>
      </c>
      <c r="D26" s="10">
        <v>278.38099999999997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</row>
    <row r="27" spans="1:13" x14ac:dyDescent="0.2">
      <c r="A27" s="12"/>
      <c r="B27" s="11" t="s">
        <v>75</v>
      </c>
      <c r="C27" s="10">
        <v>0</v>
      </c>
      <c r="D27" s="10">
        <v>342000000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 spans="1:13" x14ac:dyDescent="0.2">
      <c r="A28" s="12" t="s">
        <v>31</v>
      </c>
      <c r="B28" s="11" t="s">
        <v>30</v>
      </c>
      <c r="C28" s="10">
        <v>0</v>
      </c>
      <c r="D28" s="10">
        <v>26471.973000000002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</row>
    <row r="29" spans="1:13" x14ac:dyDescent="0.2">
      <c r="A29" s="12"/>
      <c r="B29" s="11" t="s">
        <v>29</v>
      </c>
      <c r="C29" s="10">
        <v>0</v>
      </c>
      <c r="D29" s="10">
        <v>857.70799999999997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 spans="1:13" x14ac:dyDescent="0.2">
      <c r="A30" s="12"/>
      <c r="B30" s="11" t="s">
        <v>28</v>
      </c>
      <c r="C30" s="10">
        <v>0</v>
      </c>
      <c r="D30" s="10">
        <v>457.99400000000003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</row>
    <row r="31" spans="1:13" x14ac:dyDescent="0.2">
      <c r="A31" s="12"/>
      <c r="B31" s="11" t="s">
        <v>27</v>
      </c>
      <c r="C31" s="10">
        <v>0</v>
      </c>
      <c r="D31" s="10">
        <v>5300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 spans="1:13" x14ac:dyDescent="0.2">
      <c r="A32" s="12" t="s">
        <v>26</v>
      </c>
      <c r="B32" s="11" t="s">
        <v>74</v>
      </c>
      <c r="C32" s="10">
        <v>0</v>
      </c>
      <c r="D32" s="10">
        <v>19000000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</row>
    <row r="33" spans="1:13" x14ac:dyDescent="0.2">
      <c r="A33" s="12"/>
      <c r="B33" s="11" t="s">
        <v>25</v>
      </c>
      <c r="C33" s="10">
        <v>0</v>
      </c>
      <c r="D33" s="10">
        <v>46768.008000000002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</sheetData>
  <mergeCells count="4">
    <mergeCell ref="A32:A33"/>
    <mergeCell ref="A23:A27"/>
    <mergeCell ref="A2:A21"/>
    <mergeCell ref="A28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2026-08-18T12:34:45Z</dcterms:modified>
</cp:coreProperties>
</file>