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C461C7F3-6580-884D-AB39-DA72188ECEAE}" xr6:coauthVersionLast="47" xr6:coauthVersionMax="47" xr10:uidLastSave="{00000000-0000-0000-0000-000000000000}"/>
  <bookViews>
    <workbookView xWindow="9080" yWindow="660" windowWidth="19880" windowHeight="17400" xr2:uid="{D4188A73-9F76-7B43-A2AE-82D891E862BC}"/>
  </bookViews>
  <sheets>
    <sheet name="Summary" sheetId="8" r:id="rId1"/>
    <sheet name="Inflexible" sheetId="15" r:id="rId2"/>
    <sheet name="Temporal" sheetId="16" r:id="rId3"/>
    <sheet name="Spatial" sheetId="17" r:id="rId4"/>
    <sheet name="Both" sheetId="18" r:id="rId5"/>
    <sheet name="CFE" sheetId="19" r:id="rId6"/>
    <sheet name="CFE_both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B8" i="8"/>
  <c r="G11" i="8"/>
  <c r="E14" i="8"/>
  <c r="C15" i="8"/>
  <c r="E15" i="8"/>
  <c r="B11" i="8"/>
  <c r="F15" i="8"/>
  <c r="D11" i="8"/>
  <c r="F12" i="8"/>
  <c r="B15" i="8"/>
  <c r="F11" i="8"/>
  <c r="F13" i="8"/>
  <c r="G12" i="8"/>
  <c r="C13" i="8"/>
  <c r="F14" i="8"/>
  <c r="D13" i="8"/>
  <c r="B13" i="8"/>
  <c r="C11" i="8"/>
  <c r="E13" i="8"/>
  <c r="G14" i="8"/>
  <c r="G15" i="8"/>
  <c r="G13" i="8"/>
  <c r="E11" i="8"/>
  <c r="D15" i="8"/>
  <c r="C14" i="8"/>
  <c r="B12" i="8"/>
  <c r="D12" i="8"/>
  <c r="C12" i="8"/>
  <c r="E12" i="8"/>
  <c r="B7" i="8"/>
  <c r="D14" i="8"/>
  <c r="B14" i="8"/>
  <c r="D21" i="8" l="1"/>
  <c r="E19" i="8"/>
  <c r="C19" i="8"/>
  <c r="D19" i="8"/>
  <c r="C21" i="8"/>
  <c r="D22" i="8"/>
  <c r="E18" i="8"/>
  <c r="G20" i="8"/>
  <c r="G22" i="8"/>
  <c r="G21" i="8"/>
  <c r="E20" i="8"/>
  <c r="C18" i="8"/>
  <c r="D20" i="8"/>
  <c r="F21" i="8"/>
  <c r="C20" i="8"/>
  <c r="G19" i="8"/>
  <c r="F20" i="8"/>
  <c r="F18" i="8"/>
  <c r="F19" i="8"/>
  <c r="D18" i="8"/>
  <c r="F22" i="8"/>
  <c r="E22" i="8"/>
  <c r="C22" i="8"/>
  <c r="E21" i="8"/>
  <c r="G18" i="8"/>
</calcChain>
</file>

<file path=xl/sharedStrings.xml><?xml version="1.0" encoding="utf-8"?>
<sst xmlns="http://schemas.openxmlformats.org/spreadsheetml/2006/main" count="323" uniqueCount="78">
  <si>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</si>
  <si>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</si>
  <si>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</si>
  <si>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</si>
  <si>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</si>
  <si>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</si>
  <si>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</si>
  <si>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</si>
  <si>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</si>
  <si>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</si>
  <si>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</si>
  <si>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</si>
  <si>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</si>
  <si>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</si>
  <si>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</si>
  <si>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</si>
  <si>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</si>
  <si>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</si>
  <si>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</si>
  <si>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</si>
  <si>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</si>
  <si>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</si>
  <si>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</si>
  <si>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</si>
  <si>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</si>
  <si>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</si>
  <si>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</si>
  <si>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</si>
  <si>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</si>
  <si>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</si>
  <si>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</si>
  <si>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</si>
  <si>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</si>
  <si>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</si>
  <si>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</si>
  <si>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</si>
  <si>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</si>
  <si>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</si>
  <si>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</si>
  <si>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</si>
  <si>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</si>
  <si>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</si>
  <si>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</si>
  <si>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</si>
  <si>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</si>
  <si>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</si>
  <si>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</si>
  <si>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</si>
  <si>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</si>
  <si>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</si>
  <si>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</si>
  <si>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</si>
  <si>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</si>
  <si>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</si>
  <si>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</si>
  <si>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</si>
  <si>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</si>
  <si>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</si>
  <si>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</si>
  <si>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</si>
  <si>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</si>
  <si>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</si>
  <si>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</si>
  <si>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</si>
  <si>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</si>
  <si>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</si>
  <si>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</si>
  <si>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</si>
  <si>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</si>
  <si>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</si>
  <si>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Current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</si>
  <si>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</si>
  <si>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</si>
  <si>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</si>
  <si>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</si>
  <si>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DC Cost Reduction w.r.t. Inflexible</t>
  </si>
  <si>
    <t>Objective Reduction w.r.t. Inflexible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</si>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</sst>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5" fillId="0" borderId="0" xfId="4"/>
    <xf numFmtId="0" fontId="6" fillId="0" borderId="1" xfId="4" applyFont="1" applyBorder="1" applyAlignment="1">
      <alignment horizontal="center" vertical="top"/>
    </xf>
    <xf numFmtId="0" fontId="6" fillId="0" borderId="1" xfId="4" applyFont="1" applyBorder="1" applyAlignment="1">
      <alignment horizontal="center" vertical="top"/>
    </xf>
    <xf numFmtId="0" fontId="7" fillId="0" borderId="0" xfId="2" applyFont="1"/>
    <xf numFmtId="10" fontId="2" fillId="0" borderId="0" xfId="2" applyNumberFormat="1"/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workbookViewId="0">
      <selection activeCell="A15" sqref="A15"/>
    </sheetView>
  </sheetViews>
  <sheetFormatPr baseColWidth="10" defaultRowHeight="16" x14ac:dyDescent="0.2"/>
  <cols>
    <col min="1" max="1" width="44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51</v>
      </c>
    </row>
    <row r="3" spans="1:7" x14ac:dyDescent="0.2">
      <c r="A3" s="4" t="s">
        <v>52</v>
      </c>
      <c r="B3" s="2" t="s">
        <v>70</v>
      </c>
    </row>
    <row r="4" spans="1:7" x14ac:dyDescent="0.2">
      <c r="A4" s="4" t="s">
        <v>55</v>
      </c>
      <c r="B4" s="2">
        <v>4</v>
      </c>
      <c r="D4" s="1"/>
    </row>
    <row r="5" spans="1:7" x14ac:dyDescent="0.2">
      <c r="A5" s="4" t="s">
        <v>53</v>
      </c>
      <c r="B5" s="6">
        <v>0.1</v>
      </c>
      <c r="D5" s="1"/>
    </row>
    <row r="6" spans="1:7" x14ac:dyDescent="0.2">
      <c r="A6" s="4" t="s">
        <v>54</v>
      </c>
      <c r="B6" s="6">
        <v>0.03</v>
      </c>
      <c r="D6" s="1"/>
    </row>
    <row r="7" spans="1:7" x14ac:dyDescent="0.2">
      <c r="A7" s="4" t="s">
        <v>56</v>
      </c>
      <c r="B7" s="3">
        <f ca="1">SUMIFS(INDIRECT(B$10&amp;"!$D$2:$D$34"), INDIRECT(B$10&amp;"!$B$2:$B$34"), "Solar PV")
+SUMIFS(INDIRECT(B$10&amp;"!$D$2:$D$34"), INDIRECT(B$10&amp;"!$B$2:$B$34"), "Offshore Wind")
+SUMIFS(INDIRECT(B$10&amp;"!$D$2:$D$34"), INDIRECT(B$10&amp;"!$B$2:$B$34"), "Onshore Wind")
+SUMIFS(INDIRECT(B$10&amp;"!$D$2:$D$34"), INDIRECT(B$10&amp;"!$B$2:$B$34"), "Large Hydro")
+SUMIFS(INDIRECT(B$10&amp;"!$D$2:$D$34"), INDIRECT(B$10&amp;"!$B$2:$B$34"), "Marine Energy")</f>
        <v>123437.01899999999</v>
      </c>
      <c r="D7" s="1"/>
    </row>
    <row r="8" spans="1:7" x14ac:dyDescent="0.2">
      <c r="A8" s="4" t="s">
        <v>67</v>
      </c>
      <c r="B8" s="3">
        <f ca="1">SUMIFS(INDIRECT(B$10&amp;"!$D$2:$D$34"), INDIRECT(B$10&amp;"!$B$2:$B$34"), "Battery Storage")
+SUMIFS(INDIRECT(B$10&amp;"!$D$2:$D$34"), INDIRECT(B$10&amp;"!$B$2:$B$34"), "Domestic Battery Storage")
+SUMIFS(INDIRECT(B$10&amp;"!$D$2:$D$34"), INDIRECT(B$10&amp;"!$B$2:$B$34"), "Liquid Air Energy Storage")+SUMIFS(INDIRECT(B$10&amp;"!$D$2:$D$34"), INDIRECT(B$10&amp;"!$B$2:$B$34"), "Pumped Storage Hydroelectricity")</f>
        <v>33087.675000000003</v>
      </c>
      <c r="D8" s="1"/>
    </row>
    <row r="10" spans="1:7" x14ac:dyDescent="0.2">
      <c r="B10" s="4" t="s">
        <v>62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69</v>
      </c>
    </row>
    <row r="11" spans="1:7" x14ac:dyDescent="0.2">
      <c r="A11" s="4" t="s">
        <v>57</v>
      </c>
      <c r="B11" s="3">
        <f ca="1">SUMIFS(INDIRECT(B$10&amp;"!$J$2:$J$34"), INDIRECT(B$10&amp;"!$B$2:$B$34"), "Solar PV")
+SUMIFS(INDIRECT(B$10&amp;"!$J$2:$J$34"), INDIRECT(B$10&amp;"!$B$2:$B$34"), "Offshore Wind")
+SUMIFS(INDIRECT(B$10&amp;"!$J$2:$J$34"), INDIRECT(B$10&amp;"!$B$2:$B$34"), "Onshore Wind")
+SUMIFS(INDIRECT(B$10&amp;"!$J$2:$J$34"), INDIRECT(B$10&amp;"!$B$2:$B$34"), "Large Hydro")
+SUMIFS(INDIRECT(B$10&amp;"!$J$2:$J$34"), INDIRECT(B$10&amp;"!$B$2:$B$34"), "Marine Energy")</f>
        <v>11551016.227630001</v>
      </c>
      <c r="C11" s="3">
        <f t="shared" ref="C11:G11" ca="1" si="0">SUMIFS(INDIRECT(C$10&amp;"!$J$2:$J$34"), INDIRECT(C$10&amp;"!$B$2:$B$34"), "Solar PV")
+SUMIFS(INDIRECT(C$10&amp;"!$J$2:$J$34"), INDIRECT(C$10&amp;"!$B$2:$B$34"), "Offshore Wind")
+SUMIFS(INDIRECT(C$10&amp;"!$J$2:$J$34"), INDIRECT(C$10&amp;"!$B$2:$B$34"), "Onshore Wind")
+SUMIFS(INDIRECT(C$10&amp;"!$J$2:$J$34"), INDIRECT(C$10&amp;"!$B$2:$B$34"), "Large Hydro")
+SUMIFS(INDIRECT(C$10&amp;"!$J$2:$J$34"), INDIRECT(C$10&amp;"!$B$2:$B$34"), "Marine Energy")</f>
        <v>11569839.76354</v>
      </c>
      <c r="D11" s="3">
        <f t="shared" ca="1" si="0"/>
        <v>11838855.82277</v>
      </c>
      <c r="E11" s="3">
        <f t="shared" ca="1" si="0"/>
        <v>11737787.619299999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58</v>
      </c>
      <c r="B12" s="3">
        <f ca="1">SUMIFS(INDIRECT(B$10&amp;"!$J$2:$J$34"), INDIRECT(B$10&amp;"!$B$2:$B$34"), "Offshore Wind")</f>
        <v>6741252.8918500002</v>
      </c>
      <c r="C12" s="3">
        <f t="shared" ref="C12:G12" ca="1" si="1">SUMIFS(INDIRECT(C$10&amp;"!$J$2:$J$34"), INDIRECT(C$10&amp;"!$B$2:$B$34"), "Offshore Wind")</f>
        <v>6667469.0159299998</v>
      </c>
      <c r="D12" s="3">
        <f t="shared" ca="1" si="1"/>
        <v>6764399.9216700001</v>
      </c>
      <c r="E12" s="3">
        <f t="shared" ca="1" si="1"/>
        <v>6769494.2682999996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59</v>
      </c>
      <c r="B13" s="5">
        <f ca="1">SUMIFS(INDIRECT(B$10&amp;"!$J$2:$J$34"), INDIRECT(B$10&amp;"!$B$2:$B$34"), "Onshore Wind")</f>
        <v>3093481.4656099998</v>
      </c>
      <c r="C13" s="5">
        <f t="shared" ref="C13:G13" ca="1" si="2">SUMIFS(INDIRECT(C$10&amp;"!$J$2:$J$34"), INDIRECT(C$10&amp;"!$B$2:$B$34"), "Onshore Wind")</f>
        <v>3097251.9865000001</v>
      </c>
      <c r="D13" s="5">
        <f t="shared" ca="1" si="2"/>
        <v>3295088.9888300002</v>
      </c>
      <c r="E13" s="5">
        <f t="shared" ca="1" si="2"/>
        <v>3175365.7989699999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60</v>
      </c>
      <c r="B14" s="5">
        <f ca="1">SUMIFS(INDIRECT(B$10&amp;"!$J$2:$J$34"), INDIRECT(B$10&amp;"!$B$2:$B$34"), "Solar PV")</f>
        <v>1431946.4995200001</v>
      </c>
      <c r="C14" s="5">
        <f t="shared" ref="C14:G14" ca="1" si="3">SUMIFS(INDIRECT(C$10&amp;"!$J$2:$J$34"), INDIRECT(C$10&amp;"!$B$2:$B$34"), "Solar PV")</f>
        <v>1511529.76134</v>
      </c>
      <c r="D14" s="5">
        <f t="shared" ca="1" si="3"/>
        <v>1469958.6954699999</v>
      </c>
      <c r="E14" s="5">
        <f t="shared" ca="1" si="3"/>
        <v>1497178.37481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68</v>
      </c>
      <c r="B15" s="3">
        <f ca="1">-SUMIFS(INDIRECT(B$10&amp;"!$M$2:$M$34"), INDIRECT(B$10&amp;"!$B$2:$B$34"), "Data Centre")</f>
        <v>9415421.1157600004</v>
      </c>
      <c r="C15" s="3">
        <f t="shared" ref="C15:G15" ca="1" si="4">-SUMIFS(INDIRECT(C$10&amp;"!$M$2:$M$34"), INDIRECT(C$10&amp;"!$B$2:$B$34"), "Data Centre")</f>
        <v>9413063.7230799999</v>
      </c>
      <c r="D15" s="3">
        <f t="shared" ca="1" si="4"/>
        <v>9412419.4726199992</v>
      </c>
      <c r="E15" s="3">
        <f t="shared" ca="1" si="4"/>
        <v>9368208.6494699996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61</v>
      </c>
      <c r="B16" s="3">
        <v>77721398.573178098</v>
      </c>
      <c r="C16" s="3">
        <v>77468601.662236795</v>
      </c>
      <c r="D16" s="3">
        <v>77655938.632668197</v>
      </c>
      <c r="E16" s="3">
        <v>76789793.801960498</v>
      </c>
      <c r="F16" s="3" t="s">
        <v>77</v>
      </c>
      <c r="G16" s="3" t="s">
        <v>77</v>
      </c>
    </row>
    <row r="18" spans="1:7" x14ac:dyDescent="0.2">
      <c r="A18" s="11" t="s">
        <v>71</v>
      </c>
      <c r="C18" s="12">
        <f ca="1">1-C$11/$B$11</f>
        <v>-1.6295999883519929E-3</v>
      </c>
      <c r="D18" s="12">
        <f t="shared" ref="D18:G18" ca="1" si="5">1-D$11/$B$11</f>
        <v>-2.4918984569642255E-2</v>
      </c>
      <c r="E18" s="12">
        <f t="shared" ca="1" si="5"/>
        <v>-1.6169260607845182E-2</v>
      </c>
      <c r="F18" s="12">
        <f t="shared" ca="1" si="5"/>
        <v>1</v>
      </c>
      <c r="G18" s="12">
        <f t="shared" ca="1" si="5"/>
        <v>1</v>
      </c>
    </row>
    <row r="19" spans="1:7" x14ac:dyDescent="0.2">
      <c r="A19" s="11" t="s">
        <v>72</v>
      </c>
      <c r="C19" s="12">
        <f ca="1">1-C$12/$B$12</f>
        <v>1.0945128020520278E-2</v>
      </c>
      <c r="D19" s="12">
        <f t="shared" ref="D19:G19" ca="1" si="6">1-D$12/$B$12</f>
        <v>-3.433639145622891E-3</v>
      </c>
      <c r="E19" s="12">
        <f t="shared" ca="1" si="6"/>
        <v>-4.1893364487397555E-3</v>
      </c>
      <c r="F19" s="12">
        <f t="shared" ca="1" si="6"/>
        <v>1</v>
      </c>
      <c r="G19" s="12">
        <f t="shared" ca="1" si="6"/>
        <v>1</v>
      </c>
    </row>
    <row r="20" spans="1:7" x14ac:dyDescent="0.2">
      <c r="A20" s="11" t="s">
        <v>73</v>
      </c>
      <c r="C20" s="12">
        <f ca="1">1-C$13/$B$13</f>
        <v>-1.2188600228955071E-3</v>
      </c>
      <c r="D20" s="12">
        <f t="shared" ref="D20:G20" ca="1" si="7">1-D$13/$B$13</f>
        <v>-6.5171724951726961E-2</v>
      </c>
      <c r="E20" s="12">
        <f t="shared" ca="1" si="7"/>
        <v>-2.6469960874277776E-2</v>
      </c>
      <c r="F20" s="12">
        <f t="shared" ca="1" si="7"/>
        <v>1</v>
      </c>
      <c r="G20" s="12">
        <f t="shared" ca="1" si="7"/>
        <v>1</v>
      </c>
    </row>
    <row r="21" spans="1:7" x14ac:dyDescent="0.2">
      <c r="A21" s="11" t="s">
        <v>74</v>
      </c>
      <c r="C21" s="12">
        <f ca="1">1-C$14/$B$14</f>
        <v>-5.5576979898813939E-2</v>
      </c>
      <c r="D21" s="12">
        <f t="shared" ref="D21:G21" ca="1" si="8">1-D$14/$B$14</f>
        <v>-2.6545821343703757E-2</v>
      </c>
      <c r="E21" s="12">
        <f t="shared" ca="1" si="8"/>
        <v>-4.555468749137348E-2</v>
      </c>
      <c r="F21" s="12">
        <f t="shared" ca="1" si="8"/>
        <v>1</v>
      </c>
      <c r="G21" s="12">
        <f t="shared" ca="1" si="8"/>
        <v>1</v>
      </c>
    </row>
    <row r="22" spans="1:7" x14ac:dyDescent="0.2">
      <c r="A22" s="11" t="s">
        <v>75</v>
      </c>
      <c r="C22" s="12">
        <f ca="1">1-C$15/$B$15</f>
        <v>2.5037570290453726E-4</v>
      </c>
      <c r="D22" s="12">
        <f t="shared" ref="D22:G22" ca="1" si="9">1-D$15/$B$15</f>
        <v>3.1880073159729072E-4</v>
      </c>
      <c r="E22" s="12">
        <f t="shared" ca="1" si="9"/>
        <v>5.0143764903912702E-3</v>
      </c>
      <c r="F22" s="12">
        <f t="shared" ca="1" si="9"/>
        <v>1</v>
      </c>
      <c r="G22" s="12">
        <f t="shared" ca="1" si="9"/>
        <v>1</v>
      </c>
    </row>
    <row r="23" spans="1:7" x14ac:dyDescent="0.2">
      <c r="A23" s="11" t="s">
        <v>76</v>
      </c>
      <c r="C23" s="12">
        <f>1-C$16/$B$16</f>
        <v>3.2526037305322664E-3</v>
      </c>
      <c r="D23" s="12">
        <f t="shared" ref="D23:G23" si="10">1-D$16/$B$16</f>
        <v>8.4223832447205549E-4</v>
      </c>
      <c r="E23" s="12">
        <f t="shared" si="10"/>
        <v>1.1986464324113433E-2</v>
      </c>
      <c r="F23" s="12" t="e">
        <f t="shared" si="10"/>
        <v>#VALUE!</v>
      </c>
      <c r="G23" s="12" t="e">
        <f t="shared" si="10"/>
        <v>#VALUE!</v>
      </c>
    </row>
  </sheetData>
  <conditionalFormatting sqref="C18:G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G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5926-6FBE-3C4D-AF04-D0C28C57CE50}">
  <dimension ref="A1:N32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0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0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0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0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0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0"/>
      <c r="B7" s="9" t="s">
        <v>17</v>
      </c>
      <c r="C7" s="8">
        <v>13695</v>
      </c>
      <c r="D7" s="8">
        <v>13695</v>
      </c>
      <c r="E7" s="8">
        <v>3395181.81054</v>
      </c>
      <c r="F7" s="8">
        <v>0</v>
      </c>
      <c r="G7" s="8">
        <v>3395181.81054</v>
      </c>
      <c r="H7" s="8">
        <v>0</v>
      </c>
      <c r="I7" s="8">
        <v>0.1134617707192406</v>
      </c>
      <c r="J7" s="8">
        <v>26528393.189459998</v>
      </c>
      <c r="K7" s="8">
        <v>0</v>
      </c>
      <c r="L7" s="8">
        <v>37763451.183219999</v>
      </c>
      <c r="M7" s="8">
        <v>37763451.183219999</v>
      </c>
      <c r="N7" s="8">
        <v>11.12265950522729</v>
      </c>
    </row>
    <row r="8" spans="1:14" x14ac:dyDescent="0.2">
      <c r="A8" s="10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0"/>
      <c r="B9" s="9" t="s">
        <v>43</v>
      </c>
      <c r="C9" s="8">
        <v>11</v>
      </c>
      <c r="D9" s="8">
        <v>11</v>
      </c>
      <c r="E9" s="8">
        <v>4256.6790000000001</v>
      </c>
      <c r="F9" s="8">
        <v>0</v>
      </c>
      <c r="G9" s="8">
        <v>4256.6790000000001</v>
      </c>
      <c r="H9" s="8">
        <v>0</v>
      </c>
      <c r="I9" s="8">
        <v>0.17710363636363641</v>
      </c>
      <c r="J9" s="8">
        <v>19778.321</v>
      </c>
      <c r="K9" s="8">
        <v>0</v>
      </c>
      <c r="L9" s="8">
        <v>53038.22034</v>
      </c>
      <c r="M9" s="8">
        <v>90804.610499999995</v>
      </c>
      <c r="N9" s="8">
        <v>21.332229716550149</v>
      </c>
    </row>
    <row r="10" spans="1:14" x14ac:dyDescent="0.2">
      <c r="A10" s="10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1971.4490499999999</v>
      </c>
      <c r="N10" s="8">
        <v>55.421990171990167</v>
      </c>
    </row>
    <row r="11" spans="1:14" x14ac:dyDescent="0.2">
      <c r="A11" s="10"/>
      <c r="B11" s="9" t="s">
        <v>19</v>
      </c>
      <c r="C11" s="8">
        <v>1897.296</v>
      </c>
      <c r="D11" s="8">
        <v>1897.296</v>
      </c>
      <c r="E11" s="8">
        <v>1408454.0470799999</v>
      </c>
      <c r="F11" s="8">
        <v>0</v>
      </c>
      <c r="G11" s="8">
        <v>1408454.0470799999</v>
      </c>
      <c r="H11" s="8">
        <v>0</v>
      </c>
      <c r="I11" s="8">
        <v>0.33974740367343842</v>
      </c>
      <c r="J11" s="8">
        <v>249782.65692000001</v>
      </c>
      <c r="K11" s="8">
        <v>0</v>
      </c>
      <c r="L11" s="8">
        <v>0</v>
      </c>
      <c r="M11" s="8">
        <v>8906718.6055800002</v>
      </c>
      <c r="N11" s="8">
        <v>6.323755243531199</v>
      </c>
    </row>
    <row r="12" spans="1:14" x14ac:dyDescent="0.2">
      <c r="A12" s="10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0"/>
      <c r="B13" s="9" t="s">
        <v>44</v>
      </c>
      <c r="C13" s="8">
        <v>254.358</v>
      </c>
      <c r="D13" s="8">
        <v>254.358</v>
      </c>
      <c r="E13" s="8">
        <v>239216.83708999999</v>
      </c>
      <c r="F13" s="8">
        <v>0</v>
      </c>
      <c r="G13" s="8">
        <v>239216.83708999999</v>
      </c>
      <c r="H13" s="8">
        <v>0</v>
      </c>
      <c r="I13" s="8">
        <v>0.43042243609400932</v>
      </c>
      <c r="J13" s="8">
        <v>34552.713730000003</v>
      </c>
      <c r="K13" s="8">
        <v>0</v>
      </c>
      <c r="L13" s="8">
        <v>0</v>
      </c>
      <c r="M13" s="8">
        <v>1905014.9409099999</v>
      </c>
      <c r="N13" s="8">
        <v>7.9635486907866264</v>
      </c>
    </row>
    <row r="14" spans="1:14" x14ac:dyDescent="0.2">
      <c r="A14" s="10"/>
      <c r="B14" s="9" t="s">
        <v>21</v>
      </c>
      <c r="C14" s="8">
        <v>4570</v>
      </c>
      <c r="D14" s="8">
        <v>4570</v>
      </c>
      <c r="E14" s="8">
        <v>3952702.2729199999</v>
      </c>
      <c r="F14" s="8">
        <v>0</v>
      </c>
      <c r="G14" s="8">
        <v>3952702.2729199999</v>
      </c>
      <c r="H14" s="8">
        <v>0</v>
      </c>
      <c r="I14" s="8">
        <v>0.3958461838074398</v>
      </c>
      <c r="J14" s="8">
        <v>6032747.7270799996</v>
      </c>
      <c r="K14" s="8">
        <v>0</v>
      </c>
      <c r="L14" s="8">
        <v>39527022.729199998</v>
      </c>
      <c r="M14" s="8">
        <v>64825334.009810001</v>
      </c>
      <c r="N14" s="8">
        <v>16.400257209293539</v>
      </c>
    </row>
    <row r="15" spans="1:14" x14ac:dyDescent="0.2">
      <c r="A15" s="10"/>
      <c r="B15" s="9" t="s">
        <v>22</v>
      </c>
      <c r="C15" s="8">
        <v>53544.201999999997</v>
      </c>
      <c r="D15" s="8">
        <v>53544.201999999997</v>
      </c>
      <c r="E15" s="8">
        <v>25373593.217719998</v>
      </c>
      <c r="F15" s="8">
        <v>0</v>
      </c>
      <c r="G15" s="8">
        <v>25373593.217719998</v>
      </c>
      <c r="H15" s="8">
        <v>0</v>
      </c>
      <c r="I15" s="8">
        <v>0.2168792891898921</v>
      </c>
      <c r="J15" s="8">
        <v>6741252.8918500002</v>
      </c>
      <c r="K15" s="8">
        <v>0</v>
      </c>
      <c r="L15" s="8">
        <v>0</v>
      </c>
      <c r="M15" s="8">
        <v>96286758.372569993</v>
      </c>
      <c r="N15" s="8">
        <v>3.7947624358983729</v>
      </c>
    </row>
    <row r="16" spans="1:14" x14ac:dyDescent="0.2">
      <c r="A16" s="10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0"/>
      <c r="B17" s="9" t="s">
        <v>24</v>
      </c>
      <c r="C17" s="8">
        <v>27270.741000000002</v>
      </c>
      <c r="D17" s="8">
        <v>27270.741000000002</v>
      </c>
      <c r="E17" s="8">
        <v>11241652.89081</v>
      </c>
      <c r="F17" s="8">
        <v>0</v>
      </c>
      <c r="G17" s="8">
        <v>11241652.89081</v>
      </c>
      <c r="H17" s="8">
        <v>0</v>
      </c>
      <c r="I17" s="8">
        <v>0.18866085193651319</v>
      </c>
      <c r="J17" s="8">
        <v>3093481.4656099998</v>
      </c>
      <c r="K17" s="8">
        <v>0</v>
      </c>
      <c r="L17" s="8">
        <v>0</v>
      </c>
      <c r="M17" s="8">
        <v>39685900.71356</v>
      </c>
      <c r="N17" s="8">
        <v>3.5302549461967181</v>
      </c>
    </row>
    <row r="18" spans="1:14" x14ac:dyDescent="0.2">
      <c r="A18" s="10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0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0"/>
      <c r="B20" s="9" t="s">
        <v>27</v>
      </c>
      <c r="C20" s="8">
        <v>40470.421999999999</v>
      </c>
      <c r="D20" s="8">
        <v>40470.421999999999</v>
      </c>
      <c r="E20" s="8">
        <v>13133594.959690001</v>
      </c>
      <c r="F20" s="8">
        <v>0</v>
      </c>
      <c r="G20" s="8">
        <v>13133594.959690001</v>
      </c>
      <c r="H20" s="8">
        <v>0</v>
      </c>
      <c r="I20" s="8">
        <v>0.14852325014055939</v>
      </c>
      <c r="J20" s="8">
        <v>1431946.4995200001</v>
      </c>
      <c r="K20" s="8">
        <v>0</v>
      </c>
      <c r="L20" s="8">
        <v>0</v>
      </c>
      <c r="M20" s="8">
        <v>86252971.783519998</v>
      </c>
      <c r="N20" s="8">
        <v>6.5673543319728687</v>
      </c>
    </row>
    <row r="21" spans="1:14" x14ac:dyDescent="0.2">
      <c r="A21" s="10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31712499.569370002</v>
      </c>
      <c r="F22" s="8">
        <v>23826230.167649999</v>
      </c>
      <c r="G22" s="8">
        <v>7886269.4017200004</v>
      </c>
      <c r="H22" s="8">
        <v>-7886269.4017200004</v>
      </c>
      <c r="I22" s="8">
        <v>0.1101307753466204</v>
      </c>
      <c r="J22" s="8">
        <v>0</v>
      </c>
      <c r="K22" s="8">
        <v>0</v>
      </c>
      <c r="L22" s="8">
        <v>0</v>
      </c>
      <c r="M22" s="8">
        <v>78316379.063339993</v>
      </c>
      <c r="N22" s="8">
        <v>1.410121898977047</v>
      </c>
    </row>
    <row r="23" spans="1:14" x14ac:dyDescent="0.2">
      <c r="A23" s="10" t="s">
        <v>29</v>
      </c>
      <c r="B23" s="9" t="s">
        <v>31</v>
      </c>
      <c r="C23" s="8">
        <v>12450</v>
      </c>
      <c r="D23" s="8">
        <v>12450</v>
      </c>
      <c r="E23" s="8">
        <v>9418356.1734500006</v>
      </c>
      <c r="F23" s="8">
        <v>5936118.4190499997</v>
      </c>
      <c r="G23" s="8">
        <v>3482237.7544</v>
      </c>
      <c r="H23" s="8">
        <v>-3482237.7544</v>
      </c>
      <c r="I23" s="8">
        <v>0.5644353004016065</v>
      </c>
      <c r="J23" s="8">
        <v>30685487.7544</v>
      </c>
      <c r="K23" s="8">
        <v>0</v>
      </c>
      <c r="L23" s="8">
        <v>0</v>
      </c>
      <c r="M23" s="8">
        <v>65578337.105149999</v>
      </c>
      <c r="N23" s="8">
        <v>4.2709593705888356</v>
      </c>
    </row>
    <row r="24" spans="1:14" x14ac:dyDescent="0.2">
      <c r="A24" s="10"/>
      <c r="B24" s="9" t="s">
        <v>46</v>
      </c>
      <c r="C24" s="8">
        <v>3653.0947500000002</v>
      </c>
      <c r="D24" s="8">
        <v>3653.0947500000002</v>
      </c>
      <c r="E24" s="8">
        <v>0</v>
      </c>
      <c r="F24" s="8">
        <v>118824.32601</v>
      </c>
      <c r="G24" s="8">
        <v>-118824.32601</v>
      </c>
      <c r="H24" s="8">
        <v>0</v>
      </c>
      <c r="I24" s="8">
        <v>1.4886512319451879E-2</v>
      </c>
      <c r="J24" s="8">
        <v>7863187.7126200004</v>
      </c>
      <c r="K24" s="8">
        <v>0</v>
      </c>
      <c r="L24" s="8">
        <v>0</v>
      </c>
      <c r="M24" s="8">
        <v>0</v>
      </c>
    </row>
    <row r="25" spans="1:14" x14ac:dyDescent="0.2">
      <c r="A25" s="10"/>
      <c r="B25" s="9" t="s">
        <v>47</v>
      </c>
      <c r="C25" s="8">
        <v>278.38099999999997</v>
      </c>
      <c r="D25" s="8">
        <v>278.38099999999997</v>
      </c>
      <c r="E25" s="8">
        <v>0</v>
      </c>
      <c r="F25" s="8">
        <v>75193.001569999993</v>
      </c>
      <c r="G25" s="8">
        <v>-75193.001569999993</v>
      </c>
      <c r="H25" s="8">
        <v>0</v>
      </c>
      <c r="I25" s="8">
        <v>0.1236193202840711</v>
      </c>
      <c r="J25" s="8">
        <v>533069.48343000002</v>
      </c>
      <c r="K25" s="8">
        <v>0</v>
      </c>
      <c r="L25" s="8">
        <v>375965.00784999999</v>
      </c>
      <c r="M25" s="8">
        <v>0</v>
      </c>
    </row>
    <row r="26" spans="1:14" x14ac:dyDescent="0.2">
      <c r="A26" s="10" t="s">
        <v>33</v>
      </c>
      <c r="B26" s="9" t="s">
        <v>34</v>
      </c>
      <c r="C26" s="8">
        <v>0</v>
      </c>
      <c r="D26" s="8">
        <v>0</v>
      </c>
      <c r="E26" s="8">
        <v>0</v>
      </c>
      <c r="F26" s="8">
        <v>1305638.96208</v>
      </c>
      <c r="G26" s="8">
        <v>-1305638.96208</v>
      </c>
      <c r="H26" s="8">
        <v>0</v>
      </c>
      <c r="J26" s="8">
        <v>0</v>
      </c>
      <c r="K26" s="8">
        <v>0</v>
      </c>
      <c r="L26" s="8">
        <v>0</v>
      </c>
      <c r="M26" s="8">
        <v>-9415421.1157600004</v>
      </c>
      <c r="N26" s="8">
        <v>-7.211351171299758</v>
      </c>
    </row>
    <row r="27" spans="1:14" x14ac:dyDescent="0.2">
      <c r="A27" s="10"/>
      <c r="B27" s="9" t="s">
        <v>35</v>
      </c>
      <c r="C27" s="8">
        <v>0</v>
      </c>
      <c r="D27" s="8">
        <v>0</v>
      </c>
      <c r="E27" s="8">
        <v>0</v>
      </c>
      <c r="F27" s="8">
        <v>52178335.791649997</v>
      </c>
      <c r="G27" s="8">
        <v>-52178335.791649997</v>
      </c>
      <c r="H27" s="8">
        <v>0</v>
      </c>
      <c r="J27" s="8">
        <v>0</v>
      </c>
      <c r="K27" s="8">
        <v>0</v>
      </c>
      <c r="L27" s="8">
        <v>0</v>
      </c>
      <c r="M27" s="8">
        <v>-393498803.37620997</v>
      </c>
      <c r="N27" s="8">
        <v>-7.5414211180120461</v>
      </c>
    </row>
    <row r="28" spans="1:14" x14ac:dyDescent="0.2">
      <c r="A28" s="10" t="s">
        <v>36</v>
      </c>
      <c r="B28" s="9" t="s">
        <v>37</v>
      </c>
      <c r="C28" s="8">
        <v>26471.973000000002</v>
      </c>
      <c r="D28" s="8">
        <v>26471.973000000002</v>
      </c>
      <c r="E28" s="8">
        <v>2534480.70731</v>
      </c>
      <c r="F28" s="8">
        <v>6022224.7118600002</v>
      </c>
      <c r="G28" s="8">
        <v>-3487744.0045500002</v>
      </c>
      <c r="H28" s="8">
        <v>0</v>
      </c>
      <c r="I28" s="8">
        <v>0.14793428204236991</v>
      </c>
      <c r="J28" s="8">
        <v>61329005.009549998</v>
      </c>
      <c r="K28" s="8">
        <v>0</v>
      </c>
      <c r="L28" s="8">
        <v>0</v>
      </c>
      <c r="M28" s="8">
        <v>16374792.60313</v>
      </c>
      <c r="N28" s="8">
        <v>1.913679600487046</v>
      </c>
    </row>
    <row r="29" spans="1:14" x14ac:dyDescent="0.2">
      <c r="A29" s="10"/>
      <c r="B29" s="9" t="s">
        <v>48</v>
      </c>
      <c r="C29" s="8">
        <v>857.70799999999997</v>
      </c>
      <c r="D29" s="8">
        <v>857.70799999999997</v>
      </c>
      <c r="E29" s="8">
        <v>135053.08541</v>
      </c>
      <c r="F29" s="8">
        <v>267736.02502</v>
      </c>
      <c r="G29" s="8">
        <v>-132682.93961</v>
      </c>
      <c r="H29" s="8">
        <v>0</v>
      </c>
      <c r="I29" s="8">
        <v>0.2149249394898963</v>
      </c>
      <c r="J29" s="8">
        <v>2006774.91961</v>
      </c>
      <c r="K29" s="8">
        <v>0</v>
      </c>
      <c r="L29" s="8">
        <v>0</v>
      </c>
      <c r="M29" s="8">
        <v>537457.84479</v>
      </c>
      <c r="N29" s="8">
        <v>1.334340568909538</v>
      </c>
    </row>
    <row r="30" spans="1:14" x14ac:dyDescent="0.2">
      <c r="A30" s="10"/>
      <c r="B30" s="9" t="s">
        <v>49</v>
      </c>
      <c r="C30" s="8">
        <v>457.99400000000003</v>
      </c>
      <c r="D30" s="8">
        <v>457.99400000000003</v>
      </c>
      <c r="E30" s="8">
        <v>32097.39402</v>
      </c>
      <c r="F30" s="8">
        <v>259872.91630000001</v>
      </c>
      <c r="G30" s="8">
        <v>-227775.52228</v>
      </c>
      <c r="H30" s="8">
        <v>0</v>
      </c>
      <c r="I30" s="8">
        <v>0.29176115844312372</v>
      </c>
      <c r="J30" s="8">
        <v>1228492.41228</v>
      </c>
      <c r="K30" s="8">
        <v>0</v>
      </c>
      <c r="L30" s="8">
        <v>0</v>
      </c>
      <c r="M30" s="8">
        <v>546305.31452999997</v>
      </c>
      <c r="N30" s="8">
        <v>1.871098835950137</v>
      </c>
    </row>
    <row r="31" spans="1:14" x14ac:dyDescent="0.2">
      <c r="A31" s="10"/>
      <c r="B31" s="9" t="s">
        <v>38</v>
      </c>
      <c r="C31" s="8">
        <v>5300</v>
      </c>
      <c r="D31" s="8">
        <v>5300</v>
      </c>
      <c r="E31" s="8">
        <v>820056.17049000005</v>
      </c>
      <c r="F31" s="8">
        <v>2242395.36589</v>
      </c>
      <c r="G31" s="8">
        <v>-1422339.1954000001</v>
      </c>
      <c r="H31" s="8">
        <v>0</v>
      </c>
      <c r="I31" s="8">
        <v>0.26444899056603771</v>
      </c>
      <c r="J31" s="8">
        <v>13002839.1954</v>
      </c>
      <c r="K31" s="8">
        <v>0</v>
      </c>
      <c r="L31" s="8">
        <v>0</v>
      </c>
      <c r="M31" s="8">
        <v>10106392.082629999</v>
      </c>
      <c r="N31" s="8">
        <v>3.3000986208668199</v>
      </c>
    </row>
    <row r="32" spans="1:14" x14ac:dyDescent="0.2">
      <c r="A32" s="9" t="s">
        <v>40</v>
      </c>
      <c r="B32" s="9" t="s">
        <v>50</v>
      </c>
      <c r="C32" s="8">
        <v>46768.008000000002</v>
      </c>
      <c r="D32" s="8">
        <v>46768.008000000002</v>
      </c>
      <c r="E32" s="8">
        <v>74108.303</v>
      </c>
      <c r="F32" s="8">
        <v>82092.329639999996</v>
      </c>
      <c r="G32" s="8">
        <v>-7984.02664</v>
      </c>
      <c r="H32" s="8">
        <v>0</v>
      </c>
      <c r="I32" s="8">
        <v>0.78130690706347805</v>
      </c>
      <c r="J32" s="8">
        <v>0</v>
      </c>
      <c r="K32" s="8">
        <v>0</v>
      </c>
      <c r="L32" s="8">
        <v>0</v>
      </c>
      <c r="M32" s="8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1A5C-75D3-2D4E-9DC4-690E47A40DAE}">
  <dimension ref="A1:N34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0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0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0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0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0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0"/>
      <c r="B7" s="9" t="s">
        <v>17</v>
      </c>
      <c r="C7" s="8">
        <v>13695</v>
      </c>
      <c r="D7" s="8">
        <v>13695</v>
      </c>
      <c r="E7" s="8">
        <v>3386634.5046700002</v>
      </c>
      <c r="F7" s="8">
        <v>0</v>
      </c>
      <c r="G7" s="8">
        <v>3386634.5046700002</v>
      </c>
      <c r="H7" s="8">
        <v>0</v>
      </c>
      <c r="I7" s="8">
        <v>0.1131761328952172</v>
      </c>
      <c r="J7" s="8">
        <v>26536940.495329998</v>
      </c>
      <c r="K7" s="8">
        <v>0</v>
      </c>
      <c r="L7" s="8">
        <v>37546898.791199997</v>
      </c>
      <c r="M7" s="8">
        <v>37546898.791199997</v>
      </c>
      <c r="N7" s="8">
        <v>11.08678801136405</v>
      </c>
    </row>
    <row r="8" spans="1:14" x14ac:dyDescent="0.2">
      <c r="A8" s="10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0"/>
      <c r="B9" s="9" t="s">
        <v>43</v>
      </c>
      <c r="C9" s="8">
        <v>11</v>
      </c>
      <c r="D9" s="8">
        <v>11</v>
      </c>
      <c r="E9" s="8">
        <v>4256.6790000000001</v>
      </c>
      <c r="F9" s="8">
        <v>0</v>
      </c>
      <c r="G9" s="8">
        <v>4256.6790000000001</v>
      </c>
      <c r="H9" s="8">
        <v>0</v>
      </c>
      <c r="I9" s="8">
        <v>0.17710363636363641</v>
      </c>
      <c r="J9" s="8">
        <v>19778.321</v>
      </c>
      <c r="K9" s="8">
        <v>0</v>
      </c>
      <c r="L9" s="8">
        <v>53038.22034</v>
      </c>
      <c r="M9" s="8">
        <v>90781.261270000003</v>
      </c>
      <c r="N9" s="8">
        <v>21.326747564343432</v>
      </c>
    </row>
    <row r="10" spans="1:14" x14ac:dyDescent="0.2">
      <c r="A10" s="10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1971.4490499999999</v>
      </c>
      <c r="N10" s="8">
        <v>55.421990171990167</v>
      </c>
    </row>
    <row r="11" spans="1:14" x14ac:dyDescent="0.2">
      <c r="A11" s="10"/>
      <c r="B11" s="9" t="s">
        <v>19</v>
      </c>
      <c r="C11" s="8">
        <v>1897.296</v>
      </c>
      <c r="D11" s="8">
        <v>1897.296</v>
      </c>
      <c r="E11" s="8">
        <v>1401465.6544300001</v>
      </c>
      <c r="F11" s="8">
        <v>0</v>
      </c>
      <c r="G11" s="8">
        <v>1401465.6544300001</v>
      </c>
      <c r="H11" s="8">
        <v>0</v>
      </c>
      <c r="I11" s="8">
        <v>0.3380616677629637</v>
      </c>
      <c r="J11" s="8">
        <v>256771.04957</v>
      </c>
      <c r="K11" s="8">
        <v>0</v>
      </c>
      <c r="L11" s="8">
        <v>0</v>
      </c>
      <c r="M11" s="8">
        <v>8903915.0790500008</v>
      </c>
      <c r="N11" s="8">
        <v>6.3532880612276479</v>
      </c>
    </row>
    <row r="12" spans="1:14" x14ac:dyDescent="0.2">
      <c r="A12" s="10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0"/>
      <c r="B13" s="9" t="s">
        <v>44</v>
      </c>
      <c r="C13" s="8">
        <v>254.358</v>
      </c>
      <c r="D13" s="8">
        <v>254.358</v>
      </c>
      <c r="E13" s="8">
        <v>236951.60060999999</v>
      </c>
      <c r="F13" s="8">
        <v>0</v>
      </c>
      <c r="G13" s="8">
        <v>236951.60060999999</v>
      </c>
      <c r="H13" s="8">
        <v>0</v>
      </c>
      <c r="I13" s="8">
        <v>0.42634660596482121</v>
      </c>
      <c r="J13" s="8">
        <v>36817.950199999999</v>
      </c>
      <c r="K13" s="8">
        <v>0</v>
      </c>
      <c r="L13" s="8">
        <v>0</v>
      </c>
      <c r="M13" s="8">
        <v>1904115.02245</v>
      </c>
      <c r="N13" s="8">
        <v>8.0358815237300281</v>
      </c>
    </row>
    <row r="14" spans="1:14" x14ac:dyDescent="0.2">
      <c r="A14" s="10"/>
      <c r="B14" s="9" t="s">
        <v>21</v>
      </c>
      <c r="C14" s="8">
        <v>4570</v>
      </c>
      <c r="D14" s="8">
        <v>4570</v>
      </c>
      <c r="E14" s="8">
        <v>3949338.5881500002</v>
      </c>
      <c r="F14" s="8">
        <v>0</v>
      </c>
      <c r="G14" s="8">
        <v>3949338.5881500002</v>
      </c>
      <c r="H14" s="8">
        <v>0</v>
      </c>
      <c r="I14" s="8">
        <v>0.39550932385120352</v>
      </c>
      <c r="J14" s="8">
        <v>6036111.4118499998</v>
      </c>
      <c r="K14" s="8">
        <v>0</v>
      </c>
      <c r="L14" s="8">
        <v>39493385.88149</v>
      </c>
      <c r="M14" s="8">
        <v>64752793.197140001</v>
      </c>
      <c r="N14" s="8">
        <v>16.395857667083359</v>
      </c>
    </row>
    <row r="15" spans="1:14" x14ac:dyDescent="0.2">
      <c r="A15" s="10"/>
      <c r="B15" s="9" t="s">
        <v>22</v>
      </c>
      <c r="C15" s="8">
        <v>53544.201999999997</v>
      </c>
      <c r="D15" s="8">
        <v>53544.201999999997</v>
      </c>
      <c r="E15" s="8">
        <v>25447377.093630001</v>
      </c>
      <c r="F15" s="8">
        <v>0</v>
      </c>
      <c r="G15" s="8">
        <v>25447377.093630001</v>
      </c>
      <c r="H15" s="8">
        <v>0</v>
      </c>
      <c r="I15" s="8">
        <v>0.21750995261821249</v>
      </c>
      <c r="J15" s="8">
        <v>6667469.0159299998</v>
      </c>
      <c r="K15" s="8">
        <v>0</v>
      </c>
      <c r="L15" s="8">
        <v>0</v>
      </c>
      <c r="M15" s="8">
        <v>96337276.792040005</v>
      </c>
      <c r="N15" s="8">
        <v>3.7857448501643192</v>
      </c>
    </row>
    <row r="16" spans="1:14" x14ac:dyDescent="0.2">
      <c r="A16" s="10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0"/>
      <c r="B17" s="9" t="s">
        <v>24</v>
      </c>
      <c r="C17" s="8">
        <v>27270.741000000002</v>
      </c>
      <c r="D17" s="8">
        <v>27270.741000000002</v>
      </c>
      <c r="E17" s="8">
        <v>11237882.36992</v>
      </c>
      <c r="F17" s="8">
        <v>0</v>
      </c>
      <c r="G17" s="8">
        <v>11237882.36992</v>
      </c>
      <c r="H17" s="8">
        <v>0</v>
      </c>
      <c r="I17" s="8">
        <v>0.1885975738613043</v>
      </c>
      <c r="J17" s="8">
        <v>3097251.9865000001</v>
      </c>
      <c r="K17" s="8">
        <v>0</v>
      </c>
      <c r="L17" s="8">
        <v>0</v>
      </c>
      <c r="M17" s="8">
        <v>39695975.815540001</v>
      </c>
      <c r="N17" s="8">
        <v>3.5323359440818001</v>
      </c>
    </row>
    <row r="18" spans="1:14" x14ac:dyDescent="0.2">
      <c r="A18" s="10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0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0"/>
      <c r="B20" s="9" t="s">
        <v>27</v>
      </c>
      <c r="C20" s="8">
        <v>40470.421999999999</v>
      </c>
      <c r="D20" s="8">
        <v>40470.421999999999</v>
      </c>
      <c r="E20" s="8">
        <v>13054011.697869999</v>
      </c>
      <c r="F20" s="8">
        <v>0</v>
      </c>
      <c r="G20" s="8">
        <v>13054011.697869999</v>
      </c>
      <c r="H20" s="8">
        <v>0</v>
      </c>
      <c r="I20" s="8">
        <v>0.14762327064442271</v>
      </c>
      <c r="J20" s="8">
        <v>1511529.76134</v>
      </c>
      <c r="K20" s="8">
        <v>0</v>
      </c>
      <c r="L20" s="8">
        <v>0</v>
      </c>
      <c r="M20" s="8">
        <v>86210634.245460004</v>
      </c>
      <c r="N20" s="8">
        <v>6.6041486933114149</v>
      </c>
    </row>
    <row r="21" spans="1:14" x14ac:dyDescent="0.2">
      <c r="A21" s="10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30446276.243719999</v>
      </c>
      <c r="F22" s="8">
        <v>24298262.791269999</v>
      </c>
      <c r="G22" s="8">
        <v>6148013.4524600003</v>
      </c>
      <c r="H22" s="8">
        <v>-6148013.4524600003</v>
      </c>
      <c r="I22" s="8">
        <v>0.1085559312824957</v>
      </c>
      <c r="J22" s="8">
        <v>0</v>
      </c>
      <c r="K22" s="8">
        <v>0</v>
      </c>
      <c r="L22" s="8">
        <v>0</v>
      </c>
      <c r="M22" s="8">
        <v>78146122.673350006</v>
      </c>
      <c r="N22" s="8">
        <v>1.427468822553402</v>
      </c>
    </row>
    <row r="23" spans="1:14" x14ac:dyDescent="0.2">
      <c r="A23" s="10" t="s">
        <v>29</v>
      </c>
      <c r="B23" s="9" t="s">
        <v>31</v>
      </c>
      <c r="C23" s="8">
        <v>12450</v>
      </c>
      <c r="D23" s="8">
        <v>12450</v>
      </c>
      <c r="E23" s="8">
        <v>9429713.4954300001</v>
      </c>
      <c r="F23" s="8">
        <v>5956242.2085999995</v>
      </c>
      <c r="G23" s="8">
        <v>3473471.2868400002</v>
      </c>
      <c r="H23" s="8">
        <v>-3473471.2868400002</v>
      </c>
      <c r="I23" s="8">
        <v>0.56559255582329315</v>
      </c>
      <c r="J23" s="8">
        <v>30676721.286839999</v>
      </c>
      <c r="K23" s="8">
        <v>0</v>
      </c>
      <c r="L23" s="8">
        <v>0</v>
      </c>
      <c r="M23" s="8">
        <v>65331781.574349999</v>
      </c>
      <c r="N23" s="8">
        <v>4.2461958736549557</v>
      </c>
    </row>
    <row r="24" spans="1:14" x14ac:dyDescent="0.2">
      <c r="A24" s="10"/>
      <c r="B24" s="9" t="s">
        <v>39</v>
      </c>
      <c r="C24" s="8">
        <v>20000000</v>
      </c>
      <c r="D24" s="8">
        <v>20000000</v>
      </c>
      <c r="E24" s="8">
        <v>0</v>
      </c>
      <c r="F24" s="8">
        <v>75077.318400000004</v>
      </c>
      <c r="G24" s="8">
        <v>-75077.318400000004</v>
      </c>
      <c r="H24" s="8">
        <v>0</v>
      </c>
      <c r="I24" s="8">
        <v>1.7180165E-6</v>
      </c>
      <c r="J24" s="8">
        <v>43699924922.681602</v>
      </c>
      <c r="K24" s="8">
        <v>0</v>
      </c>
      <c r="L24" s="8">
        <v>0.75077000000000005</v>
      </c>
      <c r="M24" s="8">
        <v>-560172.76355000003</v>
      </c>
      <c r="N24" s="8">
        <v>-7.4612778748050443</v>
      </c>
    </row>
    <row r="25" spans="1:14" x14ac:dyDescent="0.2">
      <c r="A25" s="10"/>
      <c r="B25" s="9" t="s">
        <v>46</v>
      </c>
      <c r="C25" s="8">
        <v>3653.0947500000002</v>
      </c>
      <c r="D25" s="8">
        <v>3653.0947500000002</v>
      </c>
      <c r="E25" s="8">
        <v>0</v>
      </c>
      <c r="F25" s="8">
        <v>112876.49781</v>
      </c>
      <c r="G25" s="8">
        <v>-112876.49781</v>
      </c>
      <c r="H25" s="8">
        <v>0</v>
      </c>
      <c r="I25" s="8">
        <v>1.414135781723154E-2</v>
      </c>
      <c r="J25" s="8">
        <v>7869135.5408300003</v>
      </c>
      <c r="K25" s="8">
        <v>0</v>
      </c>
      <c r="L25" s="8">
        <v>0</v>
      </c>
      <c r="M25" s="8">
        <v>0</v>
      </c>
    </row>
    <row r="26" spans="1:14" x14ac:dyDescent="0.2">
      <c r="A26" s="10"/>
      <c r="B26" s="9" t="s">
        <v>47</v>
      </c>
      <c r="C26" s="8">
        <v>278.38099999999997</v>
      </c>
      <c r="D26" s="8">
        <v>278.38099999999997</v>
      </c>
      <c r="E26" s="8">
        <v>0</v>
      </c>
      <c r="F26" s="8">
        <v>74671.317169999995</v>
      </c>
      <c r="G26" s="8">
        <v>-74671.317169999995</v>
      </c>
      <c r="H26" s="8">
        <v>0</v>
      </c>
      <c r="I26" s="8">
        <v>0.12276168272978399</v>
      </c>
      <c r="J26" s="8">
        <v>533591.16783000005</v>
      </c>
      <c r="K26" s="8">
        <v>0</v>
      </c>
      <c r="L26" s="8">
        <v>373356.58587000001</v>
      </c>
      <c r="M26" s="8">
        <v>0</v>
      </c>
    </row>
    <row r="27" spans="1:14" x14ac:dyDescent="0.2">
      <c r="A27" s="10" t="s">
        <v>33</v>
      </c>
      <c r="B27" s="9" t="s">
        <v>34</v>
      </c>
      <c r="C27" s="8">
        <v>0</v>
      </c>
      <c r="D27" s="8">
        <v>0</v>
      </c>
      <c r="E27" s="8">
        <v>0</v>
      </c>
      <c r="F27" s="8">
        <v>1305638.96208</v>
      </c>
      <c r="G27" s="8">
        <v>-1305638.96208</v>
      </c>
      <c r="H27" s="8">
        <v>0</v>
      </c>
      <c r="J27" s="8">
        <v>0</v>
      </c>
      <c r="K27" s="8">
        <v>0</v>
      </c>
      <c r="L27" s="8">
        <v>0</v>
      </c>
      <c r="M27" s="8">
        <v>-9413063.7230799999</v>
      </c>
      <c r="N27" s="8">
        <v>-7.2095456212574884</v>
      </c>
    </row>
    <row r="28" spans="1:14" x14ac:dyDescent="0.2">
      <c r="A28" s="10"/>
      <c r="B28" s="9" t="s">
        <v>35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-393354705.12252998</v>
      </c>
      <c r="N28" s="8">
        <v>-7.5386594688153954</v>
      </c>
    </row>
    <row r="29" spans="1:14" x14ac:dyDescent="0.2">
      <c r="A29" s="10" t="s">
        <v>36</v>
      </c>
      <c r="B29" s="9" t="s">
        <v>37</v>
      </c>
      <c r="C29" s="8">
        <v>26471.973000000002</v>
      </c>
      <c r="D29" s="8">
        <v>26471.973000000002</v>
      </c>
      <c r="E29" s="8">
        <v>2588526.9386900002</v>
      </c>
      <c r="F29" s="8">
        <v>6068031.1185499998</v>
      </c>
      <c r="G29" s="8">
        <v>-3479504.17986</v>
      </c>
      <c r="H29" s="8">
        <v>0</v>
      </c>
      <c r="I29" s="8">
        <v>0.1496606040660437</v>
      </c>
      <c r="J29" s="8">
        <v>61320765.184859999</v>
      </c>
      <c r="K29" s="8">
        <v>0</v>
      </c>
      <c r="L29" s="8">
        <v>0</v>
      </c>
      <c r="M29" s="8">
        <v>16301792.925039999</v>
      </c>
      <c r="N29" s="8">
        <v>1.883172595792399</v>
      </c>
    </row>
    <row r="30" spans="1:14" x14ac:dyDescent="0.2">
      <c r="A30" s="10"/>
      <c r="B30" s="9" t="s">
        <v>48</v>
      </c>
      <c r="C30" s="8">
        <v>857.70799999999997</v>
      </c>
      <c r="D30" s="8">
        <v>857.70799999999997</v>
      </c>
      <c r="E30" s="8">
        <v>139017.15027000001</v>
      </c>
      <c r="F30" s="8">
        <v>269815.42489000002</v>
      </c>
      <c r="G30" s="8">
        <v>-130798.27462</v>
      </c>
      <c r="H30" s="8">
        <v>0</v>
      </c>
      <c r="I30" s="8">
        <v>0.21814968497437359</v>
      </c>
      <c r="J30" s="8">
        <v>2004890.25462</v>
      </c>
      <c r="K30" s="8">
        <v>0</v>
      </c>
      <c r="L30" s="8">
        <v>0</v>
      </c>
      <c r="M30" s="8">
        <v>535030.67438999994</v>
      </c>
      <c r="N30" s="8">
        <v>1.3086791834886591</v>
      </c>
    </row>
    <row r="31" spans="1:14" x14ac:dyDescent="0.2">
      <c r="A31" s="10"/>
      <c r="B31" s="9" t="s">
        <v>49</v>
      </c>
      <c r="C31" s="8">
        <v>457.99400000000003</v>
      </c>
      <c r="D31" s="8">
        <v>457.99400000000003</v>
      </c>
      <c r="E31" s="8">
        <v>32827.522799999999</v>
      </c>
      <c r="F31" s="8">
        <v>259059.65074000001</v>
      </c>
      <c r="G31" s="8">
        <v>-226232.12794999999</v>
      </c>
      <c r="H31" s="8">
        <v>0</v>
      </c>
      <c r="I31" s="8">
        <v>0.29167807875212343</v>
      </c>
      <c r="J31" s="8">
        <v>1226949.01795</v>
      </c>
      <c r="K31" s="8">
        <v>0</v>
      </c>
      <c r="L31" s="8">
        <v>0</v>
      </c>
      <c r="M31" s="8">
        <v>545943.85092999996</v>
      </c>
      <c r="N31" s="8">
        <v>1.87039341683509</v>
      </c>
    </row>
    <row r="32" spans="1:14" x14ac:dyDescent="0.2">
      <c r="A32" s="10"/>
      <c r="B32" s="9" t="s">
        <v>38</v>
      </c>
      <c r="C32" s="8">
        <v>5300</v>
      </c>
      <c r="D32" s="8">
        <v>5300</v>
      </c>
      <c r="E32" s="8">
        <v>842301.88098999998</v>
      </c>
      <c r="F32" s="8">
        <v>2251042.2581600002</v>
      </c>
      <c r="G32" s="8">
        <v>-1408740.3771599999</v>
      </c>
      <c r="H32" s="8">
        <v>0</v>
      </c>
      <c r="I32" s="8">
        <v>0.26711663018867932</v>
      </c>
      <c r="J32" s="8">
        <v>12989240.37716</v>
      </c>
      <c r="K32" s="8">
        <v>0</v>
      </c>
      <c r="L32" s="8">
        <v>0</v>
      </c>
      <c r="M32" s="8">
        <v>10090844.813279999</v>
      </c>
      <c r="N32" s="8">
        <v>3.2621151622737559</v>
      </c>
    </row>
    <row r="33" spans="1:13" x14ac:dyDescent="0.2">
      <c r="A33" s="10" t="s">
        <v>40</v>
      </c>
      <c r="B33" s="9" t="s">
        <v>39</v>
      </c>
      <c r="C33" s="8">
        <v>10000000</v>
      </c>
      <c r="D33" s="8">
        <v>10000000</v>
      </c>
      <c r="E33" s="8">
        <v>37538.659200000002</v>
      </c>
      <c r="F33" s="8">
        <v>37538.659200000002</v>
      </c>
      <c r="G33" s="8">
        <v>0</v>
      </c>
      <c r="H33" s="8">
        <v>0</v>
      </c>
      <c r="I33" s="8">
        <v>0.99993399738400002</v>
      </c>
      <c r="J33" s="8">
        <v>0</v>
      </c>
      <c r="K33" s="8">
        <v>0</v>
      </c>
      <c r="L33" s="8">
        <v>0</v>
      </c>
      <c r="M33" s="8">
        <v>0</v>
      </c>
    </row>
    <row r="34" spans="1:13" x14ac:dyDescent="0.2">
      <c r="A34" s="10"/>
      <c r="B34" s="9" t="s">
        <v>50</v>
      </c>
      <c r="C34" s="8">
        <v>46768.008000000002</v>
      </c>
      <c r="D34" s="8">
        <v>46768.008000000002</v>
      </c>
      <c r="E34" s="8">
        <v>73894.682480000003</v>
      </c>
      <c r="F34" s="8">
        <v>78236.913769999999</v>
      </c>
      <c r="G34" s="8">
        <v>-4342.2312899999997</v>
      </c>
      <c r="H34" s="8">
        <v>0</v>
      </c>
      <c r="I34" s="8">
        <v>0.42492534832785689</v>
      </c>
      <c r="J34" s="8">
        <v>0</v>
      </c>
      <c r="K34" s="8">
        <v>0</v>
      </c>
      <c r="L34" s="8">
        <v>0</v>
      </c>
      <c r="M34" s="8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F648-3F73-2D40-ADC6-87C75AB9BE76}">
  <dimension ref="A1:N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0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0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0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0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0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0"/>
      <c r="B7" s="9" t="s">
        <v>17</v>
      </c>
      <c r="C7" s="8">
        <v>13695</v>
      </c>
      <c r="D7" s="8">
        <v>13695</v>
      </c>
      <c r="E7" s="8">
        <v>3396832.6494200001</v>
      </c>
      <c r="F7" s="8">
        <v>0</v>
      </c>
      <c r="G7" s="8">
        <v>3396832.6494200001</v>
      </c>
      <c r="H7" s="8">
        <v>0</v>
      </c>
      <c r="I7" s="8">
        <v>0.11351693902884261</v>
      </c>
      <c r="J7" s="8">
        <v>26526742.350579999</v>
      </c>
      <c r="K7" s="8">
        <v>0</v>
      </c>
      <c r="L7" s="8">
        <v>37718347.844130002</v>
      </c>
      <c r="M7" s="8">
        <v>37718347.844130002</v>
      </c>
      <c r="N7" s="8">
        <v>11.10397592591573</v>
      </c>
    </row>
    <row r="8" spans="1:14" x14ac:dyDescent="0.2">
      <c r="A8" s="10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0"/>
      <c r="B9" s="9" t="s">
        <v>43</v>
      </c>
      <c r="C9" s="8">
        <v>11</v>
      </c>
      <c r="D9" s="8">
        <v>11</v>
      </c>
      <c r="E9" s="8">
        <v>4263.3450000000003</v>
      </c>
      <c r="F9" s="8">
        <v>0</v>
      </c>
      <c r="G9" s="8">
        <v>4263.3450000000003</v>
      </c>
      <c r="H9" s="8">
        <v>0</v>
      </c>
      <c r="I9" s="8">
        <v>0.17738090909090909</v>
      </c>
      <c r="J9" s="8">
        <v>19771.654999999999</v>
      </c>
      <c r="K9" s="8">
        <v>0</v>
      </c>
      <c r="L9" s="8">
        <v>53121.278749999998</v>
      </c>
      <c r="M9" s="8">
        <v>90849.458689999999</v>
      </c>
      <c r="N9" s="8">
        <v>21.30940605476658</v>
      </c>
    </row>
    <row r="10" spans="1:14" x14ac:dyDescent="0.2">
      <c r="A10" s="10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1971.0807500000001</v>
      </c>
      <c r="N10" s="8">
        <v>55.411547911547913</v>
      </c>
    </row>
    <row r="11" spans="1:14" x14ac:dyDescent="0.2">
      <c r="A11" s="10"/>
      <c r="B11" s="9" t="s">
        <v>19</v>
      </c>
      <c r="C11" s="8">
        <v>1897.296</v>
      </c>
      <c r="D11" s="8">
        <v>1897.296</v>
      </c>
      <c r="E11" s="8">
        <v>1385991.8982599999</v>
      </c>
      <c r="F11" s="8">
        <v>0</v>
      </c>
      <c r="G11" s="8">
        <v>1385991.8982599999</v>
      </c>
      <c r="H11" s="8">
        <v>0</v>
      </c>
      <c r="I11" s="8">
        <v>0.33432908201988509</v>
      </c>
      <c r="J11" s="8">
        <v>272244.80573999998</v>
      </c>
      <c r="K11" s="8">
        <v>0</v>
      </c>
      <c r="L11" s="8">
        <v>0</v>
      </c>
      <c r="M11" s="8">
        <v>8909315.4925800003</v>
      </c>
      <c r="N11" s="8">
        <v>6.4281151838477806</v>
      </c>
    </row>
    <row r="12" spans="1:14" x14ac:dyDescent="0.2">
      <c r="A12" s="10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0"/>
      <c r="B13" s="9" t="s">
        <v>44</v>
      </c>
      <c r="C13" s="8">
        <v>254.358</v>
      </c>
      <c r="D13" s="8">
        <v>254.358</v>
      </c>
      <c r="E13" s="8">
        <v>236606.13975999999</v>
      </c>
      <c r="F13" s="8">
        <v>0</v>
      </c>
      <c r="G13" s="8">
        <v>236606.13975999999</v>
      </c>
      <c r="H13" s="8">
        <v>0</v>
      </c>
      <c r="I13" s="8">
        <v>0.42572500176915989</v>
      </c>
      <c r="J13" s="8">
        <v>37163.411059999999</v>
      </c>
      <c r="K13" s="8">
        <v>0</v>
      </c>
      <c r="L13" s="8">
        <v>0</v>
      </c>
      <c r="M13" s="8">
        <v>1904782.86827</v>
      </c>
      <c r="N13" s="8">
        <v>8.050437376531308</v>
      </c>
    </row>
    <row r="14" spans="1:14" x14ac:dyDescent="0.2">
      <c r="A14" s="10"/>
      <c r="B14" s="9" t="s">
        <v>21</v>
      </c>
      <c r="C14" s="8">
        <v>4570</v>
      </c>
      <c r="D14" s="8">
        <v>4570</v>
      </c>
      <c r="E14" s="8">
        <v>3949669.3365500001</v>
      </c>
      <c r="F14" s="8">
        <v>0</v>
      </c>
      <c r="G14" s="8">
        <v>3949669.3365500001</v>
      </c>
      <c r="H14" s="8">
        <v>0</v>
      </c>
      <c r="I14" s="8">
        <v>0.39554244857768051</v>
      </c>
      <c r="J14" s="8">
        <v>6035780.6634499999</v>
      </c>
      <c r="K14" s="8">
        <v>0</v>
      </c>
      <c r="L14" s="8">
        <v>39496693.365489997</v>
      </c>
      <c r="M14" s="8">
        <v>64761852.441710003</v>
      </c>
      <c r="N14" s="8">
        <v>16.396778268089189</v>
      </c>
    </row>
    <row r="15" spans="1:14" x14ac:dyDescent="0.2">
      <c r="A15" s="10"/>
      <c r="B15" s="9" t="s">
        <v>22</v>
      </c>
      <c r="C15" s="8">
        <v>53544.201999999997</v>
      </c>
      <c r="D15" s="8">
        <v>53544.201999999997</v>
      </c>
      <c r="E15" s="8">
        <v>25350446.187890001</v>
      </c>
      <c r="F15" s="8">
        <v>0</v>
      </c>
      <c r="G15" s="8">
        <v>25350446.187890001</v>
      </c>
      <c r="H15" s="8">
        <v>0</v>
      </c>
      <c r="I15" s="8">
        <v>0.216681441437861</v>
      </c>
      <c r="J15" s="8">
        <v>6764399.9216700001</v>
      </c>
      <c r="K15" s="8">
        <v>0</v>
      </c>
      <c r="L15" s="8">
        <v>0</v>
      </c>
      <c r="M15" s="8">
        <v>96266374.836960003</v>
      </c>
      <c r="N15" s="8">
        <v>3.7974232920056719</v>
      </c>
    </row>
    <row r="16" spans="1:14" x14ac:dyDescent="0.2">
      <c r="A16" s="10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0"/>
      <c r="B17" s="9" t="s">
        <v>24</v>
      </c>
      <c r="C17" s="8">
        <v>27270.741000000002</v>
      </c>
      <c r="D17" s="8">
        <v>27270.741000000002</v>
      </c>
      <c r="E17" s="8">
        <v>11040045.367590001</v>
      </c>
      <c r="F17" s="8">
        <v>0</v>
      </c>
      <c r="G17" s="8">
        <v>11040045.367590001</v>
      </c>
      <c r="H17" s="8">
        <v>0</v>
      </c>
      <c r="I17" s="8">
        <v>0.18527741288731389</v>
      </c>
      <c r="J17" s="8">
        <v>3295088.9888300002</v>
      </c>
      <c r="K17" s="8">
        <v>0</v>
      </c>
      <c r="L17" s="8">
        <v>0</v>
      </c>
      <c r="M17" s="8">
        <v>39683848.625710003</v>
      </c>
      <c r="N17" s="8">
        <v>3.5945367359274911</v>
      </c>
    </row>
    <row r="18" spans="1:14" x14ac:dyDescent="0.2">
      <c r="A18" s="10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0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0"/>
      <c r="B20" s="9" t="s">
        <v>27</v>
      </c>
      <c r="C20" s="8">
        <v>40470.421999999999</v>
      </c>
      <c r="D20" s="8">
        <v>40470.421999999999</v>
      </c>
      <c r="E20" s="8">
        <v>13095582.76375</v>
      </c>
      <c r="F20" s="8">
        <v>0</v>
      </c>
      <c r="G20" s="8">
        <v>13095582.76375</v>
      </c>
      <c r="H20" s="8">
        <v>0</v>
      </c>
      <c r="I20" s="8">
        <v>0.1480933833603218</v>
      </c>
      <c r="J20" s="8">
        <v>1469958.6954699999</v>
      </c>
      <c r="K20" s="8">
        <v>0</v>
      </c>
      <c r="L20" s="8">
        <v>0</v>
      </c>
      <c r="M20" s="8">
        <v>86215575.88222</v>
      </c>
      <c r="N20" s="8">
        <v>6.5835616088153701</v>
      </c>
    </row>
    <row r="21" spans="1:14" x14ac:dyDescent="0.2">
      <c r="A21" s="10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30142351.453219999</v>
      </c>
      <c r="F22" s="8">
        <v>24554717.53421</v>
      </c>
      <c r="G22" s="8">
        <v>5587633.9190199999</v>
      </c>
      <c r="H22" s="8">
        <v>-5587633.9190199999</v>
      </c>
      <c r="I22" s="8">
        <v>0.10846180034662049</v>
      </c>
      <c r="J22" s="8">
        <v>0</v>
      </c>
      <c r="K22" s="8">
        <v>0</v>
      </c>
      <c r="L22" s="8">
        <v>0</v>
      </c>
      <c r="M22" s="8">
        <v>77674918.320319995</v>
      </c>
      <c r="N22" s="8">
        <v>1.4200928815216189</v>
      </c>
    </row>
    <row r="23" spans="1:14" x14ac:dyDescent="0.2">
      <c r="A23" s="10" t="s">
        <v>29</v>
      </c>
      <c r="B23" s="9" t="s">
        <v>31</v>
      </c>
      <c r="C23" s="8">
        <v>12450</v>
      </c>
      <c r="D23" s="8">
        <v>12450</v>
      </c>
      <c r="E23" s="8">
        <v>9457277.9022199996</v>
      </c>
      <c r="F23" s="8">
        <v>5973346.9797299998</v>
      </c>
      <c r="G23" s="8">
        <v>3483930.9224899998</v>
      </c>
      <c r="H23" s="8">
        <v>-3483930.9224899998</v>
      </c>
      <c r="I23" s="8">
        <v>0.56723460883534138</v>
      </c>
      <c r="J23" s="8">
        <v>30687180.922490001</v>
      </c>
      <c r="K23" s="8">
        <v>0</v>
      </c>
      <c r="L23" s="8">
        <v>0</v>
      </c>
      <c r="M23" s="8">
        <v>65485236.804499999</v>
      </c>
      <c r="N23" s="8">
        <v>4.2438486669507904</v>
      </c>
    </row>
    <row r="24" spans="1:14" x14ac:dyDescent="0.2">
      <c r="A24" s="10"/>
      <c r="B24" s="9" t="s">
        <v>46</v>
      </c>
      <c r="C24" s="8">
        <v>3653.0947500000002</v>
      </c>
      <c r="D24" s="8">
        <v>3653.0947500000002</v>
      </c>
      <c r="E24" s="8">
        <v>0</v>
      </c>
      <c r="F24" s="8">
        <v>120822.29506999999</v>
      </c>
      <c r="G24" s="8">
        <v>-120822.29506999999</v>
      </c>
      <c r="H24" s="8">
        <v>0</v>
      </c>
      <c r="I24" s="8">
        <v>1.51368206368039E-2</v>
      </c>
      <c r="J24" s="8">
        <v>7861189.7435699999</v>
      </c>
      <c r="K24" s="8">
        <v>0</v>
      </c>
      <c r="L24" s="8">
        <v>0</v>
      </c>
      <c r="M24" s="8">
        <v>0</v>
      </c>
    </row>
    <row r="25" spans="1:14" x14ac:dyDescent="0.2">
      <c r="A25" s="10"/>
      <c r="B25" s="9" t="s">
        <v>47</v>
      </c>
      <c r="C25" s="8">
        <v>278.38099999999997</v>
      </c>
      <c r="D25" s="8">
        <v>278.38099999999997</v>
      </c>
      <c r="E25" s="8">
        <v>0</v>
      </c>
      <c r="F25" s="8">
        <v>77170.928520000001</v>
      </c>
      <c r="G25" s="8">
        <v>-77170.928520000001</v>
      </c>
      <c r="H25" s="8">
        <v>0</v>
      </c>
      <c r="I25" s="8">
        <v>0.126871086748018</v>
      </c>
      <c r="J25" s="8">
        <v>531091.55648000003</v>
      </c>
      <c r="K25" s="8">
        <v>0</v>
      </c>
      <c r="L25" s="8">
        <v>385854.64259</v>
      </c>
      <c r="M25" s="8">
        <v>0</v>
      </c>
    </row>
    <row r="26" spans="1:14" x14ac:dyDescent="0.2">
      <c r="A26" s="10"/>
      <c r="B26" s="9" t="s">
        <v>32</v>
      </c>
      <c r="C26" s="8">
        <v>90000000</v>
      </c>
      <c r="D26" s="8">
        <v>90000000</v>
      </c>
      <c r="E26" s="8">
        <v>0</v>
      </c>
      <c r="F26" s="8">
        <v>6913.1525499999998</v>
      </c>
      <c r="G26" s="8">
        <v>-6913.1525499999998</v>
      </c>
      <c r="H26" s="8">
        <v>6913.1525499999998</v>
      </c>
      <c r="I26" s="8">
        <v>3.5154555555555563E-8</v>
      </c>
      <c r="J26" s="8">
        <v>196649993086.84741</v>
      </c>
      <c r="K26" s="8">
        <v>0</v>
      </c>
      <c r="L26" s="8">
        <v>6.9129999999999997E-2</v>
      </c>
      <c r="M26" s="8">
        <v>-27623.16907</v>
      </c>
      <c r="N26" s="8">
        <v>-3.9957457702652728</v>
      </c>
    </row>
    <row r="27" spans="1:14" x14ac:dyDescent="0.2">
      <c r="A27" s="10" t="s">
        <v>33</v>
      </c>
      <c r="B27" s="9" t="s">
        <v>34</v>
      </c>
      <c r="C27" s="8">
        <v>0</v>
      </c>
      <c r="D27" s="8">
        <v>0</v>
      </c>
      <c r="E27" s="8">
        <v>0</v>
      </c>
      <c r="F27" s="8">
        <v>1305638.96208</v>
      </c>
      <c r="G27" s="8">
        <v>-1305638.96208</v>
      </c>
      <c r="H27" s="8">
        <v>0</v>
      </c>
      <c r="J27" s="8">
        <v>0</v>
      </c>
      <c r="K27" s="8">
        <v>0</v>
      </c>
      <c r="L27" s="8">
        <v>0</v>
      </c>
      <c r="M27" s="8">
        <v>-9412419.4726199992</v>
      </c>
      <c r="N27" s="8">
        <v>-7.2090521868057662</v>
      </c>
    </row>
    <row r="28" spans="1:14" x14ac:dyDescent="0.2">
      <c r="A28" s="10"/>
      <c r="B28" s="9" t="s">
        <v>35</v>
      </c>
      <c r="C28" s="8">
        <v>0</v>
      </c>
      <c r="D28" s="8">
        <v>0</v>
      </c>
      <c r="E28" s="8">
        <v>0</v>
      </c>
      <c r="F28" s="8">
        <v>52178335.791649997</v>
      </c>
      <c r="G28" s="8">
        <v>-52178335.791649997</v>
      </c>
      <c r="H28" s="8">
        <v>0</v>
      </c>
      <c r="J28" s="8">
        <v>0</v>
      </c>
      <c r="K28" s="8">
        <v>0</v>
      </c>
      <c r="L28" s="8">
        <v>0</v>
      </c>
      <c r="M28" s="8">
        <v>-393350240.70849001</v>
      </c>
      <c r="N28" s="8">
        <v>-7.53857390813618</v>
      </c>
    </row>
    <row r="29" spans="1:14" x14ac:dyDescent="0.2">
      <c r="A29" s="10" t="s">
        <v>36</v>
      </c>
      <c r="B29" s="9" t="s">
        <v>37</v>
      </c>
      <c r="C29" s="8">
        <v>26471.973000000002</v>
      </c>
      <c r="D29" s="8">
        <v>26471.973000000002</v>
      </c>
      <c r="E29" s="8">
        <v>3359457.8586499998</v>
      </c>
      <c r="F29" s="8">
        <v>6652166.5603900002</v>
      </c>
      <c r="G29" s="8">
        <v>-3292708.7017299999</v>
      </c>
      <c r="H29" s="8">
        <v>0</v>
      </c>
      <c r="I29" s="8">
        <v>0.17308793492649749</v>
      </c>
      <c r="J29" s="8">
        <v>61133969.706730001</v>
      </c>
      <c r="K29" s="8">
        <v>0</v>
      </c>
      <c r="L29" s="8">
        <v>0</v>
      </c>
      <c r="M29" s="8">
        <v>16373812.79456</v>
      </c>
      <c r="N29" s="8">
        <v>1.6354801279169511</v>
      </c>
    </row>
    <row r="30" spans="1:14" x14ac:dyDescent="0.2">
      <c r="A30" s="10"/>
      <c r="B30" s="9" t="s">
        <v>48</v>
      </c>
      <c r="C30" s="8">
        <v>857.70799999999997</v>
      </c>
      <c r="D30" s="8">
        <v>857.70799999999997</v>
      </c>
      <c r="E30" s="8">
        <v>159295.01891000001</v>
      </c>
      <c r="F30" s="8">
        <v>285122.48009000003</v>
      </c>
      <c r="G30" s="8">
        <v>-125827.46117</v>
      </c>
      <c r="H30" s="8">
        <v>0</v>
      </c>
      <c r="I30" s="8">
        <v>0.23713751066796629</v>
      </c>
      <c r="J30" s="8">
        <v>1999919.44117</v>
      </c>
      <c r="K30" s="8">
        <v>0</v>
      </c>
      <c r="L30" s="8">
        <v>0</v>
      </c>
      <c r="M30" s="8">
        <v>537384.13910999999</v>
      </c>
      <c r="N30" s="8">
        <v>1.209187612226353</v>
      </c>
    </row>
    <row r="31" spans="1:14" x14ac:dyDescent="0.2">
      <c r="A31" s="10"/>
      <c r="B31" s="9" t="s">
        <v>49</v>
      </c>
      <c r="C31" s="8">
        <v>457.99400000000003</v>
      </c>
      <c r="D31" s="8">
        <v>457.99400000000003</v>
      </c>
      <c r="E31" s="8">
        <v>36512.640030000002</v>
      </c>
      <c r="F31" s="8">
        <v>252192.49935999999</v>
      </c>
      <c r="G31" s="8">
        <v>-215679.85933000001</v>
      </c>
      <c r="H31" s="8">
        <v>0</v>
      </c>
      <c r="I31" s="8">
        <v>0.28849832093870231</v>
      </c>
      <c r="J31" s="8">
        <v>1216396.74933</v>
      </c>
      <c r="K31" s="8">
        <v>0</v>
      </c>
      <c r="L31" s="8">
        <v>0</v>
      </c>
      <c r="M31" s="8">
        <v>546177.09759000002</v>
      </c>
      <c r="N31" s="8">
        <v>1.8918163482314829</v>
      </c>
    </row>
    <row r="32" spans="1:14" x14ac:dyDescent="0.2">
      <c r="A32" s="10"/>
      <c r="B32" s="9" t="s">
        <v>38</v>
      </c>
      <c r="C32" s="8">
        <v>5300</v>
      </c>
      <c r="D32" s="8">
        <v>5300</v>
      </c>
      <c r="E32" s="8">
        <v>932101.06918999995</v>
      </c>
      <c r="F32" s="8">
        <v>2278245.00581</v>
      </c>
      <c r="G32" s="8">
        <v>-1346143.93661</v>
      </c>
      <c r="H32" s="8">
        <v>0</v>
      </c>
      <c r="I32" s="8">
        <v>0.2772199886792453</v>
      </c>
      <c r="J32" s="8">
        <v>12926643.93661</v>
      </c>
      <c r="K32" s="8">
        <v>0</v>
      </c>
      <c r="L32" s="8">
        <v>0</v>
      </c>
      <c r="M32" s="8">
        <v>10114208.739700001</v>
      </c>
      <c r="N32" s="8">
        <v>3.150504176255525</v>
      </c>
    </row>
    <row r="33" spans="1:13" x14ac:dyDescent="0.2">
      <c r="A33" s="9" t="s">
        <v>40</v>
      </c>
      <c r="B33" s="9" t="s">
        <v>50</v>
      </c>
      <c r="C33" s="8">
        <v>46768.008000000002</v>
      </c>
      <c r="D33" s="8">
        <v>46768.008000000002</v>
      </c>
      <c r="E33" s="8">
        <v>76749.389439999999</v>
      </c>
      <c r="F33" s="8">
        <v>84154.067469999995</v>
      </c>
      <c r="G33" s="8">
        <v>-7404.67803</v>
      </c>
      <c r="H33" s="8">
        <v>0</v>
      </c>
      <c r="I33" s="8">
        <v>0.72461257340701779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7C2C-8860-DD45-A639-2FAF49F4A13D}">
  <dimension ref="A1:N35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4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 x14ac:dyDescent="0.2">
      <c r="A2" s="10" t="s">
        <v>12</v>
      </c>
      <c r="B2" s="9" t="s">
        <v>13</v>
      </c>
      <c r="C2" s="8">
        <v>372.43929000000003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813779.84346</v>
      </c>
      <c r="K2" s="8">
        <v>0</v>
      </c>
      <c r="L2" s="8">
        <v>0</v>
      </c>
      <c r="M2" s="8">
        <v>0</v>
      </c>
    </row>
    <row r="3" spans="1:14" x14ac:dyDescent="0.2">
      <c r="A3" s="10"/>
      <c r="B3" s="9" t="s">
        <v>14</v>
      </c>
      <c r="C3" s="8">
        <v>1642.8915400000001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3589718.0135300001</v>
      </c>
      <c r="K3" s="8">
        <v>0</v>
      </c>
      <c r="L3" s="8">
        <v>0</v>
      </c>
      <c r="M3" s="8">
        <v>0</v>
      </c>
    </row>
    <row r="4" spans="1:14" x14ac:dyDescent="0.2">
      <c r="A4" s="10"/>
      <c r="B4" s="9" t="s">
        <v>15</v>
      </c>
      <c r="C4" s="8">
        <v>9185.8067100000007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20070987.666540001</v>
      </c>
      <c r="K4" s="8">
        <v>0</v>
      </c>
      <c r="L4" s="8">
        <v>0</v>
      </c>
      <c r="M4" s="8">
        <v>0</v>
      </c>
    </row>
    <row r="5" spans="1:14" x14ac:dyDescent="0.2">
      <c r="A5" s="10"/>
      <c r="B5" s="9" t="s">
        <v>16</v>
      </c>
      <c r="C5" s="8">
        <v>23586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51535410</v>
      </c>
      <c r="K5" s="8">
        <v>0</v>
      </c>
      <c r="L5" s="8">
        <v>0</v>
      </c>
      <c r="M5" s="8">
        <v>0</v>
      </c>
    </row>
    <row r="6" spans="1:14" x14ac:dyDescent="0.2">
      <c r="A6" s="10"/>
      <c r="B6" s="9" t="s">
        <v>41</v>
      </c>
      <c r="C6" s="8">
        <v>3534.0360000000001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7721868.6600000001</v>
      </c>
      <c r="K6" s="8">
        <v>0</v>
      </c>
      <c r="L6" s="8">
        <v>0</v>
      </c>
      <c r="M6" s="8">
        <v>0</v>
      </c>
    </row>
    <row r="7" spans="1:14" x14ac:dyDescent="0.2">
      <c r="A7" s="10"/>
      <c r="B7" s="9" t="s">
        <v>17</v>
      </c>
      <c r="C7" s="8">
        <v>13695</v>
      </c>
      <c r="D7" s="8">
        <v>13695</v>
      </c>
      <c r="E7" s="8">
        <v>3363263.7467200002</v>
      </c>
      <c r="F7" s="8">
        <v>0</v>
      </c>
      <c r="G7" s="8">
        <v>3363263.7467200002</v>
      </c>
      <c r="H7" s="8">
        <v>0</v>
      </c>
      <c r="I7" s="8">
        <v>0.1123951179262505</v>
      </c>
      <c r="J7" s="8">
        <v>26560311.253279999</v>
      </c>
      <c r="K7" s="8">
        <v>0</v>
      </c>
      <c r="L7" s="8">
        <v>37126080.699869998</v>
      </c>
      <c r="M7" s="8">
        <v>37126080.699869998</v>
      </c>
      <c r="N7" s="8">
        <v>11.038706315332011</v>
      </c>
    </row>
    <row r="8" spans="1:14" x14ac:dyDescent="0.2">
      <c r="A8" s="10"/>
      <c r="B8" s="9" t="s">
        <v>42</v>
      </c>
      <c r="C8" s="8">
        <v>4067.2939999999999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8887037.3900000006</v>
      </c>
      <c r="K8" s="8">
        <v>0</v>
      </c>
      <c r="L8" s="8">
        <v>0</v>
      </c>
      <c r="M8" s="8">
        <v>0</v>
      </c>
    </row>
    <row r="9" spans="1:14" x14ac:dyDescent="0.2">
      <c r="A9" s="10"/>
      <c r="B9" s="9" t="s">
        <v>43</v>
      </c>
      <c r="C9" s="8">
        <v>11</v>
      </c>
      <c r="D9" s="8">
        <v>11</v>
      </c>
      <c r="E9" s="8">
        <v>4217.2640000000001</v>
      </c>
      <c r="F9" s="8">
        <v>0</v>
      </c>
      <c r="G9" s="8">
        <v>4217.2640000000001</v>
      </c>
      <c r="H9" s="8">
        <v>0</v>
      </c>
      <c r="I9" s="8">
        <v>0.17546363636363629</v>
      </c>
      <c r="J9" s="8">
        <v>19817.736000000001</v>
      </c>
      <c r="K9" s="8">
        <v>0</v>
      </c>
      <c r="L9" s="8">
        <v>52547.10944</v>
      </c>
      <c r="M9" s="8">
        <v>89926.706179999994</v>
      </c>
      <c r="N9" s="8">
        <v>21.323449562198849</v>
      </c>
    </row>
    <row r="10" spans="1:14" x14ac:dyDescent="0.2">
      <c r="A10" s="10"/>
      <c r="B10" s="9" t="s">
        <v>18</v>
      </c>
      <c r="C10" s="8">
        <v>834.51107000000002</v>
      </c>
      <c r="D10" s="8">
        <v>834.51107000000002</v>
      </c>
      <c r="E10" s="8">
        <v>35.582079999999998</v>
      </c>
      <c r="F10" s="8">
        <v>0</v>
      </c>
      <c r="G10" s="8">
        <v>35.582079999999998</v>
      </c>
      <c r="H10" s="8">
        <v>0</v>
      </c>
      <c r="I10" s="8">
        <v>1.9508429049359409E-5</v>
      </c>
      <c r="J10" s="8">
        <v>1823371.0975500001</v>
      </c>
      <c r="K10" s="8">
        <v>0</v>
      </c>
      <c r="L10" s="8">
        <v>1921.43254</v>
      </c>
      <c r="M10" s="8">
        <v>1968.37518</v>
      </c>
      <c r="N10" s="8">
        <v>55.335380835380839</v>
      </c>
    </row>
    <row r="11" spans="1:14" x14ac:dyDescent="0.2">
      <c r="A11" s="10"/>
      <c r="B11" s="9" t="s">
        <v>19</v>
      </c>
      <c r="C11" s="8">
        <v>1897.296</v>
      </c>
      <c r="D11" s="8">
        <v>1897.296</v>
      </c>
      <c r="E11" s="8">
        <v>1399631.53012</v>
      </c>
      <c r="F11" s="8">
        <v>0</v>
      </c>
      <c r="G11" s="8">
        <v>1399631.53012</v>
      </c>
      <c r="H11" s="8">
        <v>0</v>
      </c>
      <c r="I11" s="8">
        <v>0.33761923811571842</v>
      </c>
      <c r="J11" s="8">
        <v>258605.17387999999</v>
      </c>
      <c r="K11" s="8">
        <v>0</v>
      </c>
      <c r="L11" s="8">
        <v>0</v>
      </c>
      <c r="M11" s="8">
        <v>8786365.0561200008</v>
      </c>
      <c r="N11" s="8">
        <v>6.2776272670991329</v>
      </c>
    </row>
    <row r="12" spans="1:14" x14ac:dyDescent="0.2">
      <c r="A12" s="10"/>
      <c r="B12" s="9" t="s">
        <v>20</v>
      </c>
      <c r="C12" s="8">
        <v>48629.190949999997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52178335.791649997</v>
      </c>
      <c r="K12" s="8">
        <v>0</v>
      </c>
      <c r="L12" s="8">
        <v>0</v>
      </c>
      <c r="M12" s="8">
        <v>0</v>
      </c>
    </row>
    <row r="13" spans="1:14" x14ac:dyDescent="0.2">
      <c r="A13" s="10"/>
      <c r="B13" s="9" t="s">
        <v>44</v>
      </c>
      <c r="C13" s="8">
        <v>254.358</v>
      </c>
      <c r="D13" s="8">
        <v>254.358</v>
      </c>
      <c r="E13" s="8">
        <v>236625.54746999999</v>
      </c>
      <c r="F13" s="8">
        <v>0</v>
      </c>
      <c r="G13" s="8">
        <v>236625.54746999999</v>
      </c>
      <c r="H13" s="8">
        <v>0</v>
      </c>
      <c r="I13" s="8">
        <v>0.42575995250788262</v>
      </c>
      <c r="J13" s="8">
        <v>37144.003340000003</v>
      </c>
      <c r="K13" s="8">
        <v>0</v>
      </c>
      <c r="L13" s="8">
        <v>0</v>
      </c>
      <c r="M13" s="8">
        <v>1891214.13723</v>
      </c>
      <c r="N13" s="8">
        <v>7.9924339388219909</v>
      </c>
    </row>
    <row r="14" spans="1:14" x14ac:dyDescent="0.2">
      <c r="A14" s="10"/>
      <c r="B14" s="9" t="s">
        <v>21</v>
      </c>
      <c r="C14" s="8">
        <v>4570</v>
      </c>
      <c r="D14" s="8">
        <v>4570</v>
      </c>
      <c r="E14" s="8">
        <v>3924050.4692099998</v>
      </c>
      <c r="F14" s="8">
        <v>0</v>
      </c>
      <c r="G14" s="8">
        <v>3924050.4692099998</v>
      </c>
      <c r="H14" s="8">
        <v>0</v>
      </c>
      <c r="I14" s="8">
        <v>0.3929768271334792</v>
      </c>
      <c r="J14" s="8">
        <v>6061399.5307900002</v>
      </c>
      <c r="K14" s="8">
        <v>0</v>
      </c>
      <c r="L14" s="8">
        <v>39240504.69207</v>
      </c>
      <c r="M14" s="8">
        <v>64291646.449069999</v>
      </c>
      <c r="N14" s="8">
        <v>16.38400094971664</v>
      </c>
    </row>
    <row r="15" spans="1:14" x14ac:dyDescent="0.2">
      <c r="A15" s="10"/>
      <c r="B15" s="9" t="s">
        <v>22</v>
      </c>
      <c r="C15" s="8">
        <v>53544.201999999997</v>
      </c>
      <c r="D15" s="8">
        <v>53544.201999999997</v>
      </c>
      <c r="E15" s="8">
        <v>25345351.84127</v>
      </c>
      <c r="F15" s="8">
        <v>0</v>
      </c>
      <c r="G15" s="8">
        <v>25345351.84127</v>
      </c>
      <c r="H15" s="8">
        <v>0</v>
      </c>
      <c r="I15" s="8">
        <v>0.21663789778770071</v>
      </c>
      <c r="J15" s="8">
        <v>6769494.2682999996</v>
      </c>
      <c r="K15" s="8">
        <v>0</v>
      </c>
      <c r="L15" s="8">
        <v>0</v>
      </c>
      <c r="M15" s="8">
        <v>95725796.902270004</v>
      </c>
      <c r="N15" s="8">
        <v>3.7768580799293821</v>
      </c>
    </row>
    <row r="16" spans="1:14" x14ac:dyDescent="0.2">
      <c r="A16" s="10"/>
      <c r="B16" s="9" t="s">
        <v>23</v>
      </c>
      <c r="C16" s="8">
        <v>78.5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171522.5</v>
      </c>
      <c r="K16" s="8">
        <v>0</v>
      </c>
      <c r="L16" s="8">
        <v>0</v>
      </c>
      <c r="M16" s="8">
        <v>0</v>
      </c>
    </row>
    <row r="17" spans="1:14" x14ac:dyDescent="0.2">
      <c r="A17" s="10"/>
      <c r="B17" s="9" t="s">
        <v>24</v>
      </c>
      <c r="C17" s="8">
        <v>27270.741000000002</v>
      </c>
      <c r="D17" s="8">
        <v>27270.741000000002</v>
      </c>
      <c r="E17" s="8">
        <v>11159768.55744</v>
      </c>
      <c r="F17" s="8">
        <v>0</v>
      </c>
      <c r="G17" s="8">
        <v>11159768.55744</v>
      </c>
      <c r="H17" s="8">
        <v>0</v>
      </c>
      <c r="I17" s="8">
        <v>0.18728664395294581</v>
      </c>
      <c r="J17" s="8">
        <v>3175365.7989699999</v>
      </c>
      <c r="K17" s="8">
        <v>0</v>
      </c>
      <c r="L17" s="8">
        <v>0</v>
      </c>
      <c r="M17" s="8">
        <v>39439515.037409998</v>
      </c>
      <c r="N17" s="8">
        <v>3.53408001866201</v>
      </c>
    </row>
    <row r="18" spans="1:14" x14ac:dyDescent="0.2">
      <c r="A18" s="10"/>
      <c r="B18" s="9" t="s">
        <v>25</v>
      </c>
      <c r="C18" s="8">
        <v>3662.89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8003414.6500000004</v>
      </c>
      <c r="K18" s="8">
        <v>0</v>
      </c>
      <c r="L18" s="8">
        <v>0</v>
      </c>
      <c r="M18" s="8">
        <v>0</v>
      </c>
    </row>
    <row r="19" spans="1:14" x14ac:dyDescent="0.2">
      <c r="A19" s="10"/>
      <c r="B19" s="9" t="s">
        <v>26</v>
      </c>
      <c r="C19" s="8">
        <v>55.819389999999999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121965.37684</v>
      </c>
      <c r="K19" s="8">
        <v>0</v>
      </c>
      <c r="L19" s="8">
        <v>0</v>
      </c>
      <c r="M19" s="8">
        <v>0</v>
      </c>
    </row>
    <row r="20" spans="1:14" x14ac:dyDescent="0.2">
      <c r="A20" s="10"/>
      <c r="B20" s="9" t="s">
        <v>27</v>
      </c>
      <c r="C20" s="8">
        <v>40470.421999999999</v>
      </c>
      <c r="D20" s="8">
        <v>40470.421999999999</v>
      </c>
      <c r="E20" s="8">
        <v>13068363.084410001</v>
      </c>
      <c r="F20" s="8">
        <v>0</v>
      </c>
      <c r="G20" s="8">
        <v>13068363.084410001</v>
      </c>
      <c r="H20" s="8">
        <v>0</v>
      </c>
      <c r="I20" s="8">
        <v>0.1477855654680349</v>
      </c>
      <c r="J20" s="8">
        <v>1497178.37481</v>
      </c>
      <c r="K20" s="8">
        <v>0</v>
      </c>
      <c r="L20" s="8">
        <v>0</v>
      </c>
      <c r="M20" s="8">
        <v>85827048.483290002</v>
      </c>
      <c r="N20" s="8">
        <v>6.5675439205736117</v>
      </c>
    </row>
    <row r="21" spans="1:14" x14ac:dyDescent="0.2">
      <c r="A21" s="10"/>
      <c r="B21" s="9" t="s">
        <v>28</v>
      </c>
      <c r="C21" s="8">
        <v>4643.1779999999999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10145343.93</v>
      </c>
      <c r="K21" s="8">
        <v>0</v>
      </c>
      <c r="L21" s="8">
        <v>0</v>
      </c>
      <c r="M21" s="8">
        <v>0</v>
      </c>
    </row>
    <row r="22" spans="1:14" x14ac:dyDescent="0.2">
      <c r="A22" s="9" t="s">
        <v>45</v>
      </c>
      <c r="B22" s="9" t="s">
        <v>30</v>
      </c>
      <c r="C22" s="8">
        <v>230800</v>
      </c>
      <c r="D22" s="8">
        <v>230800</v>
      </c>
      <c r="E22" s="8">
        <v>30540293.631209999</v>
      </c>
      <c r="F22" s="8">
        <v>24407796.868110001</v>
      </c>
      <c r="G22" s="8">
        <v>6132496.7630899996</v>
      </c>
      <c r="H22" s="8">
        <v>-6132496.7630899996</v>
      </c>
      <c r="I22" s="8">
        <v>0.1089595646013865</v>
      </c>
      <c r="J22" s="8">
        <v>0</v>
      </c>
      <c r="K22" s="8">
        <v>0</v>
      </c>
      <c r="L22" s="8">
        <v>0</v>
      </c>
      <c r="M22" s="8">
        <v>77699812.014540002</v>
      </c>
      <c r="N22" s="8">
        <v>1.414058455885352</v>
      </c>
    </row>
    <row r="23" spans="1:14" x14ac:dyDescent="0.2">
      <c r="A23" s="10" t="s">
        <v>29</v>
      </c>
      <c r="B23" s="9" t="s">
        <v>31</v>
      </c>
      <c r="C23" s="8">
        <v>12450</v>
      </c>
      <c r="D23" s="8">
        <v>12450</v>
      </c>
      <c r="E23" s="8">
        <v>9418080.0920800008</v>
      </c>
      <c r="F23" s="8">
        <v>5968578.8134000003</v>
      </c>
      <c r="G23" s="8">
        <v>3449501.2786900001</v>
      </c>
      <c r="H23" s="8">
        <v>-3449501.2786900001</v>
      </c>
      <c r="I23" s="8">
        <v>0.56561840642570282</v>
      </c>
      <c r="J23" s="8">
        <v>30652751.278689999</v>
      </c>
      <c r="K23" s="8">
        <v>0</v>
      </c>
      <c r="L23" s="8">
        <v>0</v>
      </c>
      <c r="M23" s="8">
        <v>64670733.312639996</v>
      </c>
      <c r="N23" s="8">
        <v>4.2030393783757436</v>
      </c>
    </row>
    <row r="24" spans="1:14" x14ac:dyDescent="0.2">
      <c r="A24" s="10"/>
      <c r="B24" s="9" t="s">
        <v>39</v>
      </c>
      <c r="C24" s="8">
        <v>20000000</v>
      </c>
      <c r="D24" s="8">
        <v>20000000</v>
      </c>
      <c r="E24" s="8">
        <v>0</v>
      </c>
      <c r="F24" s="8">
        <v>120794.54356000001</v>
      </c>
      <c r="G24" s="8">
        <v>-120794.54356000001</v>
      </c>
      <c r="H24" s="8">
        <v>0</v>
      </c>
      <c r="I24" s="8">
        <v>2.7641770000000001E-6</v>
      </c>
      <c r="J24" s="8">
        <v>43699879205.456444</v>
      </c>
      <c r="K24" s="8">
        <v>0</v>
      </c>
      <c r="L24" s="8">
        <v>1.2079500000000001</v>
      </c>
      <c r="M24" s="8">
        <v>-131010.92603</v>
      </c>
      <c r="N24" s="8">
        <v>-1.0845765303741399</v>
      </c>
    </row>
    <row r="25" spans="1:14" x14ac:dyDescent="0.2">
      <c r="A25" s="10"/>
      <c r="B25" s="9" t="s">
        <v>46</v>
      </c>
      <c r="C25" s="8">
        <v>3653.0947500000002</v>
      </c>
      <c r="D25" s="8">
        <v>3653.0947500000002</v>
      </c>
      <c r="E25" s="8">
        <v>0</v>
      </c>
      <c r="F25" s="8">
        <v>116543.11648</v>
      </c>
      <c r="G25" s="8">
        <v>-116543.11648</v>
      </c>
      <c r="H25" s="8">
        <v>0</v>
      </c>
      <c r="I25" s="8">
        <v>1.460071902049625E-2</v>
      </c>
      <c r="J25" s="8">
        <v>7865468.92215</v>
      </c>
      <c r="K25" s="8">
        <v>0</v>
      </c>
      <c r="L25" s="8">
        <v>0</v>
      </c>
      <c r="M25" s="8">
        <v>0</v>
      </c>
    </row>
    <row r="26" spans="1:14" x14ac:dyDescent="0.2">
      <c r="A26" s="10"/>
      <c r="B26" s="9" t="s">
        <v>47</v>
      </c>
      <c r="C26" s="8">
        <v>278.38099999999997</v>
      </c>
      <c r="D26" s="8">
        <v>278.38099999999997</v>
      </c>
      <c r="E26" s="8">
        <v>0</v>
      </c>
      <c r="F26" s="8">
        <v>73747.714460000003</v>
      </c>
      <c r="G26" s="8">
        <v>-73747.714460000003</v>
      </c>
      <c r="H26" s="8">
        <v>0</v>
      </c>
      <c r="I26" s="8">
        <v>0.1212432242142962</v>
      </c>
      <c r="J26" s="8">
        <v>534514.77054000006</v>
      </c>
      <c r="K26" s="8">
        <v>0</v>
      </c>
      <c r="L26" s="8">
        <v>368738.57228999998</v>
      </c>
      <c r="M26" s="8">
        <v>0</v>
      </c>
    </row>
    <row r="27" spans="1:14" x14ac:dyDescent="0.2">
      <c r="A27" s="10"/>
      <c r="B27" s="9" t="s">
        <v>32</v>
      </c>
      <c r="C27" s="8">
        <v>90000000</v>
      </c>
      <c r="D27" s="8">
        <v>90000000</v>
      </c>
      <c r="E27" s="8">
        <v>0</v>
      </c>
      <c r="F27" s="8">
        <v>8778.0508100000006</v>
      </c>
      <c r="G27" s="8">
        <v>-8778.0508100000006</v>
      </c>
      <c r="H27" s="8">
        <v>8778.0508100000006</v>
      </c>
      <c r="I27" s="8">
        <v>4.4637888888888878E-8</v>
      </c>
      <c r="J27" s="8">
        <v>196649991221.94919</v>
      </c>
      <c r="K27" s="8">
        <v>0</v>
      </c>
      <c r="L27" s="8">
        <v>8.7779999999999997E-2</v>
      </c>
      <c r="M27" s="8">
        <v>-12445.993539999999</v>
      </c>
      <c r="N27" s="8">
        <v>-1.4178562805389541</v>
      </c>
    </row>
    <row r="28" spans="1:14" x14ac:dyDescent="0.2">
      <c r="A28" s="10" t="s">
        <v>33</v>
      </c>
      <c r="B28" s="9" t="s">
        <v>34</v>
      </c>
      <c r="C28" s="8">
        <v>0</v>
      </c>
      <c r="D28" s="8">
        <v>0</v>
      </c>
      <c r="E28" s="8">
        <v>0</v>
      </c>
      <c r="F28" s="8">
        <v>1305638.96208</v>
      </c>
      <c r="G28" s="8">
        <v>-1305638.96208</v>
      </c>
      <c r="H28" s="8">
        <v>0</v>
      </c>
      <c r="J28" s="8">
        <v>0</v>
      </c>
      <c r="K28" s="8">
        <v>0</v>
      </c>
      <c r="L28" s="8">
        <v>0</v>
      </c>
      <c r="M28" s="8">
        <v>-9368208.6494699996</v>
      </c>
      <c r="N28" s="8">
        <v>-7.1751907349661401</v>
      </c>
    </row>
    <row r="29" spans="1:14" x14ac:dyDescent="0.2">
      <c r="A29" s="10"/>
      <c r="B29" s="9" t="s">
        <v>35</v>
      </c>
      <c r="C29" s="8">
        <v>0</v>
      </c>
      <c r="D29" s="8">
        <v>0</v>
      </c>
      <c r="E29" s="8">
        <v>0</v>
      </c>
      <c r="F29" s="8">
        <v>52178335.791649997</v>
      </c>
      <c r="G29" s="8">
        <v>-52178335.791649997</v>
      </c>
      <c r="H29" s="8">
        <v>0</v>
      </c>
      <c r="J29" s="8">
        <v>0</v>
      </c>
      <c r="K29" s="8">
        <v>0</v>
      </c>
      <c r="L29" s="8">
        <v>0</v>
      </c>
      <c r="M29" s="8">
        <v>-391798724.38142002</v>
      </c>
      <c r="N29" s="8">
        <v>-7.5088390325620118</v>
      </c>
    </row>
    <row r="30" spans="1:14" x14ac:dyDescent="0.2">
      <c r="A30" s="10" t="s">
        <v>36</v>
      </c>
      <c r="B30" s="9" t="s">
        <v>37</v>
      </c>
      <c r="C30" s="8">
        <v>26471.973000000002</v>
      </c>
      <c r="D30" s="8">
        <v>26471.973000000002</v>
      </c>
      <c r="E30" s="8">
        <v>3222542.8656299999</v>
      </c>
      <c r="F30" s="8">
        <v>6558527.4105399996</v>
      </c>
      <c r="G30" s="8">
        <v>-3335984.5449100002</v>
      </c>
      <c r="H30" s="8">
        <v>0</v>
      </c>
      <c r="I30" s="8">
        <v>0.1691019543575388</v>
      </c>
      <c r="J30" s="8">
        <v>61177245.549900003</v>
      </c>
      <c r="K30" s="8">
        <v>0</v>
      </c>
      <c r="L30" s="8">
        <v>0</v>
      </c>
      <c r="M30" s="8">
        <v>16356736.99237</v>
      </c>
      <c r="N30" s="8">
        <v>1.6722849878440951</v>
      </c>
    </row>
    <row r="31" spans="1:14" x14ac:dyDescent="0.2">
      <c r="A31" s="10"/>
      <c r="B31" s="9" t="s">
        <v>48</v>
      </c>
      <c r="C31" s="8">
        <v>857.70799999999997</v>
      </c>
      <c r="D31" s="8">
        <v>857.70799999999997</v>
      </c>
      <c r="E31" s="8">
        <v>169532.57191</v>
      </c>
      <c r="F31" s="8">
        <v>292880.16012000002</v>
      </c>
      <c r="G31" s="8">
        <v>-123347.58821</v>
      </c>
      <c r="H31" s="8">
        <v>0</v>
      </c>
      <c r="I31" s="8">
        <v>0.24673961301515199</v>
      </c>
      <c r="J31" s="8">
        <v>1997439.5682099999</v>
      </c>
      <c r="K31" s="8">
        <v>0</v>
      </c>
      <c r="L31" s="8">
        <v>0</v>
      </c>
      <c r="M31" s="8">
        <v>537094.02560000005</v>
      </c>
      <c r="N31" s="8">
        <v>1.1615035334692241</v>
      </c>
    </row>
    <row r="32" spans="1:14" x14ac:dyDescent="0.2">
      <c r="A32" s="10"/>
      <c r="B32" s="9" t="s">
        <v>49</v>
      </c>
      <c r="C32" s="8">
        <v>457.99400000000003</v>
      </c>
      <c r="D32" s="8">
        <v>457.99400000000003</v>
      </c>
      <c r="E32" s="8">
        <v>36088.086179999998</v>
      </c>
      <c r="F32" s="8">
        <v>255895.91565000001</v>
      </c>
      <c r="G32" s="8">
        <v>-219807.82947999999</v>
      </c>
      <c r="H32" s="8">
        <v>0</v>
      </c>
      <c r="I32" s="8">
        <v>0.29177482674445521</v>
      </c>
      <c r="J32" s="8">
        <v>1220524.71948</v>
      </c>
      <c r="K32" s="8">
        <v>0</v>
      </c>
      <c r="L32" s="8">
        <v>0</v>
      </c>
      <c r="M32" s="8">
        <v>544063.35146999999</v>
      </c>
      <c r="N32" s="8">
        <v>1.863332807507712</v>
      </c>
    </row>
    <row r="33" spans="1:14" x14ac:dyDescent="0.2">
      <c r="A33" s="10"/>
      <c r="B33" s="9" t="s">
        <v>38</v>
      </c>
      <c r="C33" s="8">
        <v>5300</v>
      </c>
      <c r="D33" s="8">
        <v>5300</v>
      </c>
      <c r="E33" s="8">
        <v>959804.12361000001</v>
      </c>
      <c r="F33" s="8">
        <v>2304565.3027300001</v>
      </c>
      <c r="G33" s="8">
        <v>-1344761.17912</v>
      </c>
      <c r="H33" s="8">
        <v>0</v>
      </c>
      <c r="I33" s="8">
        <v>0.28188501509433961</v>
      </c>
      <c r="J33" s="8">
        <v>12925261.17912</v>
      </c>
      <c r="K33" s="8">
        <v>0</v>
      </c>
      <c r="L33" s="8">
        <v>0</v>
      </c>
      <c r="M33" s="8">
        <v>10023568.174040001</v>
      </c>
      <c r="N33" s="8">
        <v>3.0705986044436768</v>
      </c>
    </row>
    <row r="34" spans="1:14" x14ac:dyDescent="0.2">
      <c r="A34" s="10" t="s">
        <v>40</v>
      </c>
      <c r="B34" s="9" t="s">
        <v>39</v>
      </c>
      <c r="C34" s="8">
        <v>10000000</v>
      </c>
      <c r="D34" s="8">
        <v>10000000</v>
      </c>
      <c r="E34" s="8">
        <v>60397.271780000003</v>
      </c>
      <c r="F34" s="8">
        <v>60397.271780000003</v>
      </c>
      <c r="G34" s="8">
        <v>0</v>
      </c>
      <c r="H34" s="8">
        <v>0</v>
      </c>
      <c r="I34" s="8">
        <v>0.99926387563099994</v>
      </c>
      <c r="J34" s="8">
        <v>0</v>
      </c>
      <c r="K34" s="8">
        <v>0</v>
      </c>
      <c r="L34" s="8">
        <v>0</v>
      </c>
      <c r="M34" s="8">
        <v>0</v>
      </c>
    </row>
    <row r="35" spans="1:14" x14ac:dyDescent="0.2">
      <c r="A35" s="10"/>
      <c r="B35" s="9" t="s">
        <v>50</v>
      </c>
      <c r="C35" s="8">
        <v>46768.008000000002</v>
      </c>
      <c r="D35" s="8">
        <v>46768.008000000002</v>
      </c>
      <c r="E35" s="8">
        <v>72935.51079</v>
      </c>
      <c r="F35" s="8">
        <v>80767.977870000002</v>
      </c>
      <c r="G35" s="8">
        <v>-7832.4670800000004</v>
      </c>
      <c r="H35" s="8">
        <v>0</v>
      </c>
      <c r="I35" s="8">
        <v>0.76647547742465327</v>
      </c>
      <c r="J35" s="8">
        <v>0</v>
      </c>
      <c r="K35" s="8">
        <v>0</v>
      </c>
      <c r="L35" s="8">
        <v>0</v>
      </c>
      <c r="M35" s="8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63D1-EEEE-484F-AF7F-5F459FC5FBD5}">
  <dimension ref="A1:M30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3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</row>
    <row r="2" spans="1:13" x14ac:dyDescent="0.2">
      <c r="A2" s="10" t="s">
        <v>12</v>
      </c>
      <c r="B2" s="9" t="s">
        <v>13</v>
      </c>
      <c r="C2" s="8">
        <v>0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</row>
    <row r="3" spans="1:13" x14ac:dyDescent="0.2">
      <c r="A3" s="10"/>
      <c r="B3" s="9" t="s">
        <v>14</v>
      </c>
      <c r="C3" s="8">
        <v>0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">
      <c r="A4" s="10"/>
      <c r="B4" s="9" t="s">
        <v>15</v>
      </c>
      <c r="C4" s="8">
        <v>0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">
      <c r="A5" s="10"/>
      <c r="B5" s="9" t="s">
        <v>16</v>
      </c>
      <c r="C5" s="8">
        <v>0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">
      <c r="A6" s="10"/>
      <c r="B6" s="9" t="s">
        <v>41</v>
      </c>
      <c r="C6" s="8">
        <v>0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">
      <c r="A7" s="10"/>
      <c r="B7" s="9" t="s">
        <v>17</v>
      </c>
      <c r="C7" s="8">
        <v>0</v>
      </c>
      <c r="D7" s="8">
        <v>13695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">
      <c r="A8" s="10"/>
      <c r="B8" s="9" t="s">
        <v>42</v>
      </c>
      <c r="C8" s="8">
        <v>0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">
      <c r="A9" s="10"/>
      <c r="B9" s="9" t="s">
        <v>43</v>
      </c>
      <c r="C9" s="8">
        <v>0</v>
      </c>
      <c r="D9" s="8">
        <v>11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">
      <c r="A10" s="10"/>
      <c r="B10" s="9" t="s">
        <v>18</v>
      </c>
      <c r="C10" s="8">
        <v>0</v>
      </c>
      <c r="D10" s="8">
        <v>834.51107000000002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">
      <c r="A11" s="10"/>
      <c r="B11" s="9" t="s">
        <v>19</v>
      </c>
      <c r="C11" s="8">
        <v>0</v>
      </c>
      <c r="D11" s="8">
        <v>1897.296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">
      <c r="A12" s="10"/>
      <c r="B12" s="9" t="s">
        <v>20</v>
      </c>
      <c r="C12" s="8">
        <v>0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">
      <c r="A13" s="10"/>
      <c r="B13" s="9" t="s">
        <v>44</v>
      </c>
      <c r="C13" s="8">
        <v>0</v>
      </c>
      <c r="D13" s="8">
        <v>254.358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">
      <c r="A14" s="10"/>
      <c r="B14" s="9" t="s">
        <v>21</v>
      </c>
      <c r="C14" s="8">
        <v>0</v>
      </c>
      <c r="D14" s="8">
        <v>4570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">
      <c r="A15" s="10"/>
      <c r="B15" s="9" t="s">
        <v>22</v>
      </c>
      <c r="C15" s="8">
        <v>0</v>
      </c>
      <c r="D15" s="8">
        <v>53544.201999999997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x14ac:dyDescent="0.2">
      <c r="A16" s="10"/>
      <c r="B16" s="9" t="s">
        <v>23</v>
      </c>
      <c r="C16" s="8">
        <v>0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x14ac:dyDescent="0.2">
      <c r="A17" s="10"/>
      <c r="B17" s="9" t="s">
        <v>24</v>
      </c>
      <c r="C17" s="8">
        <v>0</v>
      </c>
      <c r="D17" s="8">
        <v>27270.741000000002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x14ac:dyDescent="0.2">
      <c r="A18" s="10"/>
      <c r="B18" s="9" t="s">
        <v>25</v>
      </c>
      <c r="C18" s="8">
        <v>0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1:13" x14ac:dyDescent="0.2">
      <c r="A19" s="10"/>
      <c r="B19" s="9" t="s">
        <v>26</v>
      </c>
      <c r="C19" s="8">
        <v>0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 x14ac:dyDescent="0.2">
      <c r="A20" s="10"/>
      <c r="B20" s="9" t="s">
        <v>27</v>
      </c>
      <c r="C20" s="8">
        <v>0</v>
      </c>
      <c r="D20" s="8">
        <v>40470.421999999999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 x14ac:dyDescent="0.2">
      <c r="A21" s="10"/>
      <c r="B21" s="9" t="s">
        <v>28</v>
      </c>
      <c r="C21" s="8">
        <v>0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1:13" x14ac:dyDescent="0.2">
      <c r="A22" s="9" t="s">
        <v>45</v>
      </c>
      <c r="B22" s="9" t="s">
        <v>30</v>
      </c>
      <c r="C22" s="8">
        <v>0</v>
      </c>
      <c r="D22" s="8">
        <v>230800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 x14ac:dyDescent="0.2">
      <c r="A23" s="10" t="s">
        <v>29</v>
      </c>
      <c r="B23" s="9" t="s">
        <v>31</v>
      </c>
      <c r="C23" s="8">
        <v>0</v>
      </c>
      <c r="D23" s="8">
        <v>12450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 x14ac:dyDescent="0.2">
      <c r="A24" s="10"/>
      <c r="B24" s="9" t="s">
        <v>46</v>
      </c>
      <c r="C24" s="8">
        <v>0</v>
      </c>
      <c r="D24" s="8">
        <v>3653.0947500000002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 x14ac:dyDescent="0.2">
      <c r="A25" s="10"/>
      <c r="B25" s="9" t="s">
        <v>47</v>
      </c>
      <c r="C25" s="8">
        <v>0</v>
      </c>
      <c r="D25" s="8">
        <v>278.38099999999997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1:13" x14ac:dyDescent="0.2">
      <c r="A26" s="10" t="s">
        <v>36</v>
      </c>
      <c r="B26" s="9" t="s">
        <v>37</v>
      </c>
      <c r="C26" s="8">
        <v>0</v>
      </c>
      <c r="D26" s="8">
        <v>26471.973000000002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1:13" x14ac:dyDescent="0.2">
      <c r="A27" s="10"/>
      <c r="B27" s="9" t="s">
        <v>48</v>
      </c>
      <c r="C27" s="8">
        <v>0</v>
      </c>
      <c r="D27" s="8">
        <v>857.70799999999997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 x14ac:dyDescent="0.2">
      <c r="A28" s="10"/>
      <c r="B28" s="9" t="s">
        <v>49</v>
      </c>
      <c r="C28" s="8">
        <v>0</v>
      </c>
      <c r="D28" s="8">
        <v>457.99400000000003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 x14ac:dyDescent="0.2">
      <c r="A29" s="10"/>
      <c r="B29" s="9" t="s">
        <v>38</v>
      </c>
      <c r="C29" s="8">
        <v>0</v>
      </c>
      <c r="D29" s="8">
        <v>5300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2">
      <c r="A30" s="9" t="s">
        <v>40</v>
      </c>
      <c r="B30" s="9" t="s">
        <v>50</v>
      </c>
      <c r="C30" s="8">
        <v>0</v>
      </c>
      <c r="D30" s="8">
        <v>46768.008000000002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49D7-5C2C-B14B-AD83-6570B6E0C4E5}">
  <dimension ref="A1:M33"/>
  <sheetViews>
    <sheetView workbookViewId="0"/>
  </sheetViews>
  <sheetFormatPr baseColWidth="10" defaultColWidth="8.83203125" defaultRowHeight="15" x14ac:dyDescent="0.2"/>
  <cols>
    <col min="1" max="16384" width="8.83203125" style="8"/>
  </cols>
  <sheetData>
    <row r="1" spans="1:13" x14ac:dyDescent="0.2"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</row>
    <row r="2" spans="1:13" x14ac:dyDescent="0.2">
      <c r="A2" s="10" t="s">
        <v>12</v>
      </c>
      <c r="B2" s="9" t="s">
        <v>13</v>
      </c>
      <c r="C2" s="8">
        <v>0</v>
      </c>
      <c r="D2" s="8">
        <v>372.43929000000003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</row>
    <row r="3" spans="1:13" x14ac:dyDescent="0.2">
      <c r="A3" s="10"/>
      <c r="B3" s="9" t="s">
        <v>14</v>
      </c>
      <c r="C3" s="8">
        <v>0</v>
      </c>
      <c r="D3" s="8">
        <v>1642.8915400000001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x14ac:dyDescent="0.2">
      <c r="A4" s="10"/>
      <c r="B4" s="9" t="s">
        <v>15</v>
      </c>
      <c r="C4" s="8">
        <v>0</v>
      </c>
      <c r="D4" s="8">
        <v>9185.8067100000007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</row>
    <row r="5" spans="1:13" x14ac:dyDescent="0.2">
      <c r="A5" s="10"/>
      <c r="B5" s="9" t="s">
        <v>16</v>
      </c>
      <c r="C5" s="8">
        <v>0</v>
      </c>
      <c r="D5" s="8">
        <v>23586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</row>
    <row r="6" spans="1:13" x14ac:dyDescent="0.2">
      <c r="A6" s="10"/>
      <c r="B6" s="9" t="s">
        <v>41</v>
      </c>
      <c r="C6" s="8">
        <v>0</v>
      </c>
      <c r="D6" s="8">
        <v>3534.0360000000001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x14ac:dyDescent="0.2">
      <c r="A7" s="10"/>
      <c r="B7" s="9" t="s">
        <v>17</v>
      </c>
      <c r="C7" s="8">
        <v>0</v>
      </c>
      <c r="D7" s="8">
        <v>13695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x14ac:dyDescent="0.2">
      <c r="A8" s="10"/>
      <c r="B8" s="9" t="s">
        <v>42</v>
      </c>
      <c r="C8" s="8">
        <v>0</v>
      </c>
      <c r="D8" s="8">
        <v>4067.2939999999999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">
      <c r="A9" s="10"/>
      <c r="B9" s="9" t="s">
        <v>43</v>
      </c>
      <c r="C9" s="8">
        <v>0</v>
      </c>
      <c r="D9" s="8">
        <v>11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</row>
    <row r="10" spans="1:13" x14ac:dyDescent="0.2">
      <c r="A10" s="10"/>
      <c r="B10" s="9" t="s">
        <v>18</v>
      </c>
      <c r="C10" s="8">
        <v>0</v>
      </c>
      <c r="D10" s="8">
        <v>834.51107000000002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x14ac:dyDescent="0.2">
      <c r="A11" s="10"/>
      <c r="B11" s="9" t="s">
        <v>19</v>
      </c>
      <c r="C11" s="8">
        <v>0</v>
      </c>
      <c r="D11" s="8">
        <v>1897.296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</row>
    <row r="12" spans="1:13" x14ac:dyDescent="0.2">
      <c r="A12" s="10"/>
      <c r="B12" s="9" t="s">
        <v>20</v>
      </c>
      <c r="C12" s="8">
        <v>0</v>
      </c>
      <c r="D12" s="8">
        <v>48629.190949999997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</row>
    <row r="13" spans="1:13" x14ac:dyDescent="0.2">
      <c r="A13" s="10"/>
      <c r="B13" s="9" t="s">
        <v>44</v>
      </c>
      <c r="C13" s="8">
        <v>0</v>
      </c>
      <c r="D13" s="8">
        <v>254.358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</row>
    <row r="14" spans="1:13" x14ac:dyDescent="0.2">
      <c r="A14" s="10"/>
      <c r="B14" s="9" t="s">
        <v>21</v>
      </c>
      <c r="C14" s="8">
        <v>0</v>
      </c>
      <c r="D14" s="8">
        <v>4570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</row>
    <row r="15" spans="1:13" x14ac:dyDescent="0.2">
      <c r="A15" s="10"/>
      <c r="B15" s="9" t="s">
        <v>22</v>
      </c>
      <c r="C15" s="8">
        <v>0</v>
      </c>
      <c r="D15" s="8">
        <v>53544.201999999997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 x14ac:dyDescent="0.2">
      <c r="A16" s="10"/>
      <c r="B16" s="9" t="s">
        <v>23</v>
      </c>
      <c r="C16" s="8">
        <v>0</v>
      </c>
      <c r="D16" s="8">
        <v>78.5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 x14ac:dyDescent="0.2">
      <c r="A17" s="10"/>
      <c r="B17" s="9" t="s">
        <v>24</v>
      </c>
      <c r="C17" s="8">
        <v>0</v>
      </c>
      <c r="D17" s="8">
        <v>27270.741000000002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1:13" x14ac:dyDescent="0.2">
      <c r="A18" s="10"/>
      <c r="B18" s="9" t="s">
        <v>25</v>
      </c>
      <c r="C18" s="8">
        <v>0</v>
      </c>
      <c r="D18" s="8">
        <v>3662.89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1:13" x14ac:dyDescent="0.2">
      <c r="A19" s="10"/>
      <c r="B19" s="9" t="s">
        <v>26</v>
      </c>
      <c r="C19" s="8">
        <v>0</v>
      </c>
      <c r="D19" s="8">
        <v>55.819389999999999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1:13" x14ac:dyDescent="0.2">
      <c r="A20" s="10"/>
      <c r="B20" s="9" t="s">
        <v>27</v>
      </c>
      <c r="C20" s="8">
        <v>0</v>
      </c>
      <c r="D20" s="8">
        <v>40470.421999999999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1:13" x14ac:dyDescent="0.2">
      <c r="A21" s="10"/>
      <c r="B21" s="9" t="s">
        <v>28</v>
      </c>
      <c r="C21" s="8">
        <v>0</v>
      </c>
      <c r="D21" s="8">
        <v>4643.1779999999999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1:13" x14ac:dyDescent="0.2">
      <c r="A22" s="9" t="s">
        <v>45</v>
      </c>
      <c r="B22" s="9" t="s">
        <v>30</v>
      </c>
      <c r="C22" s="8">
        <v>0</v>
      </c>
      <c r="D22" s="8">
        <v>230800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1:13" x14ac:dyDescent="0.2">
      <c r="A23" s="10" t="s">
        <v>29</v>
      </c>
      <c r="B23" s="9" t="s">
        <v>31</v>
      </c>
      <c r="C23" s="8">
        <v>0</v>
      </c>
      <c r="D23" s="8">
        <v>12450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1:13" x14ac:dyDescent="0.2">
      <c r="A24" s="10"/>
      <c r="B24" s="9" t="s">
        <v>39</v>
      </c>
      <c r="C24" s="8">
        <v>0</v>
      </c>
      <c r="D24" s="8">
        <v>20000000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1:13" x14ac:dyDescent="0.2">
      <c r="A25" s="10"/>
      <c r="B25" s="9" t="s">
        <v>46</v>
      </c>
      <c r="C25" s="8">
        <v>0</v>
      </c>
      <c r="D25" s="8">
        <v>3653.0947500000002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1:13" x14ac:dyDescent="0.2">
      <c r="A26" s="10"/>
      <c r="B26" s="9" t="s">
        <v>47</v>
      </c>
      <c r="C26" s="8">
        <v>0</v>
      </c>
      <c r="D26" s="8">
        <v>278.38099999999997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1:13" x14ac:dyDescent="0.2">
      <c r="A27" s="10"/>
      <c r="B27" s="9" t="s">
        <v>32</v>
      </c>
      <c r="C27" s="8">
        <v>0</v>
      </c>
      <c r="D27" s="8">
        <v>90000000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1:13" x14ac:dyDescent="0.2">
      <c r="A28" s="10" t="s">
        <v>36</v>
      </c>
      <c r="B28" s="9" t="s">
        <v>37</v>
      </c>
      <c r="C28" s="8">
        <v>0</v>
      </c>
      <c r="D28" s="8">
        <v>26471.973000000002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1:13" x14ac:dyDescent="0.2">
      <c r="A29" s="10"/>
      <c r="B29" s="9" t="s">
        <v>48</v>
      </c>
      <c r="C29" s="8">
        <v>0</v>
      </c>
      <c r="D29" s="8">
        <v>857.70799999999997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1:13" x14ac:dyDescent="0.2">
      <c r="A30" s="10"/>
      <c r="B30" s="9" t="s">
        <v>49</v>
      </c>
      <c r="C30" s="8">
        <v>0</v>
      </c>
      <c r="D30" s="8">
        <v>457.99400000000003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1:13" x14ac:dyDescent="0.2">
      <c r="A31" s="10"/>
      <c r="B31" s="9" t="s">
        <v>38</v>
      </c>
      <c r="C31" s="8">
        <v>0</v>
      </c>
      <c r="D31" s="8">
        <v>5300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1:13" x14ac:dyDescent="0.2">
      <c r="A32" s="10" t="s">
        <v>40</v>
      </c>
      <c r="B32" s="9" t="s">
        <v>39</v>
      </c>
      <c r="C32" s="8">
        <v>0</v>
      </c>
      <c r="D32" s="8">
        <v>10000000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1:13" x14ac:dyDescent="0.2">
      <c r="A33" s="10"/>
      <c r="B33" s="9" t="s">
        <v>50</v>
      </c>
      <c r="C33" s="8">
        <v>0</v>
      </c>
      <c r="D33" s="8">
        <v>46768.008000000002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2026-08-18T09:31:25Z</dcterms:modified>
</cp:coreProperties>
</file>