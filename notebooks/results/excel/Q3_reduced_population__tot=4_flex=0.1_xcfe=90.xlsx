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a/Documents/MSc CAM/Dissertation/PyPSA-GB/notebooks/results/excel/"/>
    </mc:Choice>
  </mc:AlternateContent>
  <xr:revisionPtr revIDLastSave="0" documentId="13_ncr:1_{5149FC36-EBA3-4B46-8ED0-49C52E7D742D}" xr6:coauthVersionLast="47" xr6:coauthVersionMax="47" xr10:uidLastSave="{00000000-0000-0000-0000-000000000000}"/>
  <bookViews>
    <workbookView xWindow="14480" yWindow="660" windowWidth="15760" windowHeight="17400" xr2:uid="{D4188A73-9F76-7B43-A2AE-82D891E862BC}"/>
  </bookViews>
  <sheets>
    <sheet name="Summary" sheetId="8" r:id="rId1"/>
    <sheet name="Inflexible" sheetId="9" r:id="rId2"/>
    <sheet name="Temporal" sheetId="10" r:id="rId3"/>
    <sheet name="Spatial" sheetId="11" r:id="rId4"/>
    <sheet name="Both" sheetId="12" r:id="rId5"/>
    <sheet name="CFE" sheetId="13" r:id="rId6"/>
    <sheet name="CFE_both" sheetId="1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3" i="8" l="1"/>
  <c r="E23" i="8"/>
  <c r="F23" i="8"/>
  <c r="G23" i="8"/>
  <c r="C23" i="8"/>
  <c r="C13" i="8"/>
  <c r="B12" i="8"/>
  <c r="G12" i="8"/>
  <c r="B8" i="8"/>
  <c r="B7" i="8"/>
  <c r="G13" i="8"/>
  <c r="E13" i="8"/>
  <c r="F11" i="8"/>
  <c r="E14" i="8"/>
  <c r="D15" i="8"/>
  <c r="D12" i="8"/>
  <c r="D11" i="8"/>
  <c r="G15" i="8"/>
  <c r="G14" i="8"/>
  <c r="C15" i="8"/>
  <c r="B13" i="8"/>
  <c r="F15" i="8"/>
  <c r="C12" i="8"/>
  <c r="B14" i="8"/>
  <c r="B11" i="8"/>
  <c r="E15" i="8"/>
  <c r="F12" i="8"/>
  <c r="D13" i="8"/>
  <c r="B15" i="8"/>
  <c r="E11" i="8"/>
  <c r="E12" i="8"/>
  <c r="F13" i="8"/>
  <c r="F14" i="8"/>
  <c r="C14" i="8"/>
  <c r="C11" i="8"/>
  <c r="D14" i="8"/>
  <c r="G11" i="8"/>
  <c r="F20" i="8" l="1"/>
  <c r="C20" i="8"/>
  <c r="E20" i="8"/>
  <c r="D20" i="8"/>
  <c r="E21" i="8"/>
  <c r="G19" i="8"/>
  <c r="D19" i="8"/>
  <c r="E19" i="8"/>
  <c r="F19" i="8"/>
  <c r="F18" i="8"/>
  <c r="D21" i="8"/>
  <c r="G18" i="8"/>
  <c r="C19" i="8"/>
  <c r="F21" i="8"/>
  <c r="D18" i="8"/>
  <c r="E18" i="8"/>
  <c r="G21" i="8"/>
  <c r="C21" i="8"/>
  <c r="C18" i="8"/>
  <c r="G20" i="8"/>
  <c r="E22" i="8"/>
  <c r="G22" i="8"/>
  <c r="F22" i="8"/>
  <c r="D22" i="8"/>
  <c r="C22" i="8"/>
</calcChain>
</file>

<file path=xl/sharedStrings.xml><?xml version="1.0" encoding="utf-8"?>
<sst xmlns="http://schemas.openxmlformats.org/spreadsheetml/2006/main" count="360" uniqueCount="78">
  <si>
    <t>BIG SUMMARY</t>
  </si>
  <si>
    <t xml:space="preserve">Data Centre Allocation: </t>
  </si>
  <si>
    <t>Flexibility:</t>
  </si>
  <si>
    <t>x_CFE:</t>
  </si>
  <si>
    <t>Total Capacity [GW]:</t>
  </si>
  <si>
    <t>Total Green Energy</t>
  </si>
  <si>
    <t>Total Green Energy Curtailment</t>
  </si>
  <si>
    <t>Total Wind Offshore Curtailment</t>
  </si>
  <si>
    <t>Total Wind Onshore Curtailment</t>
  </si>
  <si>
    <t>Total Solar PV Curtailment</t>
  </si>
  <si>
    <t xml:space="preserve"> Network objective</t>
  </si>
  <si>
    <t>Inflexible</t>
  </si>
  <si>
    <t>Temporal</t>
  </si>
  <si>
    <t>Spatial</t>
  </si>
  <si>
    <t>Both</t>
  </si>
  <si>
    <t>CFE</t>
  </si>
  <si>
    <t>Total Storage</t>
  </si>
  <si>
    <t>DC Cost</t>
  </si>
  <si>
    <t>CFE_both</t>
  </si>
  <si>
    <t>Hydrogen Gas</t>
  </si>
  <si>
    <t>Store</t>
  </si>
  <si>
    <t>Pumped Storage Hydroelectricity</t>
  </si>
  <si>
    <t>Liquid Air Energy Storage</t>
  </si>
  <si>
    <t>Domestic Battery Storage</t>
  </si>
  <si>
    <t>Battery Storage</t>
  </si>
  <si>
    <t>StorageUnit</t>
  </si>
  <si>
    <t>Electricity</t>
  </si>
  <si>
    <t>Data Centre</t>
  </si>
  <si>
    <t>Load</t>
  </si>
  <si>
    <t>H2 Power Generation</t>
  </si>
  <si>
    <t>Electrolysis</t>
  </si>
  <si>
    <t>DC</t>
  </si>
  <si>
    <t>Link</t>
  </si>
  <si>
    <t>AC</t>
  </si>
  <si>
    <t>Line</t>
  </si>
  <si>
    <t>Waste to Energy</t>
  </si>
  <si>
    <t>Solar PV</t>
  </si>
  <si>
    <t>Sewage Gas</t>
  </si>
  <si>
    <t>Open Cycle Gas Turbine</t>
  </si>
  <si>
    <t>Onshore Wind</t>
  </si>
  <si>
    <t>Oil</t>
  </si>
  <si>
    <t>Offshore Wind</t>
  </si>
  <si>
    <t>Nuclear</t>
  </si>
  <si>
    <t>Marine Energy</t>
  </si>
  <si>
    <t>Load Shedding</t>
  </si>
  <si>
    <t>Large Hydro</t>
  </si>
  <si>
    <t>Landfill Gas</t>
  </si>
  <si>
    <t>Geothermal</t>
  </si>
  <si>
    <t>Gas Engine</t>
  </si>
  <si>
    <t>European Imports</t>
  </si>
  <si>
    <t>Combined Heat &amp; Power</t>
  </si>
  <si>
    <t>Combined Cycle Gas Turbine</t>
  </si>
  <si>
    <t>Biomass</t>
  </si>
  <si>
    <t>Biogas</t>
  </si>
  <si>
    <t>Advanced Biofuel</t>
  </si>
  <si>
    <t>Generator</t>
  </si>
  <si>
    <t>Market Value</t>
  </si>
  <si>
    <t>Revenue</t>
  </si>
  <si>
    <t>Operational Expenditure</t>
  </si>
  <si>
    <t>Capital Expenditure</t>
  </si>
  <si>
    <t>Curtailment</t>
  </si>
  <si>
    <t>Capacity Factor</t>
  </si>
  <si>
    <t>Transmission</t>
  </si>
  <si>
    <t>Energy Balance</t>
  </si>
  <si>
    <t>Withdrawal</t>
  </si>
  <si>
    <t>Supply</t>
  </si>
  <si>
    <t>Installed Capacity</t>
  </si>
  <si>
    <t>Optimal Capacity</t>
  </si>
  <si>
    <t>DSM</t>
  </si>
  <si>
    <t>Virtual Link</t>
  </si>
  <si>
    <t>Population</t>
  </si>
  <si>
    <t>Objective Reduction w.r.t. Inflexible</t>
  </si>
  <si>
    <t>DC Cost Reduction w.r.t. Inflexible</t>
  </si>
  <si>
    <t>Tot Green En Curtailment Reduction w.r.t. Inflexible</t>
  </si>
  <si>
    <t>Total Wind Offshore Curtailment Reduction</t>
  </si>
  <si>
    <t>Total Wind Onshore Curtailment Reduction</t>
  </si>
  <si>
    <t>Total Solar PV Curtailment Reduction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</si>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</sst>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2"/>
      <color theme="1"/>
      <name val="Aptos Narrow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5" fillId="0" borderId="0"/>
  </cellStyleXfs>
  <cellXfs count="19">
    <xf numFmtId="0" fontId="0" fillId="0" borderId="0" xfId="0"/>
    <xf numFmtId="43" fontId="1" fillId="0" borderId="0" xfId="1" applyFont="1" applyBorder="1" applyAlignment="1">
      <alignment horizontal="center" vertical="center" wrapText="1"/>
    </xf>
    <xf numFmtId="0" fontId="2" fillId="0" borderId="0" xfId="2"/>
    <xf numFmtId="43" fontId="2" fillId="0" borderId="0" xfId="2" applyNumberFormat="1"/>
    <xf numFmtId="0" fontId="3" fillId="0" borderId="0" xfId="2" applyFont="1"/>
    <xf numFmtId="43" fontId="0" fillId="0" borderId="0" xfId="3" applyFont="1"/>
    <xf numFmtId="9" fontId="2" fillId="0" borderId="0" xfId="2" applyNumberFormat="1"/>
    <xf numFmtId="0" fontId="4" fillId="0" borderId="0" xfId="2" applyFont="1"/>
    <xf numFmtId="0" fontId="5" fillId="0" borderId="0" xfId="4"/>
    <xf numFmtId="0" fontId="6" fillId="0" borderId="1" xfId="4" applyFont="1" applyBorder="1" applyAlignment="1">
      <alignment horizontal="center" vertical="top"/>
    </xf>
    <xf numFmtId="10" fontId="2" fillId="0" borderId="0" xfId="2" applyNumberFormat="1"/>
    <xf numFmtId="0" fontId="7" fillId="0" borderId="0" xfId="2" applyFont="1"/>
    <xf numFmtId="0" fontId="1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11" fontId="8" fillId="0" borderId="2" xfId="0" applyNumberFormat="1" applyFont="1" applyBorder="1" applyAlignment="1">
      <alignment vertical="center" wrapText="1"/>
    </xf>
    <xf numFmtId="0" fontId="6" fillId="0" borderId="1" xfId="4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</cellXfs>
  <cellStyles count="5">
    <cellStyle name="Comma" xfId="1" builtinId="3"/>
    <cellStyle name="Comma 2" xfId="3" xr:uid="{4ECBB75D-054E-8047-9F29-ED070BEE1A4F}"/>
    <cellStyle name="Normal" xfId="0" builtinId="0"/>
    <cellStyle name="Normal 2" xfId="2" xr:uid="{D95309A0-E12C-3645-8A11-EF473EFC6DF8}"/>
    <cellStyle name="Normal 3" xfId="4" xr:uid="{D5582847-43D2-AD43-8DA4-CD8D7BB307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AA3D4-8BC0-0947-8077-374B2710F049}">
  <dimension ref="A1:G23"/>
  <sheetViews>
    <sheetView tabSelected="1" workbookViewId="0">
      <selection activeCell="B6" sqref="B6"/>
    </sheetView>
  </sheetViews>
  <sheetFormatPr baseColWidth="10" defaultRowHeight="16" x14ac:dyDescent="0.2"/>
  <cols>
    <col min="1" max="1" width="45.1640625" style="2" customWidth="1"/>
    <col min="2" max="2" width="17.83203125" style="2" customWidth="1"/>
    <col min="3" max="3" width="17" style="2" customWidth="1"/>
    <col min="4" max="4" width="20" style="2" customWidth="1"/>
    <col min="5" max="5" width="17.1640625" style="2" customWidth="1"/>
    <col min="6" max="6" width="16.5" style="2" customWidth="1"/>
    <col min="7" max="7" width="16.6640625" style="2" customWidth="1"/>
    <col min="8" max="16384" width="10.83203125" style="2"/>
  </cols>
  <sheetData>
    <row r="1" spans="1:7" ht="27" x14ac:dyDescent="0.35">
      <c r="A1" s="7" t="s">
        <v>0</v>
      </c>
    </row>
    <row r="3" spans="1:7" x14ac:dyDescent="0.2">
      <c r="A3" s="4" t="s">
        <v>1</v>
      </c>
      <c r="B3" s="2" t="s">
        <v>70</v>
      </c>
    </row>
    <row r="4" spans="1:7" x14ac:dyDescent="0.2">
      <c r="A4" s="4" t="s">
        <v>4</v>
      </c>
      <c r="B4" s="2">
        <v>4</v>
      </c>
      <c r="D4" s="1"/>
    </row>
    <row r="5" spans="1:7" x14ac:dyDescent="0.2">
      <c r="A5" s="4" t="s">
        <v>2</v>
      </c>
      <c r="B5" s="6">
        <v>0.1</v>
      </c>
      <c r="D5" s="1"/>
    </row>
    <row r="6" spans="1:7" x14ac:dyDescent="0.2">
      <c r="A6" s="4" t="s">
        <v>3</v>
      </c>
      <c r="B6" s="6">
        <v>0.9</v>
      </c>
      <c r="D6" s="1"/>
    </row>
    <row r="7" spans="1:7" x14ac:dyDescent="0.2">
      <c r="A7" s="4" t="s">
        <v>5</v>
      </c>
      <c r="B7" s="3">
        <f ca="1">SUMIFS(INDIRECT(B$10&amp;"!$D$2:$D$35"), INDIRECT(B$10&amp;"!$B$2:$B$35"), "Solar PV")
+SUMIFS(INDIRECT(B$10&amp;"!$D$2:$D$35"), INDIRECT(B$10&amp;"!$B$2:$B$35"), "Offshore Wind")
+SUMIFS(INDIRECT(B$10&amp;"!$D$2:$D$35"), INDIRECT(B$10&amp;"!$B$2:$B$35"), "Onshore Wind")
+SUMIFS(INDIRECT(B$10&amp;"!$D$2:$D$35"), INDIRECT(B$10&amp;"!$B$2:$B$35"), "Large Hydro")
+SUMIFS(INDIRECT(B$10&amp;"!$D$2:$D$35"), INDIRECT(B$10&amp;"!$B$2:$B$35"), "Marine Energy")</f>
        <v>123437.01899999999</v>
      </c>
      <c r="D7" s="1"/>
    </row>
    <row r="8" spans="1:7" x14ac:dyDescent="0.2">
      <c r="A8" s="4" t="s">
        <v>16</v>
      </c>
      <c r="B8" s="3">
        <f ca="1">SUMIFS(INDIRECT(B$10&amp;"!$D$2:$D$35"), INDIRECT(B$10&amp;"!$B$2:$B$35"), "Battery Storage")
+SUMIFS(INDIRECT(B$10&amp;"!$D$2:$D$35"), INDIRECT(B$10&amp;"!$B$2:$B$35"), "Domestic Battery Storage")
+SUMIFS(INDIRECT(B$10&amp;"!$D$2:$D$35"), INDIRECT(B$10&amp;"!$B$2:$B$35"), "Liquid Air Energy Storage")
+SUMIFS(INDIRECT(B$10&amp;"!$D$2:$D$35"), INDIRECT(B$10&amp;"!$B$2:$B$35"), "Pumped Storage Hydroelectricity")</f>
        <v>33087.675000000003</v>
      </c>
      <c r="D8" s="1"/>
    </row>
    <row r="10" spans="1:7" x14ac:dyDescent="0.2">
      <c r="B10" s="4" t="s">
        <v>11</v>
      </c>
      <c r="C10" s="4" t="s">
        <v>12</v>
      </c>
      <c r="D10" s="4" t="s">
        <v>13</v>
      </c>
      <c r="E10" s="4" t="s">
        <v>14</v>
      </c>
      <c r="F10" s="4" t="s">
        <v>15</v>
      </c>
      <c r="G10" s="4" t="s">
        <v>18</v>
      </c>
    </row>
    <row r="11" spans="1:7" x14ac:dyDescent="0.2">
      <c r="A11" s="4" t="s">
        <v>6</v>
      </c>
      <c r="B11" s="3">
        <f ca="1">SUMIFS(INDIRECT(B$10&amp;"!$J$2:$J$35"), INDIRECT(B$10&amp;"!$B$2:$B$35"), "Solar PV")
+SUMIFS(INDIRECT(B$10&amp;"!$J$2:$J$35"), INDIRECT(B$10&amp;"!$B$2:$B$35"), "Offshore Wind")
+SUMIFS(INDIRECT(B$10&amp;"!$J$2:$J$35"), INDIRECT(B$10&amp;"!$B$2:$B$35"), "Onshore Wind")
+SUMIFS(INDIRECT(B$10&amp;"!$J$2:$J$35"), INDIRECT(B$10&amp;"!$B$2:$B$35"), "Large Hydro")
+SUMIFS(INDIRECT(B$10&amp;"!$J$2:$J$35"), INDIRECT(B$10&amp;"!$B$2:$B$35"), "Marine Energy")</f>
        <v>11412538.72913</v>
      </c>
      <c r="C11" s="3">
        <f t="shared" ref="C11:G11" ca="1" si="0">SUMIFS(INDIRECT(C$10&amp;"!$J$2:$J$35"), INDIRECT(C$10&amp;"!$B$2:$B$35"), "Solar PV")
+SUMIFS(INDIRECT(C$10&amp;"!$J$2:$J$35"), INDIRECT(C$10&amp;"!$B$2:$B$35"), "Offshore Wind")
+SUMIFS(INDIRECT(C$10&amp;"!$J$2:$J$35"), INDIRECT(C$10&amp;"!$B$2:$B$35"), "Onshore Wind")
+SUMIFS(INDIRECT(C$10&amp;"!$J$2:$J$35"), INDIRECT(C$10&amp;"!$B$2:$B$35"), "Large Hydro")
+SUMIFS(INDIRECT(C$10&amp;"!$J$2:$J$35"), INDIRECT(C$10&amp;"!$B$2:$B$35"), "Marine Energy")</f>
        <v>11416156.97773</v>
      </c>
      <c r="D11" s="3">
        <f t="shared" ca="1" si="0"/>
        <v>11775024.441980001</v>
      </c>
      <c r="E11" s="3">
        <f t="shared" ca="1" si="0"/>
        <v>11639358.481280001</v>
      </c>
      <c r="F11" s="3">
        <f t="shared" ca="1" si="0"/>
        <v>12128104.689999999</v>
      </c>
      <c r="G11" s="3">
        <f t="shared" ca="1" si="0"/>
        <v>12095943.959999999</v>
      </c>
    </row>
    <row r="12" spans="1:7" x14ac:dyDescent="0.2">
      <c r="A12" s="4" t="s">
        <v>7</v>
      </c>
      <c r="B12" s="3">
        <f ca="1">SUMIFS(INDIRECT(B$10&amp;"!$J$2:$J$35"), INDIRECT(B$10&amp;"!$B$2:$B$35"), "Offshore Wind")</f>
        <v>6536103.4403799996</v>
      </c>
      <c r="C12" s="3">
        <f t="shared" ref="C12:G12" ca="1" si="1">SUMIFS(INDIRECT(C$10&amp;"!$J$2:$J$35"), INDIRECT(C$10&amp;"!$B$2:$B$35"), "Offshore Wind")</f>
        <v>6602690.03522</v>
      </c>
      <c r="D12" s="3">
        <f t="shared" ca="1" si="1"/>
        <v>6564609.8832099997</v>
      </c>
      <c r="E12" s="3">
        <f t="shared" ca="1" si="1"/>
        <v>6712367.8615499996</v>
      </c>
      <c r="F12" s="3">
        <f t="shared" ca="1" si="1"/>
        <v>7191048</v>
      </c>
      <c r="G12" s="3">
        <f t="shared" ca="1" si="1"/>
        <v>7186173</v>
      </c>
    </row>
    <row r="13" spans="1:7" x14ac:dyDescent="0.2">
      <c r="A13" s="4" t="s">
        <v>8</v>
      </c>
      <c r="B13" s="5">
        <f ca="1">SUMIFS(INDIRECT(B$10&amp;"!$J$2:$J$35"), INDIRECT(B$10&amp;"!$B$2:$B$35"), "Onshore Wind")</f>
        <v>3222104.4620500002</v>
      </c>
      <c r="C13" s="5">
        <f t="shared" ref="C13:G13" ca="1" si="2">SUMIFS(INDIRECT(C$10&amp;"!$J$2:$J$35"), INDIRECT(C$10&amp;"!$B$2:$B$35"), "Onshore Wind")</f>
        <v>3114089.9083799999</v>
      </c>
      <c r="D13" s="5">
        <f t="shared" ca="1" si="2"/>
        <v>3362993.7073599999</v>
      </c>
      <c r="E13" s="5">
        <f t="shared" ca="1" si="2"/>
        <v>3287011.99541</v>
      </c>
      <c r="F13" s="5">
        <f t="shared" ca="1" si="2"/>
        <v>3415151</v>
      </c>
      <c r="G13" s="5">
        <f t="shared" ca="1" si="2"/>
        <v>3420547</v>
      </c>
    </row>
    <row r="14" spans="1:7" x14ac:dyDescent="0.2">
      <c r="A14" s="4" t="s">
        <v>9</v>
      </c>
      <c r="B14" s="5">
        <f ca="1">SUMIFS(INDIRECT(B$10&amp;"!$J$2:$J$35"), INDIRECT(B$10&amp;"!$B$2:$B$35"), "Solar PV")</f>
        <v>1339813.4738700001</v>
      </c>
      <c r="C14" s="5">
        <f t="shared" ref="C14:G14" ca="1" si="3">SUMIFS(INDIRECT(C$10&amp;"!$J$2:$J$35"), INDIRECT(C$10&amp;"!$B$2:$B$35"), "Solar PV")</f>
        <v>1388330.21634</v>
      </c>
      <c r="D14" s="5">
        <f t="shared" ca="1" si="3"/>
        <v>1508285.2373200001</v>
      </c>
      <c r="E14" s="5">
        <f t="shared" ca="1" si="3"/>
        <v>1309421.9723199999</v>
      </c>
      <c r="F14" s="5">
        <f t="shared" ca="1" si="3"/>
        <v>1179305</v>
      </c>
      <c r="G14" s="5">
        <f t="shared" ca="1" si="3"/>
        <v>1148771</v>
      </c>
    </row>
    <row r="15" spans="1:7" x14ac:dyDescent="0.2">
      <c r="A15" s="4" t="s">
        <v>17</v>
      </c>
      <c r="B15" s="3">
        <f ca="1">-SUMIFS(INDIRECT(B$10&amp;"!$M$2:$M$35"), INDIRECT(B$10&amp;"!$B$2:$B$35"), "Data Centre")</f>
        <v>15237429.24911</v>
      </c>
      <c r="C15" s="3">
        <f t="shared" ref="C15:G15" ca="1" si="4">-SUMIFS(INDIRECT(C$10&amp;"!$M$2:$M$35"), INDIRECT(C$10&amp;"!$B$2:$B$35"), "Data Centre")</f>
        <v>15206049.66506</v>
      </c>
      <c r="D15" s="3">
        <f t="shared" ca="1" si="4"/>
        <v>15237428.54273</v>
      </c>
      <c r="E15" s="3">
        <f t="shared" ca="1" si="4"/>
        <v>15145488.4793</v>
      </c>
      <c r="F15" s="3">
        <f t="shared" ca="1" si="4"/>
        <v>15239690</v>
      </c>
      <c r="G15" s="3">
        <f t="shared" ca="1" si="4"/>
        <v>15114160</v>
      </c>
    </row>
    <row r="16" spans="1:7" x14ac:dyDescent="0.2">
      <c r="A16" s="4" t="s">
        <v>10</v>
      </c>
      <c r="B16" s="3">
        <v>83006417.422614902</v>
      </c>
      <c r="C16" s="3">
        <v>82606742.585020304</v>
      </c>
      <c r="D16" s="3">
        <v>83006292.182972506</v>
      </c>
      <c r="E16" s="3">
        <v>81641873.535185397</v>
      </c>
      <c r="F16" s="3">
        <v>83582045.608466893</v>
      </c>
      <c r="G16" s="3">
        <v>82200484.013302505</v>
      </c>
    </row>
    <row r="17" spans="1:7" x14ac:dyDescent="0.2">
      <c r="A17" s="4"/>
      <c r="B17" s="3"/>
      <c r="C17" s="3"/>
      <c r="D17" s="3"/>
      <c r="E17" s="3"/>
      <c r="F17" s="3"/>
      <c r="G17" s="3"/>
    </row>
    <row r="18" spans="1:7" x14ac:dyDescent="0.2">
      <c r="A18" s="11" t="s">
        <v>73</v>
      </c>
      <c r="C18" s="10">
        <f ca="1">1-C$11/$B$11</f>
        <v>-3.1704151774447631E-4</v>
      </c>
      <c r="D18" s="10">
        <f t="shared" ref="D18:G18" ca="1" si="5">1-D$11/$B$11</f>
        <v>-3.1762057632695795E-2</v>
      </c>
      <c r="E18" s="10">
        <f t="shared" ca="1" si="5"/>
        <v>-1.9874609631865159E-2</v>
      </c>
      <c r="F18" s="10">
        <f t="shared" ca="1" si="5"/>
        <v>-6.2699980946706368E-2</v>
      </c>
      <c r="G18" s="10">
        <f t="shared" ca="1" si="5"/>
        <v>-5.9881963784765846E-2</v>
      </c>
    </row>
    <row r="19" spans="1:7" x14ac:dyDescent="0.2">
      <c r="A19" s="11" t="s">
        <v>74</v>
      </c>
      <c r="C19" s="10">
        <f ca="1">1-C$12/$B$12</f>
        <v>-1.0187506279143221E-2</v>
      </c>
      <c r="D19" s="10">
        <f t="shared" ref="D19:G19" ca="1" si="6">1-D$12/$B$12</f>
        <v>-4.3613818370571433E-3</v>
      </c>
      <c r="E19" s="10">
        <f t="shared" ca="1" si="6"/>
        <v>-2.6967813893678638E-2</v>
      </c>
      <c r="F19" s="10">
        <f t="shared" ca="1" si="6"/>
        <v>-0.10020413012036467</v>
      </c>
      <c r="G19" s="10">
        <f t="shared" ca="1" si="6"/>
        <v>-9.9458272891441046E-2</v>
      </c>
    </row>
    <row r="20" spans="1:7" x14ac:dyDescent="0.2">
      <c r="A20" s="11" t="s">
        <v>75</v>
      </c>
      <c r="C20" s="10">
        <f ca="1">1-C$13/$B$13</f>
        <v>3.3522983175187981E-2</v>
      </c>
      <c r="D20" s="10">
        <f t="shared" ref="D20:G20" ca="1" si="7">1-D$13/$B$13</f>
        <v>-4.3725846560654924E-2</v>
      </c>
      <c r="E20" s="10">
        <f t="shared" ca="1" si="7"/>
        <v>-2.0144453454095546E-2</v>
      </c>
      <c r="F20" s="10">
        <f t="shared" ca="1" si="7"/>
        <v>-5.9913184139032571E-2</v>
      </c>
      <c r="G20" s="10">
        <f t="shared" ca="1" si="7"/>
        <v>-6.1587866032048133E-2</v>
      </c>
    </row>
    <row r="21" spans="1:7" x14ac:dyDescent="0.2">
      <c r="A21" s="11" t="s">
        <v>76</v>
      </c>
      <c r="C21" s="10">
        <f ca="1">1-C$14/$B$14</f>
        <v>-3.6211564830633591E-2</v>
      </c>
      <c r="D21" s="10">
        <f t="shared" ref="D21:G21" ca="1" si="8">1-D$14/$B$14</f>
        <v>-0.12574269981281483</v>
      </c>
      <c r="E21" s="10">
        <f t="shared" ca="1" si="8"/>
        <v>2.2683382532506902E-2</v>
      </c>
      <c r="F21" s="10">
        <f t="shared" ca="1" si="8"/>
        <v>0.11979911905675755</v>
      </c>
      <c r="G21" s="10">
        <f t="shared" ca="1" si="8"/>
        <v>0.14258885852086645</v>
      </c>
    </row>
    <row r="22" spans="1:7" x14ac:dyDescent="0.2">
      <c r="A22" s="11" t="s">
        <v>72</v>
      </c>
      <c r="C22" s="10">
        <f ca="1">1-C$15/$B$15</f>
        <v>2.0593752093603923E-3</v>
      </c>
      <c r="D22" s="10">
        <f t="shared" ref="D22:G22" ca="1" si="9">1-D$15/$B$15</f>
        <v>4.6358213601216391E-8</v>
      </c>
      <c r="E22" s="10">
        <f t="shared" ca="1" si="9"/>
        <v>6.0338767325446296E-3</v>
      </c>
      <c r="F22" s="10">
        <f t="shared" ca="1" si="9"/>
        <v>-1.4836826166941819E-4</v>
      </c>
      <c r="G22" s="10">
        <f t="shared" ca="1" si="9"/>
        <v>8.089898046102495E-3</v>
      </c>
    </row>
    <row r="23" spans="1:7" x14ac:dyDescent="0.2">
      <c r="A23" s="11" t="s">
        <v>71</v>
      </c>
      <c r="C23" s="10">
        <f>1-C$16/$B$16</f>
        <v>4.814987202251042E-3</v>
      </c>
      <c r="D23" s="10">
        <f t="shared" ref="D23:G23" si="10">1-D$16/$B$16</f>
        <v>1.5087946966252375E-6</v>
      </c>
      <c r="E23" s="10">
        <f t="shared" si="10"/>
        <v>1.6439016762789915E-2</v>
      </c>
      <c r="F23" s="10">
        <f t="shared" si="10"/>
        <v>-6.9347431647515112E-3</v>
      </c>
      <c r="G23" s="10">
        <f t="shared" si="10"/>
        <v>9.7092903697928445E-3</v>
      </c>
    </row>
  </sheetData>
  <conditionalFormatting sqref="B11:G1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:G12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:G13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G1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:G1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:G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8:G2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900BF-C19A-8542-BFC0-5AF132F7327A}">
  <dimension ref="A1:N32"/>
  <sheetViews>
    <sheetView workbookViewId="0"/>
  </sheetViews>
  <sheetFormatPr baseColWidth="10" defaultColWidth="8.83203125" defaultRowHeight="15" x14ac:dyDescent="0.2"/>
  <cols>
    <col min="1" max="16384" width="8.83203125" style="8"/>
  </cols>
  <sheetData>
    <row r="1" spans="1:14" x14ac:dyDescent="0.2">
      <c r="C1" s="9" t="s">
        <v>67</v>
      </c>
      <c r="D1" s="9" t="s">
        <v>66</v>
      </c>
      <c r="E1" s="9" t="s">
        <v>65</v>
      </c>
      <c r="F1" s="9" t="s">
        <v>64</v>
      </c>
      <c r="G1" s="9" t="s">
        <v>63</v>
      </c>
      <c r="H1" s="9" t="s">
        <v>62</v>
      </c>
      <c r="I1" s="9" t="s">
        <v>61</v>
      </c>
      <c r="J1" s="9" t="s">
        <v>60</v>
      </c>
      <c r="K1" s="9" t="s">
        <v>59</v>
      </c>
      <c r="L1" s="9" t="s">
        <v>58</v>
      </c>
      <c r="M1" s="9" t="s">
        <v>57</v>
      </c>
      <c r="N1" s="9" t="s">
        <v>56</v>
      </c>
    </row>
    <row r="2" spans="1:14" x14ac:dyDescent="0.2">
      <c r="A2" s="15" t="s">
        <v>55</v>
      </c>
      <c r="B2" s="9" t="s">
        <v>54</v>
      </c>
      <c r="C2" s="8">
        <v>372.43929000000003</v>
      </c>
      <c r="D2" s="8">
        <v>372.43929000000003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813779.84346</v>
      </c>
      <c r="K2" s="8">
        <v>0</v>
      </c>
      <c r="L2" s="8">
        <v>0</v>
      </c>
      <c r="M2" s="8">
        <v>0</v>
      </c>
    </row>
    <row r="3" spans="1:14" x14ac:dyDescent="0.2">
      <c r="A3" s="15"/>
      <c r="B3" s="9" t="s">
        <v>53</v>
      </c>
      <c r="C3" s="8">
        <v>1642.8915400000001</v>
      </c>
      <c r="D3" s="8">
        <v>1642.8915400000001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3589718.0135300001</v>
      </c>
      <c r="K3" s="8">
        <v>0</v>
      </c>
      <c r="L3" s="8">
        <v>0</v>
      </c>
      <c r="M3" s="8">
        <v>0</v>
      </c>
    </row>
    <row r="4" spans="1:14" x14ac:dyDescent="0.2">
      <c r="A4" s="15"/>
      <c r="B4" s="9" t="s">
        <v>52</v>
      </c>
      <c r="C4" s="8">
        <v>9185.8067100000007</v>
      </c>
      <c r="D4" s="8">
        <v>9185.8067100000007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20070987.666540001</v>
      </c>
      <c r="K4" s="8">
        <v>0</v>
      </c>
      <c r="L4" s="8">
        <v>0</v>
      </c>
      <c r="M4" s="8">
        <v>0</v>
      </c>
    </row>
    <row r="5" spans="1:14" x14ac:dyDescent="0.2">
      <c r="A5" s="15"/>
      <c r="B5" s="9" t="s">
        <v>51</v>
      </c>
      <c r="C5" s="8">
        <v>23586</v>
      </c>
      <c r="D5" s="8">
        <v>23586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51535410</v>
      </c>
      <c r="K5" s="8">
        <v>0</v>
      </c>
      <c r="L5" s="8">
        <v>0</v>
      </c>
      <c r="M5" s="8">
        <v>0</v>
      </c>
    </row>
    <row r="6" spans="1:14" x14ac:dyDescent="0.2">
      <c r="A6" s="15"/>
      <c r="B6" s="9" t="s">
        <v>50</v>
      </c>
      <c r="C6" s="8">
        <v>3534.0360000000001</v>
      </c>
      <c r="D6" s="8">
        <v>3534.0360000000001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7721868.6600000001</v>
      </c>
      <c r="K6" s="8">
        <v>0</v>
      </c>
      <c r="L6" s="8">
        <v>0</v>
      </c>
      <c r="M6" s="8">
        <v>0</v>
      </c>
    </row>
    <row r="7" spans="1:14" x14ac:dyDescent="0.2">
      <c r="A7" s="15"/>
      <c r="B7" s="9" t="s">
        <v>49</v>
      </c>
      <c r="C7" s="8">
        <v>13695</v>
      </c>
      <c r="D7" s="8">
        <v>13695</v>
      </c>
      <c r="E7" s="8">
        <v>3617998.2648</v>
      </c>
      <c r="F7" s="8">
        <v>0</v>
      </c>
      <c r="G7" s="8">
        <v>3617998.2648</v>
      </c>
      <c r="H7" s="8">
        <v>0</v>
      </c>
      <c r="I7" s="8">
        <v>0.1209079554581964</v>
      </c>
      <c r="J7" s="8">
        <v>26305576.735199999</v>
      </c>
      <c r="K7" s="8">
        <v>0</v>
      </c>
      <c r="L7" s="8">
        <v>41523690.034079999</v>
      </c>
      <c r="M7" s="8">
        <v>41523690.034079999</v>
      </c>
      <c r="N7" s="8">
        <v>11.47697895160956</v>
      </c>
    </row>
    <row r="8" spans="1:14" x14ac:dyDescent="0.2">
      <c r="A8" s="15"/>
      <c r="B8" s="9" t="s">
        <v>48</v>
      </c>
      <c r="C8" s="8">
        <v>4067.2939999999999</v>
      </c>
      <c r="D8" s="8">
        <v>4067.2939999999999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8887037.3900000006</v>
      </c>
      <c r="K8" s="8">
        <v>0</v>
      </c>
      <c r="L8" s="8">
        <v>0</v>
      </c>
      <c r="M8" s="8">
        <v>0</v>
      </c>
    </row>
    <row r="9" spans="1:14" x14ac:dyDescent="0.2">
      <c r="A9" s="15"/>
      <c r="B9" s="9" t="s">
        <v>47</v>
      </c>
      <c r="C9" s="8">
        <v>11</v>
      </c>
      <c r="D9" s="8">
        <v>11</v>
      </c>
      <c r="E9" s="8">
        <v>4626.7979999999998</v>
      </c>
      <c r="F9" s="8">
        <v>0</v>
      </c>
      <c r="G9" s="8">
        <v>4626.7979999999998</v>
      </c>
      <c r="H9" s="8">
        <v>0</v>
      </c>
      <c r="I9" s="8">
        <v>0.1925027272727273</v>
      </c>
      <c r="J9" s="8">
        <v>19408.202000000001</v>
      </c>
      <c r="K9" s="8">
        <v>0</v>
      </c>
      <c r="L9" s="8">
        <v>57649.903079999996</v>
      </c>
      <c r="M9" s="8">
        <v>97520.614920000007</v>
      </c>
      <c r="N9" s="8">
        <v>21.077321218589589</v>
      </c>
    </row>
    <row r="10" spans="1:14" x14ac:dyDescent="0.2">
      <c r="A10" s="15"/>
      <c r="B10" s="9" t="s">
        <v>46</v>
      </c>
      <c r="C10" s="8">
        <v>834.51107000000002</v>
      </c>
      <c r="D10" s="8">
        <v>834.51107000000002</v>
      </c>
      <c r="E10" s="8">
        <v>484.79502000000002</v>
      </c>
      <c r="F10" s="8">
        <v>0</v>
      </c>
      <c r="G10" s="8">
        <v>484.79502000000002</v>
      </c>
      <c r="H10" s="8">
        <v>0</v>
      </c>
      <c r="I10" s="8">
        <v>2.6586825265241841E-4</v>
      </c>
      <c r="J10" s="8">
        <v>1822921.8846100001</v>
      </c>
      <c r="K10" s="8">
        <v>0</v>
      </c>
      <c r="L10" s="8">
        <v>26178.931100000002</v>
      </c>
      <c r="M10" s="8">
        <v>26314.700199999999</v>
      </c>
      <c r="N10" s="8">
        <v>54.281065488799747</v>
      </c>
    </row>
    <row r="11" spans="1:14" x14ac:dyDescent="0.2">
      <c r="A11" s="15"/>
      <c r="B11" s="9" t="s">
        <v>45</v>
      </c>
      <c r="C11" s="8">
        <v>1897.296</v>
      </c>
      <c r="D11" s="8">
        <v>1897.296</v>
      </c>
      <c r="E11" s="8">
        <v>1376986.7724599999</v>
      </c>
      <c r="F11" s="8">
        <v>0</v>
      </c>
      <c r="G11" s="8">
        <v>1376986.7724599999</v>
      </c>
      <c r="H11" s="8">
        <v>0</v>
      </c>
      <c r="I11" s="8">
        <v>0.3321568695659507</v>
      </c>
      <c r="J11" s="8">
        <v>281249.93154000002</v>
      </c>
      <c r="K11" s="8">
        <v>0</v>
      </c>
      <c r="L11" s="8">
        <v>0</v>
      </c>
      <c r="M11" s="8">
        <v>8653086.7740400005</v>
      </c>
      <c r="N11" s="8">
        <v>6.2840739581202731</v>
      </c>
    </row>
    <row r="12" spans="1:14" x14ac:dyDescent="0.2">
      <c r="A12" s="15"/>
      <c r="B12" s="9" t="s">
        <v>44</v>
      </c>
      <c r="C12" s="8">
        <v>48629.190949999997</v>
      </c>
      <c r="D12" s="8">
        <v>48629.190949999997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52178335.791649997</v>
      </c>
      <c r="K12" s="8">
        <v>0</v>
      </c>
      <c r="L12" s="8">
        <v>0</v>
      </c>
      <c r="M12" s="8">
        <v>0</v>
      </c>
    </row>
    <row r="13" spans="1:14" x14ac:dyDescent="0.2">
      <c r="A13" s="15"/>
      <c r="B13" s="9" t="s">
        <v>43</v>
      </c>
      <c r="C13" s="8">
        <v>254.358</v>
      </c>
      <c r="D13" s="8">
        <v>254.358</v>
      </c>
      <c r="E13" s="8">
        <v>240502.12951999999</v>
      </c>
      <c r="F13" s="8">
        <v>0</v>
      </c>
      <c r="G13" s="8">
        <v>240502.12951999999</v>
      </c>
      <c r="H13" s="8">
        <v>0</v>
      </c>
      <c r="I13" s="8">
        <v>0.43273504273504271</v>
      </c>
      <c r="J13" s="8">
        <v>33267.421289999998</v>
      </c>
      <c r="K13" s="8">
        <v>0</v>
      </c>
      <c r="L13" s="8">
        <v>0</v>
      </c>
      <c r="M13" s="8">
        <v>1937849.29415</v>
      </c>
      <c r="N13" s="8">
        <v>8.0575144167845778</v>
      </c>
    </row>
    <row r="14" spans="1:14" x14ac:dyDescent="0.2">
      <c r="A14" s="15"/>
      <c r="B14" s="9" t="s">
        <v>42</v>
      </c>
      <c r="C14" s="8">
        <v>4570</v>
      </c>
      <c r="D14" s="8">
        <v>4570</v>
      </c>
      <c r="E14" s="8">
        <v>4104923.83806</v>
      </c>
      <c r="F14" s="8">
        <v>0</v>
      </c>
      <c r="G14" s="8">
        <v>4104923.83806</v>
      </c>
      <c r="H14" s="8">
        <v>0</v>
      </c>
      <c r="I14" s="8">
        <v>0.41109052078774622</v>
      </c>
      <c r="J14" s="8">
        <v>5880526.16194</v>
      </c>
      <c r="K14" s="8">
        <v>0</v>
      </c>
      <c r="L14" s="8">
        <v>41049238.380560003</v>
      </c>
      <c r="M14" s="8">
        <v>68828600.686159998</v>
      </c>
      <c r="N14" s="8">
        <v>16.76732708403577</v>
      </c>
    </row>
    <row r="15" spans="1:14" x14ac:dyDescent="0.2">
      <c r="A15" s="15"/>
      <c r="B15" s="9" t="s">
        <v>41</v>
      </c>
      <c r="C15" s="8">
        <v>53544.201999999997</v>
      </c>
      <c r="D15" s="8">
        <v>53544.201999999997</v>
      </c>
      <c r="E15" s="8">
        <v>25578742.669190001</v>
      </c>
      <c r="F15" s="8">
        <v>0</v>
      </c>
      <c r="G15" s="8">
        <v>25578742.669190001</v>
      </c>
      <c r="H15" s="8">
        <v>0</v>
      </c>
      <c r="I15" s="8">
        <v>0.21863279202480221</v>
      </c>
      <c r="J15" s="8">
        <v>6536103.4403799996</v>
      </c>
      <c r="K15" s="8">
        <v>0</v>
      </c>
      <c r="L15" s="8">
        <v>0</v>
      </c>
      <c r="M15" s="8">
        <v>101617652.63827001</v>
      </c>
      <c r="N15" s="8">
        <v>3.9727383787697939</v>
      </c>
    </row>
    <row r="16" spans="1:14" x14ac:dyDescent="0.2">
      <c r="A16" s="15"/>
      <c r="B16" s="9" t="s">
        <v>40</v>
      </c>
      <c r="C16" s="8">
        <v>78.5</v>
      </c>
      <c r="D16" s="8">
        <v>78.5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171522.5</v>
      </c>
      <c r="K16" s="8">
        <v>0</v>
      </c>
      <c r="L16" s="8">
        <v>0</v>
      </c>
      <c r="M16" s="8">
        <v>0</v>
      </c>
    </row>
    <row r="17" spans="1:14" x14ac:dyDescent="0.2">
      <c r="A17" s="15"/>
      <c r="B17" s="9" t="s">
        <v>39</v>
      </c>
      <c r="C17" s="8">
        <v>27270.741000000002</v>
      </c>
      <c r="D17" s="8">
        <v>27270.741000000002</v>
      </c>
      <c r="E17" s="8">
        <v>11113029.894370001</v>
      </c>
      <c r="F17" s="8">
        <v>0</v>
      </c>
      <c r="G17" s="8">
        <v>11113029.894370001</v>
      </c>
      <c r="H17" s="8">
        <v>0</v>
      </c>
      <c r="I17" s="8">
        <v>0.18650226152637361</v>
      </c>
      <c r="J17" s="8">
        <v>3222104.4620500002</v>
      </c>
      <c r="K17" s="8">
        <v>0</v>
      </c>
      <c r="L17" s="8">
        <v>0</v>
      </c>
      <c r="M17" s="8">
        <v>41099209.782439999</v>
      </c>
      <c r="N17" s="8">
        <v>3.6982902211591751</v>
      </c>
    </row>
    <row r="18" spans="1:14" x14ac:dyDescent="0.2">
      <c r="A18" s="15"/>
      <c r="B18" s="9" t="s">
        <v>38</v>
      </c>
      <c r="C18" s="8">
        <v>3662.89</v>
      </c>
      <c r="D18" s="8">
        <v>3662.89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8003414.6500000004</v>
      </c>
      <c r="K18" s="8">
        <v>0</v>
      </c>
      <c r="L18" s="8">
        <v>0</v>
      </c>
      <c r="M18" s="8">
        <v>0</v>
      </c>
    </row>
    <row r="19" spans="1:14" x14ac:dyDescent="0.2">
      <c r="A19" s="15"/>
      <c r="B19" s="9" t="s">
        <v>37</v>
      </c>
      <c r="C19" s="8">
        <v>55.819389999999999</v>
      </c>
      <c r="D19" s="8">
        <v>55.819389999999999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121965.37684</v>
      </c>
      <c r="K19" s="8">
        <v>0</v>
      </c>
      <c r="L19" s="8">
        <v>0</v>
      </c>
      <c r="M19" s="8">
        <v>0</v>
      </c>
    </row>
    <row r="20" spans="1:14" x14ac:dyDescent="0.2">
      <c r="A20" s="15"/>
      <c r="B20" s="9" t="s">
        <v>36</v>
      </c>
      <c r="C20" s="8">
        <v>40470.421999999999</v>
      </c>
      <c r="D20" s="8">
        <v>40470.421999999999</v>
      </c>
      <c r="E20" s="8">
        <v>13225727.98535</v>
      </c>
      <c r="F20" s="8">
        <v>0</v>
      </c>
      <c r="G20" s="8">
        <v>13225727.98535</v>
      </c>
      <c r="H20" s="8">
        <v>0</v>
      </c>
      <c r="I20" s="8">
        <v>0.14956515032138781</v>
      </c>
      <c r="J20" s="8">
        <v>1339813.4738700001</v>
      </c>
      <c r="K20" s="8">
        <v>0</v>
      </c>
      <c r="L20" s="8">
        <v>0</v>
      </c>
      <c r="M20" s="8">
        <v>90581604.958570004</v>
      </c>
      <c r="N20" s="8">
        <v>6.8488936946146932</v>
      </c>
    </row>
    <row r="21" spans="1:14" x14ac:dyDescent="0.2">
      <c r="A21" s="15"/>
      <c r="B21" s="9" t="s">
        <v>35</v>
      </c>
      <c r="C21" s="8">
        <v>4643.1779999999999</v>
      </c>
      <c r="D21" s="8">
        <v>4643.1779999999999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10145343.93</v>
      </c>
      <c r="K21" s="8">
        <v>0</v>
      </c>
      <c r="L21" s="8">
        <v>0</v>
      </c>
      <c r="M21" s="8">
        <v>0</v>
      </c>
    </row>
    <row r="22" spans="1:14" x14ac:dyDescent="0.2">
      <c r="A22" s="9" t="s">
        <v>34</v>
      </c>
      <c r="B22" s="9" t="s">
        <v>33</v>
      </c>
      <c r="C22" s="8">
        <v>230800</v>
      </c>
      <c r="D22" s="8">
        <v>230800</v>
      </c>
      <c r="E22" s="8">
        <v>32551784.150619999</v>
      </c>
      <c r="F22" s="8">
        <v>23320581.323229998</v>
      </c>
      <c r="G22" s="8">
        <v>9231202.8273900002</v>
      </c>
      <c r="H22" s="8">
        <v>-9231202.8273900002</v>
      </c>
      <c r="I22" s="8">
        <v>0.11079235983535531</v>
      </c>
      <c r="J22" s="8">
        <v>0</v>
      </c>
      <c r="K22" s="8">
        <v>0</v>
      </c>
      <c r="L22" s="8">
        <v>0</v>
      </c>
      <c r="M22" s="8">
        <v>99542435.771569997</v>
      </c>
      <c r="N22" s="8">
        <v>1.7816041062479571</v>
      </c>
    </row>
    <row r="23" spans="1:14" x14ac:dyDescent="0.2">
      <c r="A23" s="15" t="s">
        <v>32</v>
      </c>
      <c r="B23" s="9" t="s">
        <v>31</v>
      </c>
      <c r="C23" s="8">
        <v>12450</v>
      </c>
      <c r="D23" s="8">
        <v>12450</v>
      </c>
      <c r="E23" s="8">
        <v>9583051.7890399992</v>
      </c>
      <c r="F23" s="8">
        <v>5872284.3379600001</v>
      </c>
      <c r="G23" s="8">
        <v>3710767.45108</v>
      </c>
      <c r="H23" s="8">
        <v>-3710767.45108</v>
      </c>
      <c r="I23" s="8">
        <v>0.56814300240963855</v>
      </c>
      <c r="J23" s="8">
        <v>30914017.451079998</v>
      </c>
      <c r="K23" s="8">
        <v>0</v>
      </c>
      <c r="L23" s="8">
        <v>0</v>
      </c>
      <c r="M23" s="8">
        <v>71862787.410290003</v>
      </c>
      <c r="N23" s="8">
        <v>4.6497071828618379</v>
      </c>
    </row>
    <row r="24" spans="1:14" x14ac:dyDescent="0.2">
      <c r="A24" s="15"/>
      <c r="B24" s="9" t="s">
        <v>30</v>
      </c>
      <c r="C24" s="8">
        <v>3653.0947500000002</v>
      </c>
      <c r="D24" s="8">
        <v>3653.0947500000002</v>
      </c>
      <c r="E24" s="8">
        <v>0</v>
      </c>
      <c r="F24" s="8">
        <v>111151.39476</v>
      </c>
      <c r="G24" s="8">
        <v>-111151.39476</v>
      </c>
      <c r="H24" s="8">
        <v>0</v>
      </c>
      <c r="I24" s="8">
        <v>1.3925234214086561E-2</v>
      </c>
      <c r="J24" s="8">
        <v>7870860.6438699998</v>
      </c>
      <c r="K24" s="8">
        <v>0</v>
      </c>
      <c r="L24" s="8">
        <v>0</v>
      </c>
      <c r="M24" s="8">
        <v>0</v>
      </c>
    </row>
    <row r="25" spans="1:14" x14ac:dyDescent="0.2">
      <c r="A25" s="15"/>
      <c r="B25" s="9" t="s">
        <v>29</v>
      </c>
      <c r="C25" s="8">
        <v>278.38099999999997</v>
      </c>
      <c r="D25" s="8">
        <v>278.38099999999997</v>
      </c>
      <c r="E25" s="8">
        <v>0</v>
      </c>
      <c r="F25" s="8">
        <v>69932.034750000006</v>
      </c>
      <c r="G25" s="8">
        <v>-69932.034750000006</v>
      </c>
      <c r="H25" s="8">
        <v>0</v>
      </c>
      <c r="I25" s="8">
        <v>0.114970166785808</v>
      </c>
      <c r="J25" s="8">
        <v>538330.45024999999</v>
      </c>
      <c r="K25" s="8">
        <v>0</v>
      </c>
      <c r="L25" s="8">
        <v>349660.17376999999</v>
      </c>
      <c r="M25" s="8">
        <v>0</v>
      </c>
    </row>
    <row r="26" spans="1:14" x14ac:dyDescent="0.2">
      <c r="A26" s="15" t="s">
        <v>28</v>
      </c>
      <c r="B26" s="9" t="s">
        <v>27</v>
      </c>
      <c r="C26" s="8">
        <v>0</v>
      </c>
      <c r="D26" s="8">
        <v>0</v>
      </c>
      <c r="E26" s="8">
        <v>0</v>
      </c>
      <c r="F26" s="8">
        <v>1877542.78308</v>
      </c>
      <c r="G26" s="8">
        <v>-1877542.78308</v>
      </c>
      <c r="H26" s="8">
        <v>0</v>
      </c>
      <c r="J26" s="8">
        <v>0</v>
      </c>
      <c r="K26" s="8">
        <v>0</v>
      </c>
      <c r="L26" s="8">
        <v>0</v>
      </c>
      <c r="M26" s="8">
        <v>-15237429.24911</v>
      </c>
      <c r="N26" s="8">
        <v>-8.1156229689927564</v>
      </c>
    </row>
    <row r="27" spans="1:14" x14ac:dyDescent="0.2">
      <c r="A27" s="15"/>
      <c r="B27" s="9" t="s">
        <v>26</v>
      </c>
      <c r="C27" s="8">
        <v>0</v>
      </c>
      <c r="D27" s="8">
        <v>0</v>
      </c>
      <c r="E27" s="8">
        <v>0</v>
      </c>
      <c r="F27" s="8">
        <v>52178335.791649997</v>
      </c>
      <c r="G27" s="8">
        <v>-52178335.791649997</v>
      </c>
      <c r="H27" s="8">
        <v>0</v>
      </c>
      <c r="J27" s="8">
        <v>0</v>
      </c>
      <c r="K27" s="8">
        <v>0</v>
      </c>
      <c r="L27" s="8">
        <v>0</v>
      </c>
      <c r="M27" s="8">
        <v>-411597719.50068998</v>
      </c>
      <c r="N27" s="8">
        <v>-7.8882876064906204</v>
      </c>
    </row>
    <row r="28" spans="1:14" x14ac:dyDescent="0.2">
      <c r="A28" s="15" t="s">
        <v>25</v>
      </c>
      <c r="B28" s="9" t="s">
        <v>24</v>
      </c>
      <c r="C28" s="8">
        <v>26471.973000000002</v>
      </c>
      <c r="D28" s="8">
        <v>26471.973000000002</v>
      </c>
      <c r="E28" s="8">
        <v>2534785.6103400001</v>
      </c>
      <c r="F28" s="8">
        <v>5970502.2084299996</v>
      </c>
      <c r="G28" s="8">
        <v>-3435716.59809</v>
      </c>
      <c r="H28" s="8">
        <v>0</v>
      </c>
      <c r="I28" s="8">
        <v>0.14704533885706211</v>
      </c>
      <c r="J28" s="8">
        <v>61276977.603090003</v>
      </c>
      <c r="K28" s="8">
        <v>0</v>
      </c>
      <c r="L28" s="8">
        <v>0</v>
      </c>
      <c r="M28" s="8">
        <v>16733883.14587</v>
      </c>
      <c r="N28" s="8">
        <v>1.9674681799237621</v>
      </c>
    </row>
    <row r="29" spans="1:14" x14ac:dyDescent="0.2">
      <c r="A29" s="15"/>
      <c r="B29" s="9" t="s">
        <v>23</v>
      </c>
      <c r="C29" s="8">
        <v>857.70799999999997</v>
      </c>
      <c r="D29" s="8">
        <v>857.70799999999997</v>
      </c>
      <c r="E29" s="8">
        <v>138085.35936</v>
      </c>
      <c r="F29" s="8">
        <v>270500.35054000001</v>
      </c>
      <c r="G29" s="8">
        <v>-132414.99118000001</v>
      </c>
      <c r="H29" s="8">
        <v>0</v>
      </c>
      <c r="I29" s="8">
        <v>0.21801796182383751</v>
      </c>
      <c r="J29" s="8">
        <v>2006506.9711800001</v>
      </c>
      <c r="K29" s="8">
        <v>0</v>
      </c>
      <c r="L29" s="8">
        <v>0</v>
      </c>
      <c r="M29" s="8">
        <v>550607.02280999999</v>
      </c>
      <c r="N29" s="8">
        <v>1.3475924452828469</v>
      </c>
    </row>
    <row r="30" spans="1:14" x14ac:dyDescent="0.2">
      <c r="A30" s="15"/>
      <c r="B30" s="9" t="s">
        <v>22</v>
      </c>
      <c r="C30" s="8">
        <v>457.99400000000003</v>
      </c>
      <c r="D30" s="8">
        <v>457.99400000000003</v>
      </c>
      <c r="E30" s="8">
        <v>30637.96688</v>
      </c>
      <c r="F30" s="8">
        <v>251498.42447</v>
      </c>
      <c r="G30" s="8">
        <v>-220860.45759999999</v>
      </c>
      <c r="H30" s="8">
        <v>0</v>
      </c>
      <c r="I30" s="8">
        <v>0.28193428298187312</v>
      </c>
      <c r="J30" s="8">
        <v>1221577.3476</v>
      </c>
      <c r="K30" s="8">
        <v>0</v>
      </c>
      <c r="L30" s="8">
        <v>0</v>
      </c>
      <c r="M30" s="8">
        <v>557677.18422000005</v>
      </c>
      <c r="N30" s="8">
        <v>1.976622586887463</v>
      </c>
    </row>
    <row r="31" spans="1:14" x14ac:dyDescent="0.2">
      <c r="A31" s="15"/>
      <c r="B31" s="9" t="s">
        <v>21</v>
      </c>
      <c r="C31" s="8">
        <v>5300</v>
      </c>
      <c r="D31" s="8">
        <v>5300</v>
      </c>
      <c r="E31" s="8">
        <v>813057.97094999999</v>
      </c>
      <c r="F31" s="8">
        <v>2247794.3050099998</v>
      </c>
      <c r="G31" s="8">
        <v>-1434736.33406</v>
      </c>
      <c r="H31" s="8">
        <v>0</v>
      </c>
      <c r="I31" s="8">
        <v>0.26431089056603768</v>
      </c>
      <c r="J31" s="8">
        <v>13015236.33406</v>
      </c>
      <c r="K31" s="8">
        <v>0</v>
      </c>
      <c r="L31" s="8">
        <v>0</v>
      </c>
      <c r="M31" s="8">
        <v>9938024.0906600002</v>
      </c>
      <c r="N31" s="8">
        <v>3.2468159922478939</v>
      </c>
    </row>
    <row r="32" spans="1:14" x14ac:dyDescent="0.2">
      <c r="A32" s="9" t="s">
        <v>20</v>
      </c>
      <c r="B32" s="9" t="s">
        <v>19</v>
      </c>
      <c r="C32" s="8">
        <v>46768.008000000002</v>
      </c>
      <c r="D32" s="8">
        <v>46768.008000000002</v>
      </c>
      <c r="E32" s="8">
        <v>68895.074970000001</v>
      </c>
      <c r="F32" s="8">
        <v>76769.01655</v>
      </c>
      <c r="G32" s="8">
        <v>-7873.9415799999997</v>
      </c>
      <c r="H32" s="8">
        <v>0</v>
      </c>
      <c r="I32" s="8">
        <v>0.77053412003350652</v>
      </c>
      <c r="J32" s="8">
        <v>0</v>
      </c>
      <c r="K32" s="8">
        <v>0</v>
      </c>
      <c r="L32" s="8">
        <v>0</v>
      </c>
      <c r="M32" s="8">
        <v>0</v>
      </c>
    </row>
  </sheetData>
  <mergeCells count="4">
    <mergeCell ref="A2:A21"/>
    <mergeCell ref="A26:A27"/>
    <mergeCell ref="A23:A25"/>
    <mergeCell ref="A28:A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E6043-FB34-7C45-B5A5-C12A50913864}">
  <dimension ref="A1:N34"/>
  <sheetViews>
    <sheetView workbookViewId="0"/>
  </sheetViews>
  <sheetFormatPr baseColWidth="10" defaultColWidth="8.83203125" defaultRowHeight="15" x14ac:dyDescent="0.2"/>
  <cols>
    <col min="1" max="16384" width="8.83203125" style="8"/>
  </cols>
  <sheetData>
    <row r="1" spans="1:14" x14ac:dyDescent="0.2">
      <c r="C1" s="9" t="s">
        <v>67</v>
      </c>
      <c r="D1" s="9" t="s">
        <v>66</v>
      </c>
      <c r="E1" s="9" t="s">
        <v>65</v>
      </c>
      <c r="F1" s="9" t="s">
        <v>64</v>
      </c>
      <c r="G1" s="9" t="s">
        <v>63</v>
      </c>
      <c r="H1" s="9" t="s">
        <v>62</v>
      </c>
      <c r="I1" s="9" t="s">
        <v>61</v>
      </c>
      <c r="J1" s="9" t="s">
        <v>60</v>
      </c>
      <c r="K1" s="9" t="s">
        <v>59</v>
      </c>
      <c r="L1" s="9" t="s">
        <v>58</v>
      </c>
      <c r="M1" s="9" t="s">
        <v>57</v>
      </c>
      <c r="N1" s="9" t="s">
        <v>56</v>
      </c>
    </row>
    <row r="2" spans="1:14" x14ac:dyDescent="0.2">
      <c r="A2" s="15" t="s">
        <v>55</v>
      </c>
      <c r="B2" s="9" t="s">
        <v>54</v>
      </c>
      <c r="C2" s="8">
        <v>372.43929000000003</v>
      </c>
      <c r="D2" s="8">
        <v>372.43929000000003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813779.84346</v>
      </c>
      <c r="K2" s="8">
        <v>0</v>
      </c>
      <c r="L2" s="8">
        <v>0</v>
      </c>
      <c r="M2" s="8">
        <v>0</v>
      </c>
    </row>
    <row r="3" spans="1:14" x14ac:dyDescent="0.2">
      <c r="A3" s="15"/>
      <c r="B3" s="9" t="s">
        <v>53</v>
      </c>
      <c r="C3" s="8">
        <v>1642.8915400000001</v>
      </c>
      <c r="D3" s="8">
        <v>1642.8915400000001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3589718.0135300001</v>
      </c>
      <c r="K3" s="8">
        <v>0</v>
      </c>
      <c r="L3" s="8">
        <v>0</v>
      </c>
      <c r="M3" s="8">
        <v>0</v>
      </c>
    </row>
    <row r="4" spans="1:14" x14ac:dyDescent="0.2">
      <c r="A4" s="15"/>
      <c r="B4" s="9" t="s">
        <v>52</v>
      </c>
      <c r="C4" s="8">
        <v>9185.8067100000007</v>
      </c>
      <c r="D4" s="8">
        <v>9185.8067100000007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20070987.666540001</v>
      </c>
      <c r="K4" s="8">
        <v>0</v>
      </c>
      <c r="L4" s="8">
        <v>0</v>
      </c>
      <c r="M4" s="8">
        <v>0</v>
      </c>
    </row>
    <row r="5" spans="1:14" x14ac:dyDescent="0.2">
      <c r="A5" s="15"/>
      <c r="B5" s="9" t="s">
        <v>51</v>
      </c>
      <c r="C5" s="8">
        <v>23586</v>
      </c>
      <c r="D5" s="8">
        <v>23586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51535410</v>
      </c>
      <c r="K5" s="8">
        <v>0</v>
      </c>
      <c r="L5" s="8">
        <v>0</v>
      </c>
      <c r="M5" s="8">
        <v>0</v>
      </c>
    </row>
    <row r="6" spans="1:14" x14ac:dyDescent="0.2">
      <c r="A6" s="15"/>
      <c r="B6" s="9" t="s">
        <v>50</v>
      </c>
      <c r="C6" s="8">
        <v>3534.0360000000001</v>
      </c>
      <c r="D6" s="8">
        <v>3534.0360000000001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7721868.6600000001</v>
      </c>
      <c r="K6" s="8">
        <v>0</v>
      </c>
      <c r="L6" s="8">
        <v>0</v>
      </c>
      <c r="M6" s="8">
        <v>0</v>
      </c>
    </row>
    <row r="7" spans="1:14" x14ac:dyDescent="0.2">
      <c r="A7" s="15"/>
      <c r="B7" s="9" t="s">
        <v>49</v>
      </c>
      <c r="C7" s="8">
        <v>13695</v>
      </c>
      <c r="D7" s="8">
        <v>13695</v>
      </c>
      <c r="E7" s="8">
        <v>3596047.0416199998</v>
      </c>
      <c r="F7" s="8">
        <v>0</v>
      </c>
      <c r="G7" s="8">
        <v>3596047.0416199998</v>
      </c>
      <c r="H7" s="8">
        <v>0</v>
      </c>
      <c r="I7" s="8">
        <v>0.1201743789704272</v>
      </c>
      <c r="J7" s="8">
        <v>26327527.958379999</v>
      </c>
      <c r="K7" s="8">
        <v>0</v>
      </c>
      <c r="L7" s="8">
        <v>41131015.122989997</v>
      </c>
      <c r="M7" s="8">
        <v>41131015.122989997</v>
      </c>
      <c r="N7" s="8">
        <v>11.4378412270955</v>
      </c>
    </row>
    <row r="8" spans="1:14" x14ac:dyDescent="0.2">
      <c r="A8" s="15"/>
      <c r="B8" s="9" t="s">
        <v>48</v>
      </c>
      <c r="C8" s="8">
        <v>4067.2939999999999</v>
      </c>
      <c r="D8" s="8">
        <v>4067.2939999999999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8887037.3900000006</v>
      </c>
      <c r="K8" s="8">
        <v>0</v>
      </c>
      <c r="L8" s="8">
        <v>0</v>
      </c>
      <c r="M8" s="8">
        <v>0</v>
      </c>
    </row>
    <row r="9" spans="1:14" x14ac:dyDescent="0.2">
      <c r="A9" s="15"/>
      <c r="B9" s="9" t="s">
        <v>47</v>
      </c>
      <c r="C9" s="8">
        <v>11</v>
      </c>
      <c r="D9" s="8">
        <v>11</v>
      </c>
      <c r="E9" s="8">
        <v>4453.3720000000003</v>
      </c>
      <c r="F9" s="8">
        <v>0</v>
      </c>
      <c r="G9" s="8">
        <v>4453.3720000000003</v>
      </c>
      <c r="H9" s="8">
        <v>0</v>
      </c>
      <c r="I9" s="8">
        <v>0.18528727272727269</v>
      </c>
      <c r="J9" s="8">
        <v>19581.628000000001</v>
      </c>
      <c r="K9" s="8">
        <v>0</v>
      </c>
      <c r="L9" s="8">
        <v>55489.015119999996</v>
      </c>
      <c r="M9" s="8">
        <v>95186.798039999994</v>
      </c>
      <c r="N9" s="8">
        <v>21.374057973858779</v>
      </c>
    </row>
    <row r="10" spans="1:14" x14ac:dyDescent="0.2">
      <c r="A10" s="15"/>
      <c r="B10" s="9" t="s">
        <v>46</v>
      </c>
      <c r="C10" s="8">
        <v>834.51107000000002</v>
      </c>
      <c r="D10" s="8">
        <v>834.51107000000002</v>
      </c>
      <c r="E10" s="8">
        <v>522.83231999999998</v>
      </c>
      <c r="F10" s="8">
        <v>0</v>
      </c>
      <c r="G10" s="8">
        <v>522.83231999999998</v>
      </c>
      <c r="H10" s="8">
        <v>0</v>
      </c>
      <c r="I10" s="8">
        <v>2.8673076799328741E-4</v>
      </c>
      <c r="J10" s="8">
        <v>1822883.8473199999</v>
      </c>
      <c r="K10" s="8">
        <v>0</v>
      </c>
      <c r="L10" s="8">
        <v>28232.945049999998</v>
      </c>
      <c r="M10" s="8">
        <v>28368.131119999998</v>
      </c>
      <c r="N10" s="8">
        <v>54.259152457372117</v>
      </c>
    </row>
    <row r="11" spans="1:14" x14ac:dyDescent="0.2">
      <c r="A11" s="15"/>
      <c r="B11" s="9" t="s">
        <v>45</v>
      </c>
      <c r="C11" s="8">
        <v>1897.296</v>
      </c>
      <c r="D11" s="8">
        <v>1897.296</v>
      </c>
      <c r="E11" s="8">
        <v>1382017.63408</v>
      </c>
      <c r="F11" s="8">
        <v>0</v>
      </c>
      <c r="G11" s="8">
        <v>1382017.63408</v>
      </c>
      <c r="H11" s="8">
        <v>0</v>
      </c>
      <c r="I11" s="8">
        <v>0.33337041241851562</v>
      </c>
      <c r="J11" s="8">
        <v>276219.06991999998</v>
      </c>
      <c r="K11" s="8">
        <v>0</v>
      </c>
      <c r="L11" s="8">
        <v>0</v>
      </c>
      <c r="M11" s="8">
        <v>8637571.9415899999</v>
      </c>
      <c r="N11" s="8">
        <v>6.2499723044507256</v>
      </c>
    </row>
    <row r="12" spans="1:14" x14ac:dyDescent="0.2">
      <c r="A12" s="15"/>
      <c r="B12" s="9" t="s">
        <v>44</v>
      </c>
      <c r="C12" s="8">
        <v>48629.190949999997</v>
      </c>
      <c r="D12" s="8">
        <v>48629.190949999997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52178335.791649997</v>
      </c>
      <c r="K12" s="8">
        <v>0</v>
      </c>
      <c r="L12" s="8">
        <v>0</v>
      </c>
      <c r="M12" s="8">
        <v>0</v>
      </c>
    </row>
    <row r="13" spans="1:14" x14ac:dyDescent="0.2">
      <c r="A13" s="15"/>
      <c r="B13" s="9" t="s">
        <v>43</v>
      </c>
      <c r="C13" s="8">
        <v>254.358</v>
      </c>
      <c r="D13" s="8">
        <v>254.358</v>
      </c>
      <c r="E13" s="8">
        <v>238941.80293999999</v>
      </c>
      <c r="F13" s="8">
        <v>0</v>
      </c>
      <c r="G13" s="8">
        <v>238941.80293999999</v>
      </c>
      <c r="H13" s="8">
        <v>0</v>
      </c>
      <c r="I13" s="8">
        <v>0.42992758238388412</v>
      </c>
      <c r="J13" s="8">
        <v>34827.747869999999</v>
      </c>
      <c r="K13" s="8">
        <v>0</v>
      </c>
      <c r="L13" s="8">
        <v>0</v>
      </c>
      <c r="M13" s="8">
        <v>1935411.9283400001</v>
      </c>
      <c r="N13" s="8">
        <v>8.0999299349497864</v>
      </c>
    </row>
    <row r="14" spans="1:14" x14ac:dyDescent="0.2">
      <c r="A14" s="15"/>
      <c r="B14" s="9" t="s">
        <v>42</v>
      </c>
      <c r="C14" s="8">
        <v>4570</v>
      </c>
      <c r="D14" s="8">
        <v>4570</v>
      </c>
      <c r="E14" s="8">
        <v>4104458.91395</v>
      </c>
      <c r="F14" s="8">
        <v>0</v>
      </c>
      <c r="G14" s="8">
        <v>4104458.91395</v>
      </c>
      <c r="H14" s="8">
        <v>0</v>
      </c>
      <c r="I14" s="8">
        <v>0.41104396061269149</v>
      </c>
      <c r="J14" s="8">
        <v>5880991.08605</v>
      </c>
      <c r="K14" s="8">
        <v>0</v>
      </c>
      <c r="L14" s="8">
        <v>41044589.139509998</v>
      </c>
      <c r="M14" s="8">
        <v>68653450.536630005</v>
      </c>
      <c r="N14" s="8">
        <v>16.72655323007665</v>
      </c>
    </row>
    <row r="15" spans="1:14" x14ac:dyDescent="0.2">
      <c r="A15" s="15"/>
      <c r="B15" s="9" t="s">
        <v>41</v>
      </c>
      <c r="C15" s="8">
        <v>53544.201999999997</v>
      </c>
      <c r="D15" s="8">
        <v>53544.201999999997</v>
      </c>
      <c r="E15" s="8">
        <v>25512156.074349999</v>
      </c>
      <c r="F15" s="8">
        <v>0</v>
      </c>
      <c r="G15" s="8">
        <v>25512156.074349999</v>
      </c>
      <c r="H15" s="8">
        <v>0</v>
      </c>
      <c r="I15" s="8">
        <v>0.21806364711533099</v>
      </c>
      <c r="J15" s="8">
        <v>6602690.03522</v>
      </c>
      <c r="K15" s="8">
        <v>0</v>
      </c>
      <c r="L15" s="8">
        <v>0</v>
      </c>
      <c r="M15" s="8">
        <v>101513478.01079001</v>
      </c>
      <c r="N15" s="8">
        <v>3.979023870531039</v>
      </c>
    </row>
    <row r="16" spans="1:14" x14ac:dyDescent="0.2">
      <c r="A16" s="15"/>
      <c r="B16" s="9" t="s">
        <v>40</v>
      </c>
      <c r="C16" s="8">
        <v>78.5</v>
      </c>
      <c r="D16" s="8">
        <v>78.5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171522.5</v>
      </c>
      <c r="K16" s="8">
        <v>0</v>
      </c>
      <c r="L16" s="8">
        <v>0</v>
      </c>
      <c r="M16" s="8">
        <v>0</v>
      </c>
    </row>
    <row r="17" spans="1:14" x14ac:dyDescent="0.2">
      <c r="A17" s="15"/>
      <c r="B17" s="9" t="s">
        <v>39</v>
      </c>
      <c r="C17" s="8">
        <v>27270.741000000002</v>
      </c>
      <c r="D17" s="8">
        <v>27270.741000000002</v>
      </c>
      <c r="E17" s="8">
        <v>11221044.448039999</v>
      </c>
      <c r="F17" s="8">
        <v>0</v>
      </c>
      <c r="G17" s="8">
        <v>11221044.448039999</v>
      </c>
      <c r="H17" s="8">
        <v>0</v>
      </c>
      <c r="I17" s="8">
        <v>0.1883149948144057</v>
      </c>
      <c r="J17" s="8">
        <v>3114089.9083799999</v>
      </c>
      <c r="K17" s="8">
        <v>0</v>
      </c>
      <c r="L17" s="8">
        <v>0</v>
      </c>
      <c r="M17" s="8">
        <v>41022297.80466</v>
      </c>
      <c r="N17" s="8">
        <v>3.6558359593163998</v>
      </c>
    </row>
    <row r="18" spans="1:14" x14ac:dyDescent="0.2">
      <c r="A18" s="15"/>
      <c r="B18" s="9" t="s">
        <v>38</v>
      </c>
      <c r="C18" s="8">
        <v>3662.89</v>
      </c>
      <c r="D18" s="8">
        <v>3662.89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8003414.6500000004</v>
      </c>
      <c r="K18" s="8">
        <v>0</v>
      </c>
      <c r="L18" s="8">
        <v>0</v>
      </c>
      <c r="M18" s="8">
        <v>0</v>
      </c>
    </row>
    <row r="19" spans="1:14" x14ac:dyDescent="0.2">
      <c r="A19" s="15"/>
      <c r="B19" s="9" t="s">
        <v>37</v>
      </c>
      <c r="C19" s="8">
        <v>55.819389999999999</v>
      </c>
      <c r="D19" s="8">
        <v>55.819389999999999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121965.37684</v>
      </c>
      <c r="K19" s="8">
        <v>0</v>
      </c>
      <c r="L19" s="8">
        <v>0</v>
      </c>
      <c r="M19" s="8">
        <v>0</v>
      </c>
    </row>
    <row r="20" spans="1:14" x14ac:dyDescent="0.2">
      <c r="A20" s="15"/>
      <c r="B20" s="9" t="s">
        <v>36</v>
      </c>
      <c r="C20" s="8">
        <v>40470.421999999999</v>
      </c>
      <c r="D20" s="8">
        <v>40470.421999999999</v>
      </c>
      <c r="E20" s="8">
        <v>13177211.242869999</v>
      </c>
      <c r="F20" s="8">
        <v>0</v>
      </c>
      <c r="G20" s="8">
        <v>13177211.242869999</v>
      </c>
      <c r="H20" s="8">
        <v>0</v>
      </c>
      <c r="I20" s="8">
        <v>0.1490164913526229</v>
      </c>
      <c r="J20" s="8">
        <v>1388330.21634</v>
      </c>
      <c r="K20" s="8">
        <v>0</v>
      </c>
      <c r="L20" s="8">
        <v>0</v>
      </c>
      <c r="M20" s="8">
        <v>90344947.028009996</v>
      </c>
      <c r="N20" s="8">
        <v>6.8561507756429174</v>
      </c>
    </row>
    <row r="21" spans="1:14" x14ac:dyDescent="0.2">
      <c r="A21" s="15"/>
      <c r="B21" s="9" t="s">
        <v>35</v>
      </c>
      <c r="C21" s="8">
        <v>4643.1779999999999</v>
      </c>
      <c r="D21" s="8">
        <v>4643.1779999999999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10145343.93</v>
      </c>
      <c r="K21" s="8">
        <v>0</v>
      </c>
      <c r="L21" s="8">
        <v>0</v>
      </c>
      <c r="M21" s="8">
        <v>0</v>
      </c>
    </row>
    <row r="22" spans="1:14" x14ac:dyDescent="0.2">
      <c r="A22" s="9" t="s">
        <v>34</v>
      </c>
      <c r="B22" s="9" t="s">
        <v>33</v>
      </c>
      <c r="C22" s="8">
        <v>230800</v>
      </c>
      <c r="D22" s="8">
        <v>230800</v>
      </c>
      <c r="E22" s="8">
        <v>32692993.447999999</v>
      </c>
      <c r="F22" s="8">
        <v>23168647.3035</v>
      </c>
      <c r="G22" s="8">
        <v>9524346.1445000004</v>
      </c>
      <c r="H22" s="8">
        <v>-9524346.1445000004</v>
      </c>
      <c r="I22" s="8">
        <v>0.11077109319757369</v>
      </c>
      <c r="J22" s="8">
        <v>0</v>
      </c>
      <c r="K22" s="8">
        <v>0</v>
      </c>
      <c r="L22" s="8">
        <v>0</v>
      </c>
      <c r="M22" s="8">
        <v>98850007.267240003</v>
      </c>
      <c r="N22" s="8">
        <v>1.7695507317164469</v>
      </c>
    </row>
    <row r="23" spans="1:14" x14ac:dyDescent="0.2">
      <c r="A23" s="15" t="s">
        <v>32</v>
      </c>
      <c r="B23" s="9" t="s">
        <v>31</v>
      </c>
      <c r="C23" s="8">
        <v>12450</v>
      </c>
      <c r="D23" s="8">
        <v>12450</v>
      </c>
      <c r="E23" s="8">
        <v>9604788.4669499993</v>
      </c>
      <c r="F23" s="8">
        <v>5916535.0909299999</v>
      </c>
      <c r="G23" s="8">
        <v>3688253.3760199999</v>
      </c>
      <c r="H23" s="8">
        <v>-3688253.3760199999</v>
      </c>
      <c r="I23" s="8">
        <v>0.57056872128514058</v>
      </c>
      <c r="J23" s="8">
        <v>30891503.376019999</v>
      </c>
      <c r="K23" s="8">
        <v>0</v>
      </c>
      <c r="L23" s="8">
        <v>0</v>
      </c>
      <c r="M23" s="8">
        <v>71373919.087679997</v>
      </c>
      <c r="N23" s="8">
        <v>4.5984428306435854</v>
      </c>
    </row>
    <row r="24" spans="1:14" x14ac:dyDescent="0.2">
      <c r="A24" s="15"/>
      <c r="B24" s="9" t="s">
        <v>68</v>
      </c>
      <c r="C24" s="8">
        <v>26000000</v>
      </c>
      <c r="D24" s="8">
        <v>26000000</v>
      </c>
      <c r="E24" s="8">
        <v>0</v>
      </c>
      <c r="F24" s="8">
        <v>117173.91211999999</v>
      </c>
      <c r="G24" s="8">
        <v>-117173.91211999999</v>
      </c>
      <c r="H24" s="8">
        <v>0</v>
      </c>
      <c r="I24" s="8">
        <v>2.0625576923076921E-6</v>
      </c>
      <c r="J24" s="8">
        <v>56809882826.087883</v>
      </c>
      <c r="K24" s="8">
        <v>0</v>
      </c>
      <c r="L24" s="8">
        <v>1.17174</v>
      </c>
      <c r="M24" s="8">
        <v>-1041930.46324</v>
      </c>
      <c r="N24" s="8">
        <v>-8.8921717807427303</v>
      </c>
    </row>
    <row r="25" spans="1:14" x14ac:dyDescent="0.2">
      <c r="A25" s="15"/>
      <c r="B25" s="9" t="s">
        <v>30</v>
      </c>
      <c r="C25" s="8">
        <v>3653.0947500000002</v>
      </c>
      <c r="D25" s="8">
        <v>3653.0947500000002</v>
      </c>
      <c r="E25" s="8">
        <v>0</v>
      </c>
      <c r="F25" s="8">
        <v>102077.8159</v>
      </c>
      <c r="G25" s="8">
        <v>-102077.8159</v>
      </c>
      <c r="H25" s="8">
        <v>0</v>
      </c>
      <c r="I25" s="8">
        <v>1.278848297050056E-2</v>
      </c>
      <c r="J25" s="8">
        <v>7879934.2227299996</v>
      </c>
      <c r="K25" s="8">
        <v>0</v>
      </c>
      <c r="L25" s="8">
        <v>0</v>
      </c>
      <c r="M25" s="8">
        <v>0</v>
      </c>
    </row>
    <row r="26" spans="1:14" x14ac:dyDescent="0.2">
      <c r="A26" s="15"/>
      <c r="B26" s="9" t="s">
        <v>29</v>
      </c>
      <c r="C26" s="8">
        <v>278.38099999999997</v>
      </c>
      <c r="D26" s="8">
        <v>278.38099999999997</v>
      </c>
      <c r="E26" s="8">
        <v>0</v>
      </c>
      <c r="F26" s="8">
        <v>69483.038119999997</v>
      </c>
      <c r="G26" s="8">
        <v>-69483.038119999997</v>
      </c>
      <c r="H26" s="8">
        <v>0</v>
      </c>
      <c r="I26" s="8">
        <v>0.11423200577625631</v>
      </c>
      <c r="J26" s="8">
        <v>538779.44687999994</v>
      </c>
      <c r="K26" s="8">
        <v>0</v>
      </c>
      <c r="L26" s="8">
        <v>347415.19059000001</v>
      </c>
      <c r="M26" s="8">
        <v>0</v>
      </c>
    </row>
    <row r="27" spans="1:14" x14ac:dyDescent="0.2">
      <c r="A27" s="15" t="s">
        <v>28</v>
      </c>
      <c r="B27" s="9" t="s">
        <v>27</v>
      </c>
      <c r="C27" s="8">
        <v>0</v>
      </c>
      <c r="D27" s="8">
        <v>0</v>
      </c>
      <c r="E27" s="8">
        <v>0</v>
      </c>
      <c r="F27" s="8">
        <v>1877542.78308</v>
      </c>
      <c r="G27" s="8">
        <v>-1877542.78308</v>
      </c>
      <c r="H27" s="8">
        <v>0</v>
      </c>
      <c r="J27" s="8">
        <v>0</v>
      </c>
      <c r="K27" s="8">
        <v>0</v>
      </c>
      <c r="L27" s="8">
        <v>0</v>
      </c>
      <c r="M27" s="8">
        <v>-15206049.66506</v>
      </c>
      <c r="N27" s="8">
        <v>-8.0989098512347404</v>
      </c>
    </row>
    <row r="28" spans="1:14" x14ac:dyDescent="0.2">
      <c r="A28" s="15"/>
      <c r="B28" s="9" t="s">
        <v>26</v>
      </c>
      <c r="C28" s="8">
        <v>0</v>
      </c>
      <c r="D28" s="8">
        <v>0</v>
      </c>
      <c r="E28" s="8">
        <v>0</v>
      </c>
      <c r="F28" s="8">
        <v>52178335.791649997</v>
      </c>
      <c r="G28" s="8">
        <v>-52178335.791649997</v>
      </c>
      <c r="H28" s="8">
        <v>0</v>
      </c>
      <c r="J28" s="8">
        <v>0</v>
      </c>
      <c r="K28" s="8">
        <v>0</v>
      </c>
      <c r="L28" s="8">
        <v>0</v>
      </c>
      <c r="M28" s="8">
        <v>-410643691.32665002</v>
      </c>
      <c r="N28" s="8">
        <v>-7.8700036166839684</v>
      </c>
    </row>
    <row r="29" spans="1:14" x14ac:dyDescent="0.2">
      <c r="A29" s="15" t="s">
        <v>25</v>
      </c>
      <c r="B29" s="9" t="s">
        <v>24</v>
      </c>
      <c r="C29" s="8">
        <v>26471.973000000002</v>
      </c>
      <c r="D29" s="8">
        <v>26471.973000000002</v>
      </c>
      <c r="E29" s="8">
        <v>2603248.2394699999</v>
      </c>
      <c r="F29" s="8">
        <v>6038224.3378799995</v>
      </c>
      <c r="G29" s="8">
        <v>-3434976.0984100001</v>
      </c>
      <c r="H29" s="8">
        <v>0</v>
      </c>
      <c r="I29" s="8">
        <v>0.1493997957764614</v>
      </c>
      <c r="J29" s="8">
        <v>61276237.103409998</v>
      </c>
      <c r="K29" s="8">
        <v>0</v>
      </c>
      <c r="L29" s="8">
        <v>0</v>
      </c>
      <c r="M29" s="8">
        <v>16577041.88425</v>
      </c>
      <c r="N29" s="8">
        <v>1.9183121548515869</v>
      </c>
    </row>
    <row r="30" spans="1:14" x14ac:dyDescent="0.2">
      <c r="A30" s="15"/>
      <c r="B30" s="9" t="s">
        <v>23</v>
      </c>
      <c r="C30" s="8">
        <v>857.70799999999997</v>
      </c>
      <c r="D30" s="8">
        <v>857.70799999999997</v>
      </c>
      <c r="E30" s="8">
        <v>142469.96878</v>
      </c>
      <c r="F30" s="8">
        <v>272476.06955000001</v>
      </c>
      <c r="G30" s="8">
        <v>-130006.10077</v>
      </c>
      <c r="H30" s="8">
        <v>0</v>
      </c>
      <c r="I30" s="8">
        <v>0.22141177417023039</v>
      </c>
      <c r="J30" s="8">
        <v>2004098.0807699999</v>
      </c>
      <c r="K30" s="8">
        <v>0</v>
      </c>
      <c r="L30" s="8">
        <v>0</v>
      </c>
      <c r="M30" s="8">
        <v>545406.71028999996</v>
      </c>
      <c r="N30" s="8">
        <v>1.314403997964263</v>
      </c>
    </row>
    <row r="31" spans="1:14" x14ac:dyDescent="0.2">
      <c r="A31" s="15"/>
      <c r="B31" s="9" t="s">
        <v>22</v>
      </c>
      <c r="C31" s="8">
        <v>457.99400000000003</v>
      </c>
      <c r="D31" s="8">
        <v>457.99400000000003</v>
      </c>
      <c r="E31" s="8">
        <v>31820.767199999998</v>
      </c>
      <c r="F31" s="8">
        <v>252267.31714999999</v>
      </c>
      <c r="G31" s="8">
        <v>-220446.54994999999</v>
      </c>
      <c r="H31" s="8">
        <v>0</v>
      </c>
      <c r="I31" s="8">
        <v>0.28388457054022542</v>
      </c>
      <c r="J31" s="8">
        <v>1221163.43995</v>
      </c>
      <c r="K31" s="8">
        <v>0</v>
      </c>
      <c r="L31" s="8">
        <v>0</v>
      </c>
      <c r="M31" s="8">
        <v>552474.61318999995</v>
      </c>
      <c r="N31" s="8">
        <v>1.944729948899929</v>
      </c>
    </row>
    <row r="32" spans="1:14" x14ac:dyDescent="0.2">
      <c r="A32" s="15"/>
      <c r="B32" s="9" t="s">
        <v>21</v>
      </c>
      <c r="C32" s="8">
        <v>5300</v>
      </c>
      <c r="D32" s="8">
        <v>5300</v>
      </c>
      <c r="E32" s="8">
        <v>821260.86430000002</v>
      </c>
      <c r="F32" s="8">
        <v>2241676.9401699998</v>
      </c>
      <c r="G32" s="8">
        <v>-1420416.0758700001</v>
      </c>
      <c r="H32" s="8">
        <v>0</v>
      </c>
      <c r="I32" s="8">
        <v>0.26449098113207548</v>
      </c>
      <c r="J32" s="8">
        <v>13000916.07587</v>
      </c>
      <c r="K32" s="8">
        <v>0</v>
      </c>
      <c r="L32" s="8">
        <v>0</v>
      </c>
      <c r="M32" s="8">
        <v>9857427.5405000001</v>
      </c>
      <c r="N32" s="8">
        <v>3.2182917746883262</v>
      </c>
    </row>
    <row r="33" spans="1:13" x14ac:dyDescent="0.2">
      <c r="A33" s="15" t="s">
        <v>20</v>
      </c>
      <c r="B33" s="9" t="s">
        <v>68</v>
      </c>
      <c r="C33" s="8">
        <v>13000000</v>
      </c>
      <c r="D33" s="8">
        <v>13000000</v>
      </c>
      <c r="E33" s="8">
        <v>58586.956059999997</v>
      </c>
      <c r="F33" s="8">
        <v>58586.956059999997</v>
      </c>
      <c r="G33" s="8">
        <v>0</v>
      </c>
      <c r="H33" s="8">
        <v>0</v>
      </c>
      <c r="I33" s="8">
        <v>0.99992641716230779</v>
      </c>
      <c r="J33" s="8">
        <v>0</v>
      </c>
      <c r="K33" s="8">
        <v>0</v>
      </c>
      <c r="L33" s="8">
        <v>0</v>
      </c>
      <c r="M33" s="8">
        <v>0</v>
      </c>
    </row>
    <row r="34" spans="1:13" x14ac:dyDescent="0.2">
      <c r="A34" s="15"/>
      <c r="B34" s="9" t="s">
        <v>19</v>
      </c>
      <c r="C34" s="8">
        <v>46768.008000000002</v>
      </c>
      <c r="D34" s="8">
        <v>46768.008000000002</v>
      </c>
      <c r="E34" s="8">
        <v>68330.055500000002</v>
      </c>
      <c r="F34" s="8">
        <v>70301.488509999996</v>
      </c>
      <c r="G34" s="8">
        <v>-1971.43301</v>
      </c>
      <c r="H34" s="8">
        <v>0</v>
      </c>
      <c r="I34" s="8">
        <v>0.19292198034177549</v>
      </c>
      <c r="J34" s="8">
        <v>0</v>
      </c>
      <c r="K34" s="8">
        <v>0</v>
      </c>
      <c r="L34" s="8">
        <v>0</v>
      </c>
      <c r="M34" s="8">
        <v>0</v>
      </c>
    </row>
  </sheetData>
  <mergeCells count="5">
    <mergeCell ref="A27:A28"/>
    <mergeCell ref="A23:A26"/>
    <mergeCell ref="A2:A21"/>
    <mergeCell ref="A33:A34"/>
    <mergeCell ref="A29:A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2EC3C-7A6C-E64D-AFB0-3E59D93A9FF2}">
  <dimension ref="A1:N33"/>
  <sheetViews>
    <sheetView workbookViewId="0"/>
  </sheetViews>
  <sheetFormatPr baseColWidth="10" defaultColWidth="8.83203125" defaultRowHeight="15" x14ac:dyDescent="0.2"/>
  <cols>
    <col min="1" max="16384" width="8.83203125" style="8"/>
  </cols>
  <sheetData>
    <row r="1" spans="1:14" x14ac:dyDescent="0.2">
      <c r="C1" s="9" t="s">
        <v>67</v>
      </c>
      <c r="D1" s="9" t="s">
        <v>66</v>
      </c>
      <c r="E1" s="9" t="s">
        <v>65</v>
      </c>
      <c r="F1" s="9" t="s">
        <v>64</v>
      </c>
      <c r="G1" s="9" t="s">
        <v>63</v>
      </c>
      <c r="H1" s="9" t="s">
        <v>62</v>
      </c>
      <c r="I1" s="9" t="s">
        <v>61</v>
      </c>
      <c r="J1" s="9" t="s">
        <v>60</v>
      </c>
      <c r="K1" s="9" t="s">
        <v>59</v>
      </c>
      <c r="L1" s="9" t="s">
        <v>58</v>
      </c>
      <c r="M1" s="9" t="s">
        <v>57</v>
      </c>
      <c r="N1" s="9" t="s">
        <v>56</v>
      </c>
    </row>
    <row r="2" spans="1:14" x14ac:dyDescent="0.2">
      <c r="A2" s="15" t="s">
        <v>55</v>
      </c>
      <c r="B2" s="9" t="s">
        <v>54</v>
      </c>
      <c r="C2" s="8">
        <v>372.43929000000003</v>
      </c>
      <c r="D2" s="8">
        <v>372.43929000000003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813779.84346</v>
      </c>
      <c r="K2" s="8">
        <v>0</v>
      </c>
      <c r="L2" s="8">
        <v>0</v>
      </c>
      <c r="M2" s="8">
        <v>0</v>
      </c>
    </row>
    <row r="3" spans="1:14" x14ac:dyDescent="0.2">
      <c r="A3" s="15"/>
      <c r="B3" s="9" t="s">
        <v>53</v>
      </c>
      <c r="C3" s="8">
        <v>1642.8915400000001</v>
      </c>
      <c r="D3" s="8">
        <v>1642.8915400000001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3589718.0135300001</v>
      </c>
      <c r="K3" s="8">
        <v>0</v>
      </c>
      <c r="L3" s="8">
        <v>0</v>
      </c>
      <c r="M3" s="8">
        <v>0</v>
      </c>
    </row>
    <row r="4" spans="1:14" x14ac:dyDescent="0.2">
      <c r="A4" s="15"/>
      <c r="B4" s="9" t="s">
        <v>52</v>
      </c>
      <c r="C4" s="8">
        <v>9185.8067100000007</v>
      </c>
      <c r="D4" s="8">
        <v>9185.8067100000007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20070987.666540001</v>
      </c>
      <c r="K4" s="8">
        <v>0</v>
      </c>
      <c r="L4" s="8">
        <v>0</v>
      </c>
      <c r="M4" s="8">
        <v>0</v>
      </c>
    </row>
    <row r="5" spans="1:14" x14ac:dyDescent="0.2">
      <c r="A5" s="15"/>
      <c r="B5" s="9" t="s">
        <v>51</v>
      </c>
      <c r="C5" s="8">
        <v>23586</v>
      </c>
      <c r="D5" s="8">
        <v>23586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51535410</v>
      </c>
      <c r="K5" s="8">
        <v>0</v>
      </c>
      <c r="L5" s="8">
        <v>0</v>
      </c>
      <c r="M5" s="8">
        <v>0</v>
      </c>
    </row>
    <row r="6" spans="1:14" x14ac:dyDescent="0.2">
      <c r="A6" s="15"/>
      <c r="B6" s="9" t="s">
        <v>50</v>
      </c>
      <c r="C6" s="8">
        <v>3534.0360000000001</v>
      </c>
      <c r="D6" s="8">
        <v>3534.0360000000001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7721868.6600000001</v>
      </c>
      <c r="K6" s="8">
        <v>0</v>
      </c>
      <c r="L6" s="8">
        <v>0</v>
      </c>
      <c r="M6" s="8">
        <v>0</v>
      </c>
    </row>
    <row r="7" spans="1:14" x14ac:dyDescent="0.2">
      <c r="A7" s="15"/>
      <c r="B7" s="9" t="s">
        <v>49</v>
      </c>
      <c r="C7" s="8">
        <v>13695</v>
      </c>
      <c r="D7" s="8">
        <v>13695</v>
      </c>
      <c r="E7" s="8">
        <v>3619085.24034</v>
      </c>
      <c r="F7" s="8">
        <v>0</v>
      </c>
      <c r="G7" s="8">
        <v>3619085.24034</v>
      </c>
      <c r="H7" s="8">
        <v>0</v>
      </c>
      <c r="I7" s="8">
        <v>0.12094428039430449</v>
      </c>
      <c r="J7" s="8">
        <v>26304489.759660002</v>
      </c>
      <c r="K7" s="8">
        <v>0</v>
      </c>
      <c r="L7" s="8">
        <v>41523637.692550004</v>
      </c>
      <c r="M7" s="8">
        <v>41523637.692550004</v>
      </c>
      <c r="N7" s="8">
        <v>11.47351744570617</v>
      </c>
    </row>
    <row r="8" spans="1:14" x14ac:dyDescent="0.2">
      <c r="A8" s="15"/>
      <c r="B8" s="9" t="s">
        <v>48</v>
      </c>
      <c r="C8" s="8">
        <v>4067.2939999999999</v>
      </c>
      <c r="D8" s="8">
        <v>4067.2939999999999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8887037.3900000006</v>
      </c>
      <c r="K8" s="8">
        <v>0</v>
      </c>
      <c r="L8" s="8">
        <v>0</v>
      </c>
      <c r="M8" s="8">
        <v>0</v>
      </c>
    </row>
    <row r="9" spans="1:14" x14ac:dyDescent="0.2">
      <c r="A9" s="15"/>
      <c r="B9" s="9" t="s">
        <v>47</v>
      </c>
      <c r="C9" s="8">
        <v>11</v>
      </c>
      <c r="D9" s="8">
        <v>11</v>
      </c>
      <c r="E9" s="8">
        <v>4626.7979999999998</v>
      </c>
      <c r="F9" s="8">
        <v>0</v>
      </c>
      <c r="G9" s="8">
        <v>4626.7979999999998</v>
      </c>
      <c r="H9" s="8">
        <v>0</v>
      </c>
      <c r="I9" s="8">
        <v>0.1925027272727273</v>
      </c>
      <c r="J9" s="8">
        <v>19408.202000000001</v>
      </c>
      <c r="K9" s="8">
        <v>0</v>
      </c>
      <c r="L9" s="8">
        <v>57649.903079999996</v>
      </c>
      <c r="M9" s="8">
        <v>97520.614619999993</v>
      </c>
      <c r="N9" s="8">
        <v>21.077321218589589</v>
      </c>
    </row>
    <row r="10" spans="1:14" x14ac:dyDescent="0.2">
      <c r="A10" s="15"/>
      <c r="B10" s="9" t="s">
        <v>46</v>
      </c>
      <c r="C10" s="8">
        <v>834.51107000000002</v>
      </c>
      <c r="D10" s="8">
        <v>834.51107000000002</v>
      </c>
      <c r="E10" s="8">
        <v>484.79502000000002</v>
      </c>
      <c r="F10" s="8">
        <v>0</v>
      </c>
      <c r="G10" s="8">
        <v>484.79502000000002</v>
      </c>
      <c r="H10" s="8">
        <v>0</v>
      </c>
      <c r="I10" s="8">
        <v>2.6586825265241841E-4</v>
      </c>
      <c r="J10" s="8">
        <v>1822921.8846100001</v>
      </c>
      <c r="K10" s="8">
        <v>0</v>
      </c>
      <c r="L10" s="8">
        <v>26178.931100000002</v>
      </c>
      <c r="M10" s="8">
        <v>26314.700199999999</v>
      </c>
      <c r="N10" s="8">
        <v>54.281065488799747</v>
      </c>
    </row>
    <row r="11" spans="1:14" x14ac:dyDescent="0.2">
      <c r="A11" s="15"/>
      <c r="B11" s="9" t="s">
        <v>45</v>
      </c>
      <c r="C11" s="8">
        <v>1897.296</v>
      </c>
      <c r="D11" s="8">
        <v>1897.296</v>
      </c>
      <c r="E11" s="8">
        <v>1355338.20836</v>
      </c>
      <c r="F11" s="8">
        <v>0</v>
      </c>
      <c r="G11" s="8">
        <v>1355338.20836</v>
      </c>
      <c r="H11" s="8">
        <v>0</v>
      </c>
      <c r="I11" s="8">
        <v>0.32693480089559029</v>
      </c>
      <c r="J11" s="8">
        <v>302898.49563999998</v>
      </c>
      <c r="K11" s="8">
        <v>0</v>
      </c>
      <c r="L11" s="8">
        <v>0</v>
      </c>
      <c r="M11" s="8">
        <v>8653084.4208700005</v>
      </c>
      <c r="N11" s="8">
        <v>6.3844465596844868</v>
      </c>
    </row>
    <row r="12" spans="1:14" x14ac:dyDescent="0.2">
      <c r="A12" s="15"/>
      <c r="B12" s="9" t="s">
        <v>44</v>
      </c>
      <c r="C12" s="8">
        <v>48629.190949999997</v>
      </c>
      <c r="D12" s="8">
        <v>48629.190949999997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52178335.791649997</v>
      </c>
      <c r="K12" s="8">
        <v>0</v>
      </c>
      <c r="L12" s="8">
        <v>0</v>
      </c>
      <c r="M12" s="8">
        <v>0</v>
      </c>
    </row>
    <row r="13" spans="1:14" x14ac:dyDescent="0.2">
      <c r="A13" s="15"/>
      <c r="B13" s="9" t="s">
        <v>43</v>
      </c>
      <c r="C13" s="8">
        <v>254.358</v>
      </c>
      <c r="D13" s="8">
        <v>254.358</v>
      </c>
      <c r="E13" s="8">
        <v>237532.43236000001</v>
      </c>
      <c r="F13" s="8">
        <v>0</v>
      </c>
      <c r="G13" s="8">
        <v>237532.43236000001</v>
      </c>
      <c r="H13" s="8">
        <v>0</v>
      </c>
      <c r="I13" s="8">
        <v>0.4273917077504934</v>
      </c>
      <c r="J13" s="8">
        <v>36237.118450000002</v>
      </c>
      <c r="K13" s="8">
        <v>0</v>
      </c>
      <c r="L13" s="8">
        <v>0</v>
      </c>
      <c r="M13" s="8">
        <v>1937849.26351</v>
      </c>
      <c r="N13" s="8">
        <v>8.1582508589326697</v>
      </c>
    </row>
    <row r="14" spans="1:14" x14ac:dyDescent="0.2">
      <c r="A14" s="15"/>
      <c r="B14" s="9" t="s">
        <v>42</v>
      </c>
      <c r="C14" s="8">
        <v>4570</v>
      </c>
      <c r="D14" s="8">
        <v>4570</v>
      </c>
      <c r="E14" s="8">
        <v>4105063.8288400001</v>
      </c>
      <c r="F14" s="8">
        <v>0</v>
      </c>
      <c r="G14" s="8">
        <v>4105063.8288400001</v>
      </c>
      <c r="H14" s="8">
        <v>0</v>
      </c>
      <c r="I14" s="8">
        <v>0.41110454048140038</v>
      </c>
      <c r="J14" s="8">
        <v>5880386.1711600004</v>
      </c>
      <c r="K14" s="8">
        <v>0</v>
      </c>
      <c r="L14" s="8">
        <v>41050638.288439997</v>
      </c>
      <c r="M14" s="8">
        <v>68829995.347069994</v>
      </c>
      <c r="N14" s="8">
        <v>16.767095018477072</v>
      </c>
    </row>
    <row r="15" spans="1:14" x14ac:dyDescent="0.2">
      <c r="A15" s="15"/>
      <c r="B15" s="9" t="s">
        <v>41</v>
      </c>
      <c r="C15" s="8">
        <v>53544.201999999997</v>
      </c>
      <c r="D15" s="8">
        <v>53544.201999999997</v>
      </c>
      <c r="E15" s="8">
        <v>25550236.226360001</v>
      </c>
      <c r="F15" s="8">
        <v>0</v>
      </c>
      <c r="G15" s="8">
        <v>25550236.226360001</v>
      </c>
      <c r="H15" s="8">
        <v>0</v>
      </c>
      <c r="I15" s="8">
        <v>0.21838913501783069</v>
      </c>
      <c r="J15" s="8">
        <v>6564609.8832099997</v>
      </c>
      <c r="K15" s="8">
        <v>0</v>
      </c>
      <c r="L15" s="8">
        <v>0</v>
      </c>
      <c r="M15" s="8">
        <v>101617651.52309</v>
      </c>
      <c r="N15" s="8">
        <v>3.9771707238950782</v>
      </c>
    </row>
    <row r="16" spans="1:14" x14ac:dyDescent="0.2">
      <c r="A16" s="15"/>
      <c r="B16" s="9" t="s">
        <v>40</v>
      </c>
      <c r="C16" s="8">
        <v>78.5</v>
      </c>
      <c r="D16" s="8">
        <v>78.5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171522.5</v>
      </c>
      <c r="K16" s="8">
        <v>0</v>
      </c>
      <c r="L16" s="8">
        <v>0</v>
      </c>
      <c r="M16" s="8">
        <v>0</v>
      </c>
    </row>
    <row r="17" spans="1:14" x14ac:dyDescent="0.2">
      <c r="A17" s="15"/>
      <c r="B17" s="9" t="s">
        <v>39</v>
      </c>
      <c r="C17" s="8">
        <v>27270.741000000002</v>
      </c>
      <c r="D17" s="8">
        <v>27270.741000000002</v>
      </c>
      <c r="E17" s="8">
        <v>10972140.64906</v>
      </c>
      <c r="F17" s="8">
        <v>0</v>
      </c>
      <c r="G17" s="8">
        <v>10972140.64906</v>
      </c>
      <c r="H17" s="8">
        <v>0</v>
      </c>
      <c r="I17" s="8">
        <v>0.1841378153237567</v>
      </c>
      <c r="J17" s="8">
        <v>3362993.7073599999</v>
      </c>
      <c r="K17" s="8">
        <v>0</v>
      </c>
      <c r="L17" s="8">
        <v>0</v>
      </c>
      <c r="M17" s="8">
        <v>41099208.118869998</v>
      </c>
      <c r="N17" s="8">
        <v>3.7457784591700589</v>
      </c>
    </row>
    <row r="18" spans="1:14" x14ac:dyDescent="0.2">
      <c r="A18" s="15"/>
      <c r="B18" s="9" t="s">
        <v>38</v>
      </c>
      <c r="C18" s="8">
        <v>3662.89</v>
      </c>
      <c r="D18" s="8">
        <v>3662.89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8003414.6500000004</v>
      </c>
      <c r="K18" s="8">
        <v>0</v>
      </c>
      <c r="L18" s="8">
        <v>0</v>
      </c>
      <c r="M18" s="8">
        <v>0</v>
      </c>
    </row>
    <row r="19" spans="1:14" x14ac:dyDescent="0.2">
      <c r="A19" s="15"/>
      <c r="B19" s="9" t="s">
        <v>37</v>
      </c>
      <c r="C19" s="8">
        <v>55.819389999999999</v>
      </c>
      <c r="D19" s="8">
        <v>55.819389999999999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121965.37684</v>
      </c>
      <c r="K19" s="8">
        <v>0</v>
      </c>
      <c r="L19" s="8">
        <v>0</v>
      </c>
      <c r="M19" s="8">
        <v>0</v>
      </c>
    </row>
    <row r="20" spans="1:14" x14ac:dyDescent="0.2">
      <c r="A20" s="15"/>
      <c r="B20" s="9" t="s">
        <v>36</v>
      </c>
      <c r="C20" s="8">
        <v>40470.421999999999</v>
      </c>
      <c r="D20" s="8">
        <v>40470.421999999999</v>
      </c>
      <c r="E20" s="8">
        <v>13057256.221899999</v>
      </c>
      <c r="F20" s="8">
        <v>0</v>
      </c>
      <c r="G20" s="8">
        <v>13057256.221899999</v>
      </c>
      <c r="H20" s="8">
        <v>0</v>
      </c>
      <c r="I20" s="8">
        <v>0.14765996188525041</v>
      </c>
      <c r="J20" s="8">
        <v>1508285.2373200001</v>
      </c>
      <c r="K20" s="8">
        <v>0</v>
      </c>
      <c r="L20" s="8">
        <v>0</v>
      </c>
      <c r="M20" s="8">
        <v>90581596.101410002</v>
      </c>
      <c r="N20" s="8">
        <v>6.9372611357790666</v>
      </c>
    </row>
    <row r="21" spans="1:14" x14ac:dyDescent="0.2">
      <c r="A21" s="15"/>
      <c r="B21" s="9" t="s">
        <v>35</v>
      </c>
      <c r="C21" s="8">
        <v>4643.1779999999999</v>
      </c>
      <c r="D21" s="8">
        <v>4643.1779999999999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10145343.93</v>
      </c>
      <c r="K21" s="8">
        <v>0</v>
      </c>
      <c r="L21" s="8">
        <v>0</v>
      </c>
      <c r="M21" s="8">
        <v>0</v>
      </c>
    </row>
    <row r="22" spans="1:14" x14ac:dyDescent="0.2">
      <c r="A22" s="9" t="s">
        <v>34</v>
      </c>
      <c r="B22" s="9" t="s">
        <v>33</v>
      </c>
      <c r="C22" s="8">
        <v>230800</v>
      </c>
      <c r="D22" s="8">
        <v>230800</v>
      </c>
      <c r="E22" s="8">
        <v>32710577.219799999</v>
      </c>
      <c r="F22" s="8">
        <v>23296425.024069998</v>
      </c>
      <c r="G22" s="8">
        <v>9414152.1957300007</v>
      </c>
      <c r="H22" s="8">
        <v>-9414152.1957300007</v>
      </c>
      <c r="I22" s="8">
        <v>0.11105933843154241</v>
      </c>
      <c r="J22" s="8">
        <v>0</v>
      </c>
      <c r="K22" s="8">
        <v>0</v>
      </c>
      <c r="L22" s="8">
        <v>0</v>
      </c>
      <c r="M22" s="8">
        <v>98969393.128490001</v>
      </c>
      <c r="N22" s="8">
        <v>1.7670896341617239</v>
      </c>
    </row>
    <row r="23" spans="1:14" x14ac:dyDescent="0.2">
      <c r="A23" s="15" t="s">
        <v>32</v>
      </c>
      <c r="B23" s="9" t="s">
        <v>31</v>
      </c>
      <c r="C23" s="8">
        <v>12450</v>
      </c>
      <c r="D23" s="8">
        <v>12450</v>
      </c>
      <c r="E23" s="8">
        <v>9596868.5715599991</v>
      </c>
      <c r="F23" s="8">
        <v>5884986.2737699999</v>
      </c>
      <c r="G23" s="8">
        <v>3711882.2977900002</v>
      </c>
      <c r="H23" s="8">
        <v>-3711882.2977900002</v>
      </c>
      <c r="I23" s="8">
        <v>0.56911783855421694</v>
      </c>
      <c r="J23" s="8">
        <v>30915132.297789998</v>
      </c>
      <c r="K23" s="8">
        <v>0</v>
      </c>
      <c r="L23" s="8">
        <v>0</v>
      </c>
      <c r="M23" s="8">
        <v>71862732.242799997</v>
      </c>
      <c r="N23" s="8">
        <v>4.6417391832160551</v>
      </c>
    </row>
    <row r="24" spans="1:14" x14ac:dyDescent="0.2">
      <c r="A24" s="15"/>
      <c r="B24" s="9" t="s">
        <v>30</v>
      </c>
      <c r="C24" s="8">
        <v>3653.0947500000002</v>
      </c>
      <c r="D24" s="8">
        <v>3653.0947500000002</v>
      </c>
      <c r="E24" s="8">
        <v>0</v>
      </c>
      <c r="F24" s="8">
        <v>102550.62413</v>
      </c>
      <c r="G24" s="8">
        <v>-102550.62413</v>
      </c>
      <c r="H24" s="8">
        <v>0</v>
      </c>
      <c r="I24" s="8">
        <v>1.284771494087308E-2</v>
      </c>
      <c r="J24" s="8">
        <v>7879461.4145</v>
      </c>
      <c r="K24" s="8">
        <v>0</v>
      </c>
      <c r="L24" s="8">
        <v>0</v>
      </c>
      <c r="M24" s="8">
        <v>0</v>
      </c>
    </row>
    <row r="25" spans="1:14" x14ac:dyDescent="0.2">
      <c r="A25" s="15"/>
      <c r="B25" s="9" t="s">
        <v>29</v>
      </c>
      <c r="C25" s="8">
        <v>278.38099999999997</v>
      </c>
      <c r="D25" s="8">
        <v>278.38099999999997</v>
      </c>
      <c r="E25" s="8">
        <v>0</v>
      </c>
      <c r="F25" s="8">
        <v>69637.472219999996</v>
      </c>
      <c r="G25" s="8">
        <v>-69637.472219999996</v>
      </c>
      <c r="H25" s="8">
        <v>0</v>
      </c>
      <c r="I25" s="8">
        <v>0.1144859024143171</v>
      </c>
      <c r="J25" s="8">
        <v>538625.01277999999</v>
      </c>
      <c r="K25" s="8">
        <v>0</v>
      </c>
      <c r="L25" s="8">
        <v>348187.36108</v>
      </c>
      <c r="M25" s="8">
        <v>0</v>
      </c>
    </row>
    <row r="26" spans="1:14" x14ac:dyDescent="0.2">
      <c r="A26" s="15"/>
      <c r="B26" s="9" t="s">
        <v>69</v>
      </c>
      <c r="C26" s="8">
        <v>156000000</v>
      </c>
      <c r="D26" s="8">
        <v>156000000</v>
      </c>
      <c r="E26" s="8">
        <v>0</v>
      </c>
      <c r="F26" s="8">
        <v>668.60598000000005</v>
      </c>
      <c r="G26" s="8">
        <v>-668.60598000000005</v>
      </c>
      <c r="H26" s="8">
        <v>668.60598000000005</v>
      </c>
      <c r="I26" s="8">
        <v>1.9615384615384621E-9</v>
      </c>
      <c r="J26" s="8">
        <v>340859999331.39398</v>
      </c>
      <c r="K26" s="8">
        <v>0</v>
      </c>
      <c r="L26" s="8">
        <v>6.6899999999999998E-3</v>
      </c>
      <c r="M26" s="8">
        <v>-6077.8417600000002</v>
      </c>
      <c r="N26" s="8">
        <v>-9.0902614379084969</v>
      </c>
    </row>
    <row r="27" spans="1:14" x14ac:dyDescent="0.2">
      <c r="A27" s="15" t="s">
        <v>28</v>
      </c>
      <c r="B27" s="9" t="s">
        <v>27</v>
      </c>
      <c r="C27" s="8">
        <v>0</v>
      </c>
      <c r="D27" s="8">
        <v>0</v>
      </c>
      <c r="E27" s="8">
        <v>0</v>
      </c>
      <c r="F27" s="8">
        <v>1877542.78308</v>
      </c>
      <c r="G27" s="8">
        <v>-1877542.78308</v>
      </c>
      <c r="H27" s="8">
        <v>0</v>
      </c>
      <c r="J27" s="8">
        <v>0</v>
      </c>
      <c r="K27" s="8">
        <v>0</v>
      </c>
      <c r="L27" s="8">
        <v>0</v>
      </c>
      <c r="M27" s="8">
        <v>-15237428.54273</v>
      </c>
      <c r="N27" s="8">
        <v>-8.1156225965911215</v>
      </c>
    </row>
    <row r="28" spans="1:14" x14ac:dyDescent="0.2">
      <c r="A28" s="15"/>
      <c r="B28" s="9" t="s">
        <v>26</v>
      </c>
      <c r="C28" s="8">
        <v>0</v>
      </c>
      <c r="D28" s="8">
        <v>0</v>
      </c>
      <c r="E28" s="8">
        <v>0</v>
      </c>
      <c r="F28" s="8">
        <v>52178335.791649997</v>
      </c>
      <c r="G28" s="8">
        <v>-52178335.791649997</v>
      </c>
      <c r="H28" s="8">
        <v>0</v>
      </c>
      <c r="J28" s="8">
        <v>0</v>
      </c>
      <c r="K28" s="8">
        <v>0</v>
      </c>
      <c r="L28" s="8">
        <v>0</v>
      </c>
      <c r="M28" s="8">
        <v>-411597668.06219</v>
      </c>
      <c r="N28" s="8">
        <v>-7.8882866207385982</v>
      </c>
    </row>
    <row r="29" spans="1:14" x14ac:dyDescent="0.2">
      <c r="A29" s="15" t="s">
        <v>25</v>
      </c>
      <c r="B29" s="9" t="s">
        <v>24</v>
      </c>
      <c r="C29" s="8">
        <v>26471.973000000002</v>
      </c>
      <c r="D29" s="8">
        <v>26471.973000000002</v>
      </c>
      <c r="E29" s="8">
        <v>3506518.0345700001</v>
      </c>
      <c r="F29" s="8">
        <v>6737429.4913400002</v>
      </c>
      <c r="G29" s="8">
        <v>-3230911.4567800001</v>
      </c>
      <c r="H29" s="8">
        <v>0</v>
      </c>
      <c r="I29" s="8">
        <v>0.17710449840667339</v>
      </c>
      <c r="J29" s="8">
        <v>61072172.461779997</v>
      </c>
      <c r="K29" s="8">
        <v>0</v>
      </c>
      <c r="L29" s="8">
        <v>0</v>
      </c>
      <c r="M29" s="8">
        <v>16733885.97917</v>
      </c>
      <c r="N29" s="8">
        <v>1.633538823355261</v>
      </c>
    </row>
    <row r="30" spans="1:14" x14ac:dyDescent="0.2">
      <c r="A30" s="15"/>
      <c r="B30" s="9" t="s">
        <v>23</v>
      </c>
      <c r="C30" s="8">
        <v>857.70799999999997</v>
      </c>
      <c r="D30" s="8">
        <v>857.70799999999997</v>
      </c>
      <c r="E30" s="8">
        <v>188390.36248000001</v>
      </c>
      <c r="F30" s="8">
        <v>307210.66830000002</v>
      </c>
      <c r="G30" s="8">
        <v>-118820.30581999999</v>
      </c>
      <c r="H30" s="8">
        <v>0</v>
      </c>
      <c r="I30" s="8">
        <v>0.26444861188189922</v>
      </c>
      <c r="J30" s="8">
        <v>1992912.2858200001</v>
      </c>
      <c r="K30" s="8">
        <v>0</v>
      </c>
      <c r="L30" s="8">
        <v>0</v>
      </c>
      <c r="M30" s="8">
        <v>550606.9754</v>
      </c>
      <c r="N30" s="8">
        <v>1.1109883802415921</v>
      </c>
    </row>
    <row r="31" spans="1:14" x14ac:dyDescent="0.2">
      <c r="A31" s="15"/>
      <c r="B31" s="9" t="s">
        <v>22</v>
      </c>
      <c r="C31" s="8">
        <v>457.99400000000003</v>
      </c>
      <c r="D31" s="8">
        <v>457.99400000000003</v>
      </c>
      <c r="E31" s="8">
        <v>33362.349459999998</v>
      </c>
      <c r="F31" s="8">
        <v>244032.75997000001</v>
      </c>
      <c r="G31" s="8">
        <v>-210670.41050999999</v>
      </c>
      <c r="H31" s="8">
        <v>0</v>
      </c>
      <c r="I31" s="8">
        <v>0.27719638248535999</v>
      </c>
      <c r="J31" s="8">
        <v>1211387.30051</v>
      </c>
      <c r="K31" s="8">
        <v>0</v>
      </c>
      <c r="L31" s="8">
        <v>0</v>
      </c>
      <c r="M31" s="8">
        <v>557677.18422000005</v>
      </c>
      <c r="N31" s="8">
        <v>2.0104074474684901</v>
      </c>
    </row>
    <row r="32" spans="1:14" x14ac:dyDescent="0.2">
      <c r="A32" s="15"/>
      <c r="B32" s="9" t="s">
        <v>21</v>
      </c>
      <c r="C32" s="8">
        <v>5300</v>
      </c>
      <c r="D32" s="8">
        <v>5300</v>
      </c>
      <c r="E32" s="8">
        <v>1024552.22872</v>
      </c>
      <c r="F32" s="8">
        <v>2335101.0505499998</v>
      </c>
      <c r="G32" s="8">
        <v>-1310548.82183</v>
      </c>
      <c r="H32" s="8">
        <v>0</v>
      </c>
      <c r="I32" s="8">
        <v>0.29011297169811318</v>
      </c>
      <c r="J32" s="8">
        <v>12891048.821830001</v>
      </c>
      <c r="K32" s="8">
        <v>0</v>
      </c>
      <c r="L32" s="8">
        <v>0</v>
      </c>
      <c r="M32" s="8">
        <v>9938024.0906600002</v>
      </c>
      <c r="N32" s="8">
        <v>2.9580505187065218</v>
      </c>
    </row>
    <row r="33" spans="1:13" x14ac:dyDescent="0.2">
      <c r="A33" s="9" t="s">
        <v>20</v>
      </c>
      <c r="B33" s="9" t="s">
        <v>19</v>
      </c>
      <c r="C33" s="8">
        <v>46768.008000000002</v>
      </c>
      <c r="D33" s="8">
        <v>46768.008000000002</v>
      </c>
      <c r="E33" s="8">
        <v>68750.475640000004</v>
      </c>
      <c r="F33" s="8">
        <v>70898.440319999994</v>
      </c>
      <c r="G33" s="8">
        <v>-2147.96468</v>
      </c>
      <c r="H33" s="8">
        <v>0</v>
      </c>
      <c r="I33" s="8">
        <v>0.21019714908533199</v>
      </c>
      <c r="J33" s="8">
        <v>0</v>
      </c>
      <c r="K33" s="8">
        <v>0</v>
      </c>
      <c r="L33" s="8">
        <v>0</v>
      </c>
      <c r="M33" s="8">
        <v>0</v>
      </c>
    </row>
  </sheetData>
  <mergeCells count="4">
    <mergeCell ref="A27:A28"/>
    <mergeCell ref="A2:A21"/>
    <mergeCell ref="A29:A32"/>
    <mergeCell ref="A23:A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D9B6F-3F92-E847-A60F-8549581137E8}">
  <dimension ref="A1:N35"/>
  <sheetViews>
    <sheetView workbookViewId="0"/>
  </sheetViews>
  <sheetFormatPr baseColWidth="10" defaultColWidth="8.83203125" defaultRowHeight="15" x14ac:dyDescent="0.2"/>
  <cols>
    <col min="1" max="16384" width="8.83203125" style="8"/>
  </cols>
  <sheetData>
    <row r="1" spans="1:14" x14ac:dyDescent="0.2">
      <c r="C1" s="9" t="s">
        <v>67</v>
      </c>
      <c r="D1" s="9" t="s">
        <v>66</v>
      </c>
      <c r="E1" s="9" t="s">
        <v>65</v>
      </c>
      <c r="F1" s="9" t="s">
        <v>64</v>
      </c>
      <c r="G1" s="9" t="s">
        <v>63</v>
      </c>
      <c r="H1" s="9" t="s">
        <v>62</v>
      </c>
      <c r="I1" s="9" t="s">
        <v>61</v>
      </c>
      <c r="J1" s="9" t="s">
        <v>60</v>
      </c>
      <c r="K1" s="9" t="s">
        <v>59</v>
      </c>
      <c r="L1" s="9" t="s">
        <v>58</v>
      </c>
      <c r="M1" s="9" t="s">
        <v>57</v>
      </c>
      <c r="N1" s="9" t="s">
        <v>56</v>
      </c>
    </row>
    <row r="2" spans="1:14" x14ac:dyDescent="0.2">
      <c r="A2" s="15" t="s">
        <v>55</v>
      </c>
      <c r="B2" s="9" t="s">
        <v>54</v>
      </c>
      <c r="C2" s="8">
        <v>372.43929000000003</v>
      </c>
      <c r="D2" s="8">
        <v>372.43929000000003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813779.84346</v>
      </c>
      <c r="K2" s="8">
        <v>0</v>
      </c>
      <c r="L2" s="8">
        <v>0</v>
      </c>
      <c r="M2" s="8">
        <v>0</v>
      </c>
    </row>
    <row r="3" spans="1:14" x14ac:dyDescent="0.2">
      <c r="A3" s="15"/>
      <c r="B3" s="9" t="s">
        <v>53</v>
      </c>
      <c r="C3" s="8">
        <v>1642.8915400000001</v>
      </c>
      <c r="D3" s="8">
        <v>1642.8915400000001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3589718.0135300001</v>
      </c>
      <c r="K3" s="8">
        <v>0</v>
      </c>
      <c r="L3" s="8">
        <v>0</v>
      </c>
      <c r="M3" s="8">
        <v>0</v>
      </c>
    </row>
    <row r="4" spans="1:14" x14ac:dyDescent="0.2">
      <c r="A4" s="15"/>
      <c r="B4" s="9" t="s">
        <v>52</v>
      </c>
      <c r="C4" s="8">
        <v>9185.8067100000007</v>
      </c>
      <c r="D4" s="8">
        <v>9185.8067100000007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20070987.666540001</v>
      </c>
      <c r="K4" s="8">
        <v>0</v>
      </c>
      <c r="L4" s="8">
        <v>0</v>
      </c>
      <c r="M4" s="8">
        <v>0</v>
      </c>
    </row>
    <row r="5" spans="1:14" x14ac:dyDescent="0.2">
      <c r="A5" s="15"/>
      <c r="B5" s="9" t="s">
        <v>51</v>
      </c>
      <c r="C5" s="8">
        <v>23586</v>
      </c>
      <c r="D5" s="8">
        <v>23586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51535410</v>
      </c>
      <c r="K5" s="8">
        <v>0</v>
      </c>
      <c r="L5" s="8">
        <v>0</v>
      </c>
      <c r="M5" s="8">
        <v>0</v>
      </c>
    </row>
    <row r="6" spans="1:14" x14ac:dyDescent="0.2">
      <c r="A6" s="15"/>
      <c r="B6" s="9" t="s">
        <v>50</v>
      </c>
      <c r="C6" s="8">
        <v>3534.0360000000001</v>
      </c>
      <c r="D6" s="8">
        <v>3534.0360000000001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7721868.6600000001</v>
      </c>
      <c r="K6" s="8">
        <v>0</v>
      </c>
      <c r="L6" s="8">
        <v>0</v>
      </c>
      <c r="M6" s="8">
        <v>0</v>
      </c>
    </row>
    <row r="7" spans="1:14" x14ac:dyDescent="0.2">
      <c r="A7" s="15"/>
      <c r="B7" s="9" t="s">
        <v>49</v>
      </c>
      <c r="C7" s="8">
        <v>13695</v>
      </c>
      <c r="D7" s="8">
        <v>13695</v>
      </c>
      <c r="E7" s="8">
        <v>3567776.38888</v>
      </c>
      <c r="F7" s="8">
        <v>0</v>
      </c>
      <c r="G7" s="8">
        <v>3567776.38888</v>
      </c>
      <c r="H7" s="8">
        <v>0</v>
      </c>
      <c r="I7" s="8">
        <v>0.1192296173786053</v>
      </c>
      <c r="J7" s="8">
        <v>26355798.61112</v>
      </c>
      <c r="K7" s="8">
        <v>0</v>
      </c>
      <c r="L7" s="8">
        <v>40461381.044119999</v>
      </c>
      <c r="M7" s="8">
        <v>40461381.044119999</v>
      </c>
      <c r="N7" s="8">
        <v>11.34078387659963</v>
      </c>
    </row>
    <row r="8" spans="1:14" x14ac:dyDescent="0.2">
      <c r="A8" s="15"/>
      <c r="B8" s="9" t="s">
        <v>48</v>
      </c>
      <c r="C8" s="8">
        <v>4067.2939999999999</v>
      </c>
      <c r="D8" s="8">
        <v>4067.2939999999999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8887037.3900000006</v>
      </c>
      <c r="K8" s="8">
        <v>0</v>
      </c>
      <c r="L8" s="8">
        <v>0</v>
      </c>
      <c r="M8" s="8">
        <v>0</v>
      </c>
    </row>
    <row r="9" spans="1:14" x14ac:dyDescent="0.2">
      <c r="A9" s="15"/>
      <c r="B9" s="9" t="s">
        <v>47</v>
      </c>
      <c r="C9" s="8">
        <v>11</v>
      </c>
      <c r="D9" s="8">
        <v>11</v>
      </c>
      <c r="E9" s="8">
        <v>4453.3720000000003</v>
      </c>
      <c r="F9" s="8">
        <v>0</v>
      </c>
      <c r="G9" s="8">
        <v>4453.3720000000003</v>
      </c>
      <c r="H9" s="8">
        <v>0</v>
      </c>
      <c r="I9" s="8">
        <v>0.18528727272727269</v>
      </c>
      <c r="J9" s="8">
        <v>19581.628000000001</v>
      </c>
      <c r="K9" s="8">
        <v>0</v>
      </c>
      <c r="L9" s="8">
        <v>55489.015119999996</v>
      </c>
      <c r="M9" s="8">
        <v>94600.897819999998</v>
      </c>
      <c r="N9" s="8">
        <v>21.24249813557326</v>
      </c>
    </row>
    <row r="10" spans="1:14" x14ac:dyDescent="0.2">
      <c r="A10" s="15"/>
      <c r="B10" s="9" t="s">
        <v>46</v>
      </c>
      <c r="C10" s="8">
        <v>834.51107000000002</v>
      </c>
      <c r="D10" s="8">
        <v>834.51107000000002</v>
      </c>
      <c r="E10" s="8">
        <v>37.805959999999999</v>
      </c>
      <c r="F10" s="8">
        <v>0</v>
      </c>
      <c r="G10" s="8">
        <v>37.805959999999999</v>
      </c>
      <c r="H10" s="8">
        <v>0</v>
      </c>
      <c r="I10" s="8">
        <v>2.073070163107603E-5</v>
      </c>
      <c r="J10" s="8">
        <v>1823368.8736699999</v>
      </c>
      <c r="K10" s="8">
        <v>0</v>
      </c>
      <c r="L10" s="8">
        <v>2041.52208</v>
      </c>
      <c r="M10" s="8">
        <v>2169.7175499999998</v>
      </c>
      <c r="N10" s="8">
        <v>57.39942196531792</v>
      </c>
    </row>
    <row r="11" spans="1:14" x14ac:dyDescent="0.2">
      <c r="A11" s="15"/>
      <c r="B11" s="9" t="s">
        <v>45</v>
      </c>
      <c r="C11" s="8">
        <v>1897.296</v>
      </c>
      <c r="D11" s="8">
        <v>1897.296</v>
      </c>
      <c r="E11" s="8">
        <v>1361765.7865599999</v>
      </c>
      <c r="F11" s="8">
        <v>0</v>
      </c>
      <c r="G11" s="8">
        <v>1361765.7865599999</v>
      </c>
      <c r="H11" s="8">
        <v>0</v>
      </c>
      <c r="I11" s="8">
        <v>0.32848526007539153</v>
      </c>
      <c r="J11" s="8">
        <v>296470.91743999999</v>
      </c>
      <c r="K11" s="8">
        <v>0</v>
      </c>
      <c r="L11" s="8">
        <v>0</v>
      </c>
      <c r="M11" s="8">
        <v>8602315.9474800006</v>
      </c>
      <c r="N11" s="8">
        <v>6.3170304458951243</v>
      </c>
    </row>
    <row r="12" spans="1:14" x14ac:dyDescent="0.2">
      <c r="A12" s="15"/>
      <c r="B12" s="9" t="s">
        <v>44</v>
      </c>
      <c r="C12" s="8">
        <v>48629.190949999997</v>
      </c>
      <c r="D12" s="8">
        <v>48629.190949999997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52178335.791649997</v>
      </c>
      <c r="K12" s="8">
        <v>0</v>
      </c>
      <c r="L12" s="8">
        <v>0</v>
      </c>
      <c r="M12" s="8">
        <v>0</v>
      </c>
    </row>
    <row r="13" spans="1:14" x14ac:dyDescent="0.2">
      <c r="A13" s="15"/>
      <c r="B13" s="9" t="s">
        <v>43</v>
      </c>
      <c r="C13" s="8">
        <v>254.358</v>
      </c>
      <c r="D13" s="8">
        <v>254.358</v>
      </c>
      <c r="E13" s="8">
        <v>239683.81625</v>
      </c>
      <c r="F13" s="8">
        <v>0</v>
      </c>
      <c r="G13" s="8">
        <v>239683.81625</v>
      </c>
      <c r="H13" s="8">
        <v>0</v>
      </c>
      <c r="I13" s="8">
        <v>0.43126266915135358</v>
      </c>
      <c r="J13" s="8">
        <v>34085.734559999997</v>
      </c>
      <c r="K13" s="8">
        <v>0</v>
      </c>
      <c r="L13" s="8">
        <v>0</v>
      </c>
      <c r="M13" s="8">
        <v>1925872.1291799999</v>
      </c>
      <c r="N13" s="8">
        <v>8.0350528843081523</v>
      </c>
    </row>
    <row r="14" spans="1:14" x14ac:dyDescent="0.2">
      <c r="A14" s="15"/>
      <c r="B14" s="9" t="s">
        <v>42</v>
      </c>
      <c r="C14" s="8">
        <v>4570</v>
      </c>
      <c r="D14" s="8">
        <v>4570</v>
      </c>
      <c r="E14" s="8">
        <v>4077561.2230799999</v>
      </c>
      <c r="F14" s="8">
        <v>0</v>
      </c>
      <c r="G14" s="8">
        <v>4077561.2230799999</v>
      </c>
      <c r="H14" s="8">
        <v>0</v>
      </c>
      <c r="I14" s="8">
        <v>0.40835027133479213</v>
      </c>
      <c r="J14" s="8">
        <v>5907888.7769200001</v>
      </c>
      <c r="K14" s="8">
        <v>0</v>
      </c>
      <c r="L14" s="8">
        <v>40775612.230850004</v>
      </c>
      <c r="M14" s="8">
        <v>68045813.225109994</v>
      </c>
      <c r="N14" s="8">
        <v>16.68787042428081</v>
      </c>
    </row>
    <row r="15" spans="1:14" x14ac:dyDescent="0.2">
      <c r="A15" s="15"/>
      <c r="B15" s="9" t="s">
        <v>41</v>
      </c>
      <c r="C15" s="8">
        <v>53544.201999999997</v>
      </c>
      <c r="D15" s="8">
        <v>53544.201999999997</v>
      </c>
      <c r="E15" s="8">
        <v>25402478.248009998</v>
      </c>
      <c r="F15" s="8">
        <v>0</v>
      </c>
      <c r="G15" s="8">
        <v>25402478.248009998</v>
      </c>
      <c r="H15" s="8">
        <v>0</v>
      </c>
      <c r="I15" s="8">
        <v>0.21712618240159781</v>
      </c>
      <c r="J15" s="8">
        <v>6712367.8615499996</v>
      </c>
      <c r="K15" s="8">
        <v>0</v>
      </c>
      <c r="L15" s="8">
        <v>0</v>
      </c>
      <c r="M15" s="8">
        <v>101189046.02553</v>
      </c>
      <c r="N15" s="8">
        <v>3.9834320501021998</v>
      </c>
    </row>
    <row r="16" spans="1:14" x14ac:dyDescent="0.2">
      <c r="A16" s="15"/>
      <c r="B16" s="9" t="s">
        <v>40</v>
      </c>
      <c r="C16" s="8">
        <v>78.5</v>
      </c>
      <c r="D16" s="8">
        <v>78.5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171522.5</v>
      </c>
      <c r="K16" s="8">
        <v>0</v>
      </c>
      <c r="L16" s="8">
        <v>0</v>
      </c>
      <c r="M16" s="8">
        <v>0</v>
      </c>
    </row>
    <row r="17" spans="1:14" x14ac:dyDescent="0.2">
      <c r="A17" s="15"/>
      <c r="B17" s="9" t="s">
        <v>39</v>
      </c>
      <c r="C17" s="8">
        <v>27270.741000000002</v>
      </c>
      <c r="D17" s="8">
        <v>27270.741000000002</v>
      </c>
      <c r="E17" s="8">
        <v>11048122.36101</v>
      </c>
      <c r="F17" s="8">
        <v>0</v>
      </c>
      <c r="G17" s="8">
        <v>11048122.36101</v>
      </c>
      <c r="H17" s="8">
        <v>0</v>
      </c>
      <c r="I17" s="8">
        <v>0.1854129636594766</v>
      </c>
      <c r="J17" s="8">
        <v>3287011.99541</v>
      </c>
      <c r="K17" s="8">
        <v>0</v>
      </c>
      <c r="L17" s="8">
        <v>0</v>
      </c>
      <c r="M17" s="8">
        <v>40926759.99413</v>
      </c>
      <c r="N17" s="8">
        <v>3.704408644141608</v>
      </c>
    </row>
    <row r="18" spans="1:14" x14ac:dyDescent="0.2">
      <c r="A18" s="15"/>
      <c r="B18" s="9" t="s">
        <v>38</v>
      </c>
      <c r="C18" s="8">
        <v>3662.89</v>
      </c>
      <c r="D18" s="8">
        <v>3662.89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8003414.6500000004</v>
      </c>
      <c r="K18" s="8">
        <v>0</v>
      </c>
      <c r="L18" s="8">
        <v>0</v>
      </c>
      <c r="M18" s="8">
        <v>0</v>
      </c>
    </row>
    <row r="19" spans="1:14" x14ac:dyDescent="0.2">
      <c r="A19" s="15"/>
      <c r="B19" s="9" t="s">
        <v>37</v>
      </c>
      <c r="C19" s="8">
        <v>55.819389999999999</v>
      </c>
      <c r="D19" s="8">
        <v>55.819389999999999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121965.37684</v>
      </c>
      <c r="K19" s="8">
        <v>0</v>
      </c>
      <c r="L19" s="8">
        <v>0</v>
      </c>
      <c r="M19" s="8">
        <v>0</v>
      </c>
    </row>
    <row r="20" spans="1:14" x14ac:dyDescent="0.2">
      <c r="A20" s="15"/>
      <c r="B20" s="9" t="s">
        <v>36</v>
      </c>
      <c r="C20" s="8">
        <v>40470.421999999999</v>
      </c>
      <c r="D20" s="8">
        <v>40470.421999999999</v>
      </c>
      <c r="E20" s="8">
        <v>13256119.4869</v>
      </c>
      <c r="F20" s="8">
        <v>0</v>
      </c>
      <c r="G20" s="8">
        <v>13256119.4869</v>
      </c>
      <c r="H20" s="8">
        <v>0</v>
      </c>
      <c r="I20" s="8">
        <v>0.14990883737263719</v>
      </c>
      <c r="J20" s="8">
        <v>1309421.9723199999</v>
      </c>
      <c r="K20" s="8">
        <v>0</v>
      </c>
      <c r="L20" s="8">
        <v>0</v>
      </c>
      <c r="M20" s="8">
        <v>90039499.219999999</v>
      </c>
      <c r="N20" s="8">
        <v>6.7922968914974531</v>
      </c>
    </row>
    <row r="21" spans="1:14" x14ac:dyDescent="0.2">
      <c r="A21" s="15"/>
      <c r="B21" s="9" t="s">
        <v>35</v>
      </c>
      <c r="C21" s="8">
        <v>4643.1779999999999</v>
      </c>
      <c r="D21" s="8">
        <v>4643.1779999999999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10145343.93</v>
      </c>
      <c r="K21" s="8">
        <v>0</v>
      </c>
      <c r="L21" s="8">
        <v>0</v>
      </c>
      <c r="M21" s="8">
        <v>0</v>
      </c>
    </row>
    <row r="22" spans="1:14" x14ac:dyDescent="0.2">
      <c r="A22" s="9" t="s">
        <v>34</v>
      </c>
      <c r="B22" s="9" t="s">
        <v>33</v>
      </c>
      <c r="C22" s="8">
        <v>230800</v>
      </c>
      <c r="D22" s="8">
        <v>230800</v>
      </c>
      <c r="E22" s="8">
        <v>32086594.03351</v>
      </c>
      <c r="F22" s="8">
        <v>23381746.542169999</v>
      </c>
      <c r="G22" s="8">
        <v>8704847.4913400002</v>
      </c>
      <c r="H22" s="8">
        <v>-8704847.4913400002</v>
      </c>
      <c r="I22" s="8">
        <v>0.1099911968370884</v>
      </c>
      <c r="J22" s="8">
        <v>0</v>
      </c>
      <c r="K22" s="8">
        <v>0</v>
      </c>
      <c r="L22" s="8">
        <v>0</v>
      </c>
      <c r="M22" s="8">
        <v>97870681.913670003</v>
      </c>
      <c r="N22" s="8">
        <v>1.7644422184010591</v>
      </c>
    </row>
    <row r="23" spans="1:14" x14ac:dyDescent="0.2">
      <c r="A23" s="15" t="s">
        <v>32</v>
      </c>
      <c r="B23" s="9" t="s">
        <v>31</v>
      </c>
      <c r="C23" s="8">
        <v>12450</v>
      </c>
      <c r="D23" s="8">
        <v>12450</v>
      </c>
      <c r="E23" s="8">
        <v>9550825.48202</v>
      </c>
      <c r="F23" s="8">
        <v>5891567.6472699996</v>
      </c>
      <c r="G23" s="8">
        <v>3659257.8347499999</v>
      </c>
      <c r="H23" s="8">
        <v>-3659257.8347499999</v>
      </c>
      <c r="I23" s="8">
        <v>0.56766721365461847</v>
      </c>
      <c r="J23" s="8">
        <v>30862507.83475</v>
      </c>
      <c r="K23" s="8">
        <v>0</v>
      </c>
      <c r="L23" s="8">
        <v>0</v>
      </c>
      <c r="M23" s="8">
        <v>70328226.722920001</v>
      </c>
      <c r="N23" s="8">
        <v>4.5542310784917266</v>
      </c>
    </row>
    <row r="24" spans="1:14" x14ac:dyDescent="0.2">
      <c r="A24" s="15"/>
      <c r="B24" s="9" t="s">
        <v>68</v>
      </c>
      <c r="C24" s="8">
        <v>26000000</v>
      </c>
      <c r="D24" s="8">
        <v>26000000</v>
      </c>
      <c r="E24" s="8">
        <v>0</v>
      </c>
      <c r="F24" s="8">
        <v>186967.08867999999</v>
      </c>
      <c r="G24" s="8">
        <v>-186967.08867999999</v>
      </c>
      <c r="H24" s="8">
        <v>0</v>
      </c>
      <c r="I24" s="8">
        <v>3.291094615384615E-6</v>
      </c>
      <c r="J24" s="8">
        <v>56809813032.911324</v>
      </c>
      <c r="K24" s="8">
        <v>0</v>
      </c>
      <c r="L24" s="8">
        <v>1.8696699999999999</v>
      </c>
      <c r="M24" s="8">
        <v>-860318.14505000005</v>
      </c>
      <c r="N24" s="8">
        <v>-4.6014416994299063</v>
      </c>
    </row>
    <row r="25" spans="1:14" x14ac:dyDescent="0.2">
      <c r="A25" s="15"/>
      <c r="B25" s="9" t="s">
        <v>30</v>
      </c>
      <c r="C25" s="8">
        <v>3653.0947500000002</v>
      </c>
      <c r="D25" s="8">
        <v>3653.0947500000002</v>
      </c>
      <c r="E25" s="8">
        <v>0</v>
      </c>
      <c r="F25" s="8">
        <v>102512.54968</v>
      </c>
      <c r="G25" s="8">
        <v>-102512.54968</v>
      </c>
      <c r="H25" s="8">
        <v>0</v>
      </c>
      <c r="I25" s="8">
        <v>1.2842946381283979E-2</v>
      </c>
      <c r="J25" s="8">
        <v>7879499.4889500001</v>
      </c>
      <c r="K25" s="8">
        <v>0</v>
      </c>
      <c r="L25" s="8">
        <v>0</v>
      </c>
      <c r="M25" s="8">
        <v>0</v>
      </c>
    </row>
    <row r="26" spans="1:14" x14ac:dyDescent="0.2">
      <c r="A26" s="15"/>
      <c r="B26" s="9" t="s">
        <v>29</v>
      </c>
      <c r="C26" s="8">
        <v>278.38099999999997</v>
      </c>
      <c r="D26" s="8">
        <v>278.38099999999997</v>
      </c>
      <c r="E26" s="8">
        <v>0</v>
      </c>
      <c r="F26" s="8">
        <v>69469.570569999996</v>
      </c>
      <c r="G26" s="8">
        <v>-69469.570569999996</v>
      </c>
      <c r="H26" s="8">
        <v>0</v>
      </c>
      <c r="I26" s="8">
        <v>0.11420984190731411</v>
      </c>
      <c r="J26" s="8">
        <v>538792.91443</v>
      </c>
      <c r="K26" s="8">
        <v>0</v>
      </c>
      <c r="L26" s="8">
        <v>347347.85287</v>
      </c>
      <c r="M26" s="8">
        <v>0</v>
      </c>
    </row>
    <row r="27" spans="1:14" x14ac:dyDescent="0.2">
      <c r="A27" s="15"/>
      <c r="B27" s="9" t="s">
        <v>69</v>
      </c>
      <c r="C27" s="8">
        <v>156000000</v>
      </c>
      <c r="D27" s="8">
        <v>156000000</v>
      </c>
      <c r="E27" s="8">
        <v>0</v>
      </c>
      <c r="F27" s="8">
        <v>45.548369999999998</v>
      </c>
      <c r="G27" s="8">
        <v>-45.548369999999998</v>
      </c>
      <c r="H27" s="8">
        <v>45.548369999999998</v>
      </c>
      <c r="I27" s="8">
        <v>1.3365384615384619E-10</v>
      </c>
      <c r="J27" s="8">
        <v>340859999954.45172</v>
      </c>
      <c r="K27" s="8">
        <v>0</v>
      </c>
      <c r="L27" s="8">
        <v>4.6000000000000001E-4</v>
      </c>
      <c r="M27" s="8">
        <v>-352.46361000000002</v>
      </c>
      <c r="N27" s="8">
        <v>-7.736690647482015</v>
      </c>
    </row>
    <row r="28" spans="1:14" x14ac:dyDescent="0.2">
      <c r="A28" s="15" t="s">
        <v>28</v>
      </c>
      <c r="B28" s="9" t="s">
        <v>27</v>
      </c>
      <c r="C28" s="8">
        <v>0</v>
      </c>
      <c r="D28" s="8">
        <v>0</v>
      </c>
      <c r="E28" s="8">
        <v>0</v>
      </c>
      <c r="F28" s="8">
        <v>1877542.78308</v>
      </c>
      <c r="G28" s="8">
        <v>-1877542.78308</v>
      </c>
      <c r="H28" s="8">
        <v>0</v>
      </c>
      <c r="J28" s="8">
        <v>0</v>
      </c>
      <c r="K28" s="8">
        <v>0</v>
      </c>
      <c r="L28" s="8">
        <v>0</v>
      </c>
      <c r="M28" s="8">
        <v>-15145488.4793</v>
      </c>
      <c r="N28" s="8">
        <v>-8.0666542951739846</v>
      </c>
    </row>
    <row r="29" spans="1:14" x14ac:dyDescent="0.2">
      <c r="A29" s="15"/>
      <c r="B29" s="9" t="s">
        <v>26</v>
      </c>
      <c r="C29" s="8">
        <v>0</v>
      </c>
      <c r="D29" s="8">
        <v>0</v>
      </c>
      <c r="E29" s="8">
        <v>0</v>
      </c>
      <c r="F29" s="8">
        <v>52178335.791649997</v>
      </c>
      <c r="G29" s="8">
        <v>-52178335.791649997</v>
      </c>
      <c r="H29" s="8">
        <v>0</v>
      </c>
      <c r="J29" s="8">
        <v>0</v>
      </c>
      <c r="K29" s="8">
        <v>0</v>
      </c>
      <c r="L29" s="8">
        <v>0</v>
      </c>
      <c r="M29" s="8">
        <v>-409116366.17075002</v>
      </c>
      <c r="N29" s="8">
        <v>-7.8407323657460886</v>
      </c>
    </row>
    <row r="30" spans="1:14" x14ac:dyDescent="0.2">
      <c r="A30" s="15" t="s">
        <v>25</v>
      </c>
      <c r="B30" s="9" t="s">
        <v>24</v>
      </c>
      <c r="C30" s="8">
        <v>26471.973000000002</v>
      </c>
      <c r="D30" s="8">
        <v>26471.973000000002</v>
      </c>
      <c r="E30" s="8">
        <v>3444808.0916300002</v>
      </c>
      <c r="F30" s="8">
        <v>6690756.1514799995</v>
      </c>
      <c r="G30" s="8">
        <v>-3245948.0598499998</v>
      </c>
      <c r="H30" s="8">
        <v>0</v>
      </c>
      <c r="I30" s="8">
        <v>0.17523069285390999</v>
      </c>
      <c r="J30" s="8">
        <v>61087209.064850003</v>
      </c>
      <c r="K30" s="8">
        <v>0</v>
      </c>
      <c r="L30" s="8">
        <v>0</v>
      </c>
      <c r="M30" s="8">
        <v>16551694.118380001</v>
      </c>
      <c r="N30" s="8">
        <v>1.6330313463517749</v>
      </c>
    </row>
    <row r="31" spans="1:14" x14ac:dyDescent="0.2">
      <c r="A31" s="15"/>
      <c r="B31" s="9" t="s">
        <v>23</v>
      </c>
      <c r="C31" s="8">
        <v>857.70799999999997</v>
      </c>
      <c r="D31" s="8">
        <v>857.70799999999997</v>
      </c>
      <c r="E31" s="8">
        <v>175681.34022000001</v>
      </c>
      <c r="F31" s="8">
        <v>297064.69939000002</v>
      </c>
      <c r="G31" s="8">
        <v>-121383.35918</v>
      </c>
      <c r="H31" s="8">
        <v>0</v>
      </c>
      <c r="I31" s="8">
        <v>0.25225337760636479</v>
      </c>
      <c r="J31" s="8">
        <v>1995475.3391799999</v>
      </c>
      <c r="K31" s="8">
        <v>0</v>
      </c>
      <c r="L31" s="8">
        <v>0</v>
      </c>
      <c r="M31" s="8">
        <v>544578.75691</v>
      </c>
      <c r="N31" s="8">
        <v>1.151947816169496</v>
      </c>
    </row>
    <row r="32" spans="1:14" x14ac:dyDescent="0.2">
      <c r="A32" s="15"/>
      <c r="B32" s="9" t="s">
        <v>22</v>
      </c>
      <c r="C32" s="8">
        <v>457.99400000000003</v>
      </c>
      <c r="D32" s="8">
        <v>457.99400000000003</v>
      </c>
      <c r="E32" s="8">
        <v>33416.339449999999</v>
      </c>
      <c r="F32" s="8">
        <v>249000.21823999999</v>
      </c>
      <c r="G32" s="8">
        <v>-215583.87878999999</v>
      </c>
      <c r="H32" s="8">
        <v>0</v>
      </c>
      <c r="I32" s="8">
        <v>0.28221424298134912</v>
      </c>
      <c r="J32" s="8">
        <v>1216300.7687899999</v>
      </c>
      <c r="K32" s="8">
        <v>0</v>
      </c>
      <c r="L32" s="8">
        <v>0</v>
      </c>
      <c r="M32" s="8">
        <v>551200.9486</v>
      </c>
      <c r="N32" s="8">
        <v>1.951730269210413</v>
      </c>
    </row>
    <row r="33" spans="1:14" x14ac:dyDescent="0.2">
      <c r="A33" s="15"/>
      <c r="B33" s="9" t="s">
        <v>21</v>
      </c>
      <c r="C33" s="8">
        <v>5300</v>
      </c>
      <c r="D33" s="8">
        <v>5300</v>
      </c>
      <c r="E33" s="8">
        <v>956022.21736000001</v>
      </c>
      <c r="F33" s="8">
        <v>2298930.5149500002</v>
      </c>
      <c r="G33" s="8">
        <v>-1342908.2975900001</v>
      </c>
      <c r="H33" s="8">
        <v>0</v>
      </c>
      <c r="I33" s="8">
        <v>0.28107186415094337</v>
      </c>
      <c r="J33" s="8">
        <v>12923408.297590001</v>
      </c>
      <c r="K33" s="8">
        <v>0</v>
      </c>
      <c r="L33" s="8">
        <v>0</v>
      </c>
      <c r="M33" s="8">
        <v>9834972.4665399995</v>
      </c>
      <c r="N33" s="8">
        <v>3.021540801409762</v>
      </c>
    </row>
    <row r="34" spans="1:14" x14ac:dyDescent="0.2">
      <c r="A34" s="15" t="s">
        <v>20</v>
      </c>
      <c r="B34" s="9" t="s">
        <v>68</v>
      </c>
      <c r="C34" s="8">
        <v>13000000</v>
      </c>
      <c r="D34" s="8">
        <v>13000000</v>
      </c>
      <c r="E34" s="8">
        <v>93483.544339999993</v>
      </c>
      <c r="F34" s="8">
        <v>93483.544339999993</v>
      </c>
      <c r="G34" s="8">
        <v>0</v>
      </c>
      <c r="H34" s="8">
        <v>0</v>
      </c>
      <c r="I34" s="8">
        <v>0.99917301314999996</v>
      </c>
      <c r="J34" s="8">
        <v>0</v>
      </c>
      <c r="K34" s="8">
        <v>0</v>
      </c>
      <c r="L34" s="8">
        <v>0</v>
      </c>
      <c r="M34" s="8">
        <v>0</v>
      </c>
    </row>
    <row r="35" spans="1:14" x14ac:dyDescent="0.2">
      <c r="A35" s="15"/>
      <c r="B35" s="9" t="s">
        <v>19</v>
      </c>
      <c r="C35" s="8">
        <v>46768.008000000002</v>
      </c>
      <c r="D35" s="8">
        <v>46768.008000000002</v>
      </c>
      <c r="E35" s="8">
        <v>68934.56366</v>
      </c>
      <c r="F35" s="8">
        <v>71223.777870000005</v>
      </c>
      <c r="G35" s="8">
        <v>-2289.2141999999999</v>
      </c>
      <c r="H35" s="8">
        <v>0</v>
      </c>
      <c r="I35" s="8">
        <v>0.2240196518526083</v>
      </c>
      <c r="J35" s="8">
        <v>0</v>
      </c>
      <c r="K35" s="8">
        <v>0</v>
      </c>
      <c r="L35" s="8">
        <v>0</v>
      </c>
      <c r="M35" s="8">
        <v>0</v>
      </c>
    </row>
  </sheetData>
  <mergeCells count="5">
    <mergeCell ref="A34:A35"/>
    <mergeCell ref="A28:A29"/>
    <mergeCell ref="A2:A21"/>
    <mergeCell ref="A30:A33"/>
    <mergeCell ref="A23:A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A6B8E-503A-2B44-A92A-D584CB05EE20}">
  <dimension ref="A1:N32"/>
  <sheetViews>
    <sheetView topLeftCell="A22" workbookViewId="0">
      <selection sqref="A1:N32"/>
    </sheetView>
  </sheetViews>
  <sheetFormatPr baseColWidth="10" defaultColWidth="8.83203125" defaultRowHeight="15" x14ac:dyDescent="0.2"/>
  <cols>
    <col min="1" max="16384" width="8.83203125" style="8"/>
  </cols>
  <sheetData>
    <row r="1" spans="1:14" ht="60" x14ac:dyDescent="0.2">
      <c r="A1" s="12"/>
      <c r="B1" s="12"/>
      <c r="C1" s="12" t="s">
        <v>67</v>
      </c>
      <c r="D1" s="12" t="s">
        <v>66</v>
      </c>
      <c r="E1" s="12" t="s">
        <v>65</v>
      </c>
      <c r="F1" s="12" t="s">
        <v>64</v>
      </c>
      <c r="G1" s="12" t="s">
        <v>63</v>
      </c>
      <c r="H1" s="12" t="s">
        <v>62</v>
      </c>
      <c r="I1" s="12" t="s">
        <v>61</v>
      </c>
      <c r="J1" s="12" t="s">
        <v>60</v>
      </c>
      <c r="K1" s="12" t="s">
        <v>59</v>
      </c>
      <c r="L1" s="12" t="s">
        <v>58</v>
      </c>
      <c r="M1" s="12" t="s">
        <v>57</v>
      </c>
      <c r="N1" s="12" t="s">
        <v>56</v>
      </c>
    </row>
    <row r="2" spans="1:14" ht="30" x14ac:dyDescent="0.2">
      <c r="A2" s="16" t="s">
        <v>55</v>
      </c>
      <c r="B2" s="12" t="s">
        <v>54</v>
      </c>
      <c r="C2" s="13">
        <v>372.43929000000003</v>
      </c>
      <c r="D2" s="13">
        <v>372.43929000000003</v>
      </c>
      <c r="E2" s="14">
        <v>0</v>
      </c>
      <c r="F2" s="14">
        <v>0</v>
      </c>
      <c r="G2" s="14">
        <v>0</v>
      </c>
      <c r="H2" s="14">
        <v>0</v>
      </c>
      <c r="I2" s="13">
        <v>0</v>
      </c>
      <c r="J2" s="14">
        <v>813779.8</v>
      </c>
      <c r="K2" s="13">
        <v>0</v>
      </c>
      <c r="L2" s="14">
        <v>0</v>
      </c>
      <c r="M2" s="14">
        <v>0</v>
      </c>
      <c r="N2" s="13" t="s">
        <v>77</v>
      </c>
    </row>
    <row r="3" spans="1:14" x14ac:dyDescent="0.2">
      <c r="A3" s="17"/>
      <c r="B3" s="12" t="s">
        <v>53</v>
      </c>
      <c r="C3" s="13">
        <v>1642.8915400000001</v>
      </c>
      <c r="D3" s="13">
        <v>1642.8915400000001</v>
      </c>
      <c r="E3" s="14">
        <v>0</v>
      </c>
      <c r="F3" s="14">
        <v>0</v>
      </c>
      <c r="G3" s="14">
        <v>0</v>
      </c>
      <c r="H3" s="14">
        <v>0</v>
      </c>
      <c r="I3" s="13">
        <v>0</v>
      </c>
      <c r="J3" s="14">
        <v>3589718</v>
      </c>
      <c r="K3" s="13">
        <v>0</v>
      </c>
      <c r="L3" s="14">
        <v>0</v>
      </c>
      <c r="M3" s="14">
        <v>0</v>
      </c>
      <c r="N3" s="13" t="s">
        <v>77</v>
      </c>
    </row>
    <row r="4" spans="1:14" x14ac:dyDescent="0.2">
      <c r="A4" s="17"/>
      <c r="B4" s="12" t="s">
        <v>52</v>
      </c>
      <c r="C4" s="13">
        <v>9185.8067100000007</v>
      </c>
      <c r="D4" s="13">
        <v>9185.8067100000007</v>
      </c>
      <c r="E4" s="14">
        <v>0</v>
      </c>
      <c r="F4" s="14">
        <v>0</v>
      </c>
      <c r="G4" s="14">
        <v>0</v>
      </c>
      <c r="H4" s="14">
        <v>0</v>
      </c>
      <c r="I4" s="13">
        <v>0</v>
      </c>
      <c r="J4" s="14">
        <v>20070990</v>
      </c>
      <c r="K4" s="13">
        <v>0</v>
      </c>
      <c r="L4" s="14">
        <v>0</v>
      </c>
      <c r="M4" s="14">
        <v>0</v>
      </c>
      <c r="N4" s="13" t="s">
        <v>77</v>
      </c>
    </row>
    <row r="5" spans="1:14" ht="45" x14ac:dyDescent="0.2">
      <c r="A5" s="17"/>
      <c r="B5" s="12" t="s">
        <v>51</v>
      </c>
      <c r="C5" s="13">
        <v>23586</v>
      </c>
      <c r="D5" s="13">
        <v>23586</v>
      </c>
      <c r="E5" s="14">
        <v>0</v>
      </c>
      <c r="F5" s="14">
        <v>0</v>
      </c>
      <c r="G5" s="14">
        <v>0</v>
      </c>
      <c r="H5" s="14">
        <v>0</v>
      </c>
      <c r="I5" s="13">
        <v>0</v>
      </c>
      <c r="J5" s="14">
        <v>51535410</v>
      </c>
      <c r="K5" s="13">
        <v>0</v>
      </c>
      <c r="L5" s="14">
        <v>0</v>
      </c>
      <c r="M5" s="14">
        <v>0</v>
      </c>
      <c r="N5" s="13" t="s">
        <v>77</v>
      </c>
    </row>
    <row r="6" spans="1:14" ht="45" x14ac:dyDescent="0.2">
      <c r="A6" s="17"/>
      <c r="B6" s="12" t="s">
        <v>50</v>
      </c>
      <c r="C6" s="13">
        <v>3534.0360000000001</v>
      </c>
      <c r="D6" s="13">
        <v>3534.0360000000001</v>
      </c>
      <c r="E6" s="14">
        <v>0</v>
      </c>
      <c r="F6" s="14">
        <v>0</v>
      </c>
      <c r="G6" s="14">
        <v>0</v>
      </c>
      <c r="H6" s="14">
        <v>0</v>
      </c>
      <c r="I6" s="13">
        <v>0</v>
      </c>
      <c r="J6" s="14">
        <v>7721869</v>
      </c>
      <c r="K6" s="13">
        <v>0</v>
      </c>
      <c r="L6" s="14">
        <v>0</v>
      </c>
      <c r="M6" s="14">
        <v>0</v>
      </c>
      <c r="N6" s="13" t="s">
        <v>77</v>
      </c>
    </row>
    <row r="7" spans="1:14" ht="30" x14ac:dyDescent="0.2">
      <c r="A7" s="17"/>
      <c r="B7" s="12" t="s">
        <v>49</v>
      </c>
      <c r="C7" s="13">
        <v>13695</v>
      </c>
      <c r="D7" s="13">
        <v>13695</v>
      </c>
      <c r="E7" s="14">
        <v>3594433</v>
      </c>
      <c r="F7" s="14">
        <v>0</v>
      </c>
      <c r="G7" s="14">
        <v>3594433</v>
      </c>
      <c r="H7" s="14">
        <v>0</v>
      </c>
      <c r="I7" s="13">
        <v>0.12012</v>
      </c>
      <c r="J7" s="14">
        <v>26329140</v>
      </c>
      <c r="K7" s="13">
        <v>0</v>
      </c>
      <c r="L7" s="14">
        <v>41974260</v>
      </c>
      <c r="M7" s="14">
        <v>41974260</v>
      </c>
      <c r="N7" s="13">
        <v>11.677573000000001</v>
      </c>
    </row>
    <row r="8" spans="1:14" x14ac:dyDescent="0.2">
      <c r="A8" s="17"/>
      <c r="B8" s="12" t="s">
        <v>48</v>
      </c>
      <c r="C8" s="13">
        <v>4067.2939999999999</v>
      </c>
      <c r="D8" s="13">
        <v>4067.2939999999999</v>
      </c>
      <c r="E8" s="14">
        <v>0</v>
      </c>
      <c r="F8" s="14">
        <v>0</v>
      </c>
      <c r="G8" s="14">
        <v>0</v>
      </c>
      <c r="H8" s="14">
        <v>0</v>
      </c>
      <c r="I8" s="13">
        <v>0</v>
      </c>
      <c r="J8" s="14">
        <v>8887037</v>
      </c>
      <c r="K8" s="13">
        <v>0</v>
      </c>
      <c r="L8" s="14">
        <v>0</v>
      </c>
      <c r="M8" s="14">
        <v>0</v>
      </c>
      <c r="N8" s="13" t="s">
        <v>77</v>
      </c>
    </row>
    <row r="9" spans="1:14" ht="30" x14ac:dyDescent="0.2">
      <c r="A9" s="17"/>
      <c r="B9" s="12" t="s">
        <v>47</v>
      </c>
      <c r="C9" s="13">
        <v>11</v>
      </c>
      <c r="D9" s="13">
        <v>11</v>
      </c>
      <c r="E9" s="14">
        <v>4631.5640000000003</v>
      </c>
      <c r="F9" s="14">
        <v>0</v>
      </c>
      <c r="G9" s="14">
        <v>4631.5640000000003</v>
      </c>
      <c r="H9" s="14">
        <v>0</v>
      </c>
      <c r="I9" s="13">
        <v>0.19270100000000001</v>
      </c>
      <c r="J9" s="14">
        <v>19403.439999999999</v>
      </c>
      <c r="K9" s="13">
        <v>0</v>
      </c>
      <c r="L9" s="14">
        <v>57709.29</v>
      </c>
      <c r="M9" s="14">
        <v>98173.42</v>
      </c>
      <c r="N9" s="13">
        <v>21.196593</v>
      </c>
    </row>
    <row r="10" spans="1:14" ht="30" x14ac:dyDescent="0.2">
      <c r="A10" s="17"/>
      <c r="B10" s="12" t="s">
        <v>46</v>
      </c>
      <c r="C10" s="13">
        <v>834.51107000000002</v>
      </c>
      <c r="D10" s="13">
        <v>834.51107000000002</v>
      </c>
      <c r="E10" s="14">
        <v>601.71280000000002</v>
      </c>
      <c r="F10" s="14">
        <v>0</v>
      </c>
      <c r="G10" s="14">
        <v>601.71280000000002</v>
      </c>
      <c r="H10" s="14">
        <v>0</v>
      </c>
      <c r="I10" s="13">
        <v>3.3E-4</v>
      </c>
      <c r="J10" s="14">
        <v>1822805</v>
      </c>
      <c r="K10" s="13">
        <v>0</v>
      </c>
      <c r="L10" s="14">
        <v>32492.49</v>
      </c>
      <c r="M10" s="14">
        <v>32623.69</v>
      </c>
      <c r="N10" s="13">
        <v>54.218716000000001</v>
      </c>
    </row>
    <row r="11" spans="1:14" ht="30" x14ac:dyDescent="0.2">
      <c r="A11" s="17"/>
      <c r="B11" s="12" t="s">
        <v>45</v>
      </c>
      <c r="C11" s="13">
        <v>1897.296</v>
      </c>
      <c r="D11" s="13">
        <v>1897.296</v>
      </c>
      <c r="E11" s="14">
        <v>1354044</v>
      </c>
      <c r="F11" s="14">
        <v>0</v>
      </c>
      <c r="G11" s="14">
        <v>1354044</v>
      </c>
      <c r="H11" s="14">
        <v>0</v>
      </c>
      <c r="I11" s="13">
        <v>0.326623</v>
      </c>
      <c r="J11" s="14">
        <v>304192.90000000002</v>
      </c>
      <c r="K11" s="13">
        <v>0</v>
      </c>
      <c r="L11" s="14">
        <v>0</v>
      </c>
      <c r="M11" s="14">
        <v>8659987</v>
      </c>
      <c r="N11" s="13">
        <v>6.3956480000000004</v>
      </c>
    </row>
    <row r="12" spans="1:14" ht="30" x14ac:dyDescent="0.2">
      <c r="A12" s="17"/>
      <c r="B12" s="12" t="s">
        <v>44</v>
      </c>
      <c r="C12" s="13">
        <v>48629.190949999997</v>
      </c>
      <c r="D12" s="13">
        <v>48629.190949999997</v>
      </c>
      <c r="E12" s="14">
        <v>0</v>
      </c>
      <c r="F12" s="14">
        <v>0</v>
      </c>
      <c r="G12" s="14">
        <v>0</v>
      </c>
      <c r="H12" s="14">
        <v>0</v>
      </c>
      <c r="I12" s="13">
        <v>0</v>
      </c>
      <c r="J12" s="14">
        <v>52178340</v>
      </c>
      <c r="K12" s="13">
        <v>0</v>
      </c>
      <c r="L12" s="14">
        <v>0</v>
      </c>
      <c r="M12" s="14">
        <v>0</v>
      </c>
      <c r="N12" s="13" t="s">
        <v>77</v>
      </c>
    </row>
    <row r="13" spans="1:14" ht="30" x14ac:dyDescent="0.2">
      <c r="A13" s="17"/>
      <c r="B13" s="12" t="s">
        <v>43</v>
      </c>
      <c r="C13" s="13">
        <v>254.358</v>
      </c>
      <c r="D13" s="13">
        <v>254.358</v>
      </c>
      <c r="E13" s="14">
        <v>235361.8</v>
      </c>
      <c r="F13" s="14">
        <v>0</v>
      </c>
      <c r="G13" s="14">
        <v>235361.8</v>
      </c>
      <c r="H13" s="14">
        <v>0</v>
      </c>
      <c r="I13" s="13">
        <v>0.42348599999999997</v>
      </c>
      <c r="J13" s="14">
        <v>38407.79</v>
      </c>
      <c r="K13" s="13">
        <v>0</v>
      </c>
      <c r="L13" s="14">
        <v>0</v>
      </c>
      <c r="M13" s="14">
        <v>1941076</v>
      </c>
      <c r="N13" s="13">
        <v>8.2472019999999997</v>
      </c>
    </row>
    <row r="14" spans="1:14" x14ac:dyDescent="0.2">
      <c r="A14" s="17"/>
      <c r="B14" s="12" t="s">
        <v>42</v>
      </c>
      <c r="C14" s="13">
        <v>4570</v>
      </c>
      <c r="D14" s="13">
        <v>4570</v>
      </c>
      <c r="E14" s="14">
        <v>4116907</v>
      </c>
      <c r="F14" s="14">
        <v>0</v>
      </c>
      <c r="G14" s="14">
        <v>4116907</v>
      </c>
      <c r="H14" s="14">
        <v>0</v>
      </c>
      <c r="I14" s="13">
        <v>0.41229100000000002</v>
      </c>
      <c r="J14" s="14">
        <v>5868543</v>
      </c>
      <c r="K14" s="13">
        <v>0</v>
      </c>
      <c r="L14" s="14">
        <v>41169070</v>
      </c>
      <c r="M14" s="14">
        <v>69379570</v>
      </c>
      <c r="N14" s="13">
        <v>16.852353999999998</v>
      </c>
    </row>
    <row r="15" spans="1:14" ht="30" x14ac:dyDescent="0.2">
      <c r="A15" s="17"/>
      <c r="B15" s="12" t="s">
        <v>41</v>
      </c>
      <c r="C15" s="13">
        <v>53544.201999999997</v>
      </c>
      <c r="D15" s="13">
        <v>53544.201999999997</v>
      </c>
      <c r="E15" s="14">
        <v>24923800</v>
      </c>
      <c r="F15" s="14">
        <v>0</v>
      </c>
      <c r="G15" s="14">
        <v>24923800</v>
      </c>
      <c r="H15" s="14">
        <v>0</v>
      </c>
      <c r="I15" s="13">
        <v>0.213035</v>
      </c>
      <c r="J15" s="14">
        <v>7191048</v>
      </c>
      <c r="K15" s="13">
        <v>0</v>
      </c>
      <c r="L15" s="14">
        <v>0</v>
      </c>
      <c r="M15" s="14">
        <v>99997000</v>
      </c>
      <c r="N15" s="13">
        <v>4.0121089999999997</v>
      </c>
    </row>
    <row r="16" spans="1:14" x14ac:dyDescent="0.2">
      <c r="A16" s="17"/>
      <c r="B16" s="12" t="s">
        <v>40</v>
      </c>
      <c r="C16" s="13">
        <v>78.5</v>
      </c>
      <c r="D16" s="13">
        <v>78.5</v>
      </c>
      <c r="E16" s="14">
        <v>0</v>
      </c>
      <c r="F16" s="14">
        <v>0</v>
      </c>
      <c r="G16" s="14">
        <v>0</v>
      </c>
      <c r="H16" s="14">
        <v>0</v>
      </c>
      <c r="I16" s="13">
        <v>0</v>
      </c>
      <c r="J16" s="14">
        <v>171522.5</v>
      </c>
      <c r="K16" s="13">
        <v>0</v>
      </c>
      <c r="L16" s="14">
        <v>0</v>
      </c>
      <c r="M16" s="14">
        <v>0</v>
      </c>
      <c r="N16" s="13" t="s">
        <v>77</v>
      </c>
    </row>
    <row r="17" spans="1:14" ht="30" x14ac:dyDescent="0.2">
      <c r="A17" s="17"/>
      <c r="B17" s="12" t="s">
        <v>39</v>
      </c>
      <c r="C17" s="13">
        <v>27270.741000000002</v>
      </c>
      <c r="D17" s="13">
        <v>27270.741000000002</v>
      </c>
      <c r="E17" s="14">
        <v>10919980</v>
      </c>
      <c r="F17" s="14">
        <v>0</v>
      </c>
      <c r="G17" s="14">
        <v>10919980</v>
      </c>
      <c r="H17" s="14">
        <v>0</v>
      </c>
      <c r="I17" s="13">
        <v>0.18326200000000001</v>
      </c>
      <c r="J17" s="14">
        <v>3415151</v>
      </c>
      <c r="K17" s="13">
        <v>0</v>
      </c>
      <c r="L17" s="14">
        <v>0</v>
      </c>
      <c r="M17" s="14">
        <v>41096600</v>
      </c>
      <c r="N17" s="13">
        <v>3.7634310000000002</v>
      </c>
    </row>
    <row r="18" spans="1:14" ht="45" x14ac:dyDescent="0.2">
      <c r="A18" s="17"/>
      <c r="B18" s="12" t="s">
        <v>38</v>
      </c>
      <c r="C18" s="13">
        <v>3662.89</v>
      </c>
      <c r="D18" s="13">
        <v>3662.89</v>
      </c>
      <c r="E18" s="14">
        <v>0</v>
      </c>
      <c r="F18" s="14">
        <v>0</v>
      </c>
      <c r="G18" s="14">
        <v>0</v>
      </c>
      <c r="H18" s="14">
        <v>0</v>
      </c>
      <c r="I18" s="13">
        <v>0</v>
      </c>
      <c r="J18" s="14">
        <v>8003415</v>
      </c>
      <c r="K18" s="13">
        <v>0</v>
      </c>
      <c r="L18" s="14">
        <v>0</v>
      </c>
      <c r="M18" s="14">
        <v>0</v>
      </c>
      <c r="N18" s="13" t="s">
        <v>77</v>
      </c>
    </row>
    <row r="19" spans="1:14" ht="30" x14ac:dyDescent="0.2">
      <c r="A19" s="17"/>
      <c r="B19" s="12" t="s">
        <v>37</v>
      </c>
      <c r="C19" s="13">
        <v>55.819389999999999</v>
      </c>
      <c r="D19" s="13">
        <v>55.819389999999999</v>
      </c>
      <c r="E19" s="14">
        <v>0</v>
      </c>
      <c r="F19" s="14">
        <v>0</v>
      </c>
      <c r="G19" s="14">
        <v>0</v>
      </c>
      <c r="H19" s="14">
        <v>0</v>
      </c>
      <c r="I19" s="13">
        <v>0</v>
      </c>
      <c r="J19" s="14">
        <v>121965.4</v>
      </c>
      <c r="K19" s="13">
        <v>0</v>
      </c>
      <c r="L19" s="14">
        <v>0</v>
      </c>
      <c r="M19" s="14">
        <v>0</v>
      </c>
      <c r="N19" s="13" t="s">
        <v>77</v>
      </c>
    </row>
    <row r="20" spans="1:14" x14ac:dyDescent="0.2">
      <c r="A20" s="17"/>
      <c r="B20" s="12" t="s">
        <v>36</v>
      </c>
      <c r="C20" s="13">
        <v>40470.421999999999</v>
      </c>
      <c r="D20" s="13">
        <v>40470.421999999999</v>
      </c>
      <c r="E20" s="14">
        <v>13386240</v>
      </c>
      <c r="F20" s="14">
        <v>0</v>
      </c>
      <c r="G20" s="14">
        <v>13386240</v>
      </c>
      <c r="H20" s="14">
        <v>0</v>
      </c>
      <c r="I20" s="13">
        <v>0.15137999999999999</v>
      </c>
      <c r="J20" s="14">
        <v>1179305</v>
      </c>
      <c r="K20" s="13">
        <v>0</v>
      </c>
      <c r="L20" s="14">
        <v>0</v>
      </c>
      <c r="M20" s="14">
        <v>91453710</v>
      </c>
      <c r="N20" s="13">
        <v>6.8319210000000004</v>
      </c>
    </row>
    <row r="21" spans="1:14" ht="30" x14ac:dyDescent="0.2">
      <c r="A21" s="18"/>
      <c r="B21" s="12" t="s">
        <v>35</v>
      </c>
      <c r="C21" s="13">
        <v>4643.1779999999999</v>
      </c>
      <c r="D21" s="13">
        <v>4643.1779999999999</v>
      </c>
      <c r="E21" s="14">
        <v>0</v>
      </c>
      <c r="F21" s="14">
        <v>0</v>
      </c>
      <c r="G21" s="14">
        <v>0</v>
      </c>
      <c r="H21" s="14">
        <v>0</v>
      </c>
      <c r="I21" s="13">
        <v>0</v>
      </c>
      <c r="J21" s="14">
        <v>10145340</v>
      </c>
      <c r="K21" s="13">
        <v>0</v>
      </c>
      <c r="L21" s="14">
        <v>0</v>
      </c>
      <c r="M21" s="14">
        <v>0</v>
      </c>
      <c r="N21" s="13" t="s">
        <v>77</v>
      </c>
    </row>
    <row r="22" spans="1:14" x14ac:dyDescent="0.2">
      <c r="A22" s="12" t="s">
        <v>34</v>
      </c>
      <c r="B22" s="12" t="s">
        <v>33</v>
      </c>
      <c r="C22" s="13">
        <v>230800</v>
      </c>
      <c r="D22" s="13">
        <v>230800</v>
      </c>
      <c r="E22" s="14">
        <v>32189100</v>
      </c>
      <c r="F22" s="14">
        <v>22829720</v>
      </c>
      <c r="G22" s="14">
        <v>9359372</v>
      </c>
      <c r="H22" s="14">
        <v>-9359372</v>
      </c>
      <c r="I22" s="13">
        <v>0.1091</v>
      </c>
      <c r="J22" s="14">
        <v>0</v>
      </c>
      <c r="K22" s="13">
        <v>0</v>
      </c>
      <c r="L22" s="14">
        <v>0</v>
      </c>
      <c r="M22" s="14">
        <v>98829040</v>
      </c>
      <c r="N22" s="13">
        <v>1.7962769999999999</v>
      </c>
    </row>
    <row r="23" spans="1:14" x14ac:dyDescent="0.2">
      <c r="A23" s="16" t="s">
        <v>32</v>
      </c>
      <c r="B23" s="12" t="s">
        <v>31</v>
      </c>
      <c r="C23" s="13">
        <v>12450</v>
      </c>
      <c r="D23" s="13">
        <v>12450</v>
      </c>
      <c r="E23" s="14">
        <v>9527160</v>
      </c>
      <c r="F23" s="14">
        <v>5840562</v>
      </c>
      <c r="G23" s="14">
        <v>3686598</v>
      </c>
      <c r="H23" s="14">
        <v>-3686598</v>
      </c>
      <c r="I23" s="13">
        <v>0.56492200000000004</v>
      </c>
      <c r="J23" s="14">
        <v>30889850</v>
      </c>
      <c r="K23" s="13">
        <v>0</v>
      </c>
      <c r="L23" s="14">
        <v>0</v>
      </c>
      <c r="M23" s="14">
        <v>72544950</v>
      </c>
      <c r="N23" s="13">
        <v>4.7206049999999999</v>
      </c>
    </row>
    <row r="24" spans="1:14" ht="30" x14ac:dyDescent="0.2">
      <c r="A24" s="17"/>
      <c r="B24" s="12" t="s">
        <v>30</v>
      </c>
      <c r="C24" s="13">
        <v>3653.0947500000002</v>
      </c>
      <c r="D24" s="13">
        <v>3653.0947500000002</v>
      </c>
      <c r="E24" s="14">
        <v>0</v>
      </c>
      <c r="F24" s="14">
        <v>105916.1</v>
      </c>
      <c r="G24" s="14">
        <v>-105916.1</v>
      </c>
      <c r="H24" s="14">
        <v>0</v>
      </c>
      <c r="I24" s="13">
        <v>1.3269E-2</v>
      </c>
      <c r="J24" s="14">
        <v>7876096</v>
      </c>
      <c r="K24" s="13">
        <v>0</v>
      </c>
      <c r="L24" s="14">
        <v>0</v>
      </c>
      <c r="M24" s="14">
        <v>36.761699999999998</v>
      </c>
      <c r="N24" s="13">
        <v>3.4699999999999998E-4</v>
      </c>
    </row>
    <row r="25" spans="1:14" ht="30" x14ac:dyDescent="0.2">
      <c r="A25" s="18"/>
      <c r="B25" s="12" t="s">
        <v>29</v>
      </c>
      <c r="C25" s="13">
        <v>278.38099999999997</v>
      </c>
      <c r="D25" s="13">
        <v>278.38099999999997</v>
      </c>
      <c r="E25" s="14">
        <v>0</v>
      </c>
      <c r="F25" s="14">
        <v>69704.53</v>
      </c>
      <c r="G25" s="14">
        <v>-69704.53</v>
      </c>
      <c r="H25" s="14">
        <v>0</v>
      </c>
      <c r="I25" s="13">
        <v>0.114596</v>
      </c>
      <c r="J25" s="14">
        <v>538558</v>
      </c>
      <c r="K25" s="13">
        <v>0</v>
      </c>
      <c r="L25" s="14">
        <v>348522.7</v>
      </c>
      <c r="M25" s="14">
        <v>0</v>
      </c>
      <c r="N25" s="13" t="s">
        <v>77</v>
      </c>
    </row>
    <row r="26" spans="1:14" ht="30" x14ac:dyDescent="0.2">
      <c r="A26" s="16" t="s">
        <v>28</v>
      </c>
      <c r="B26" s="12" t="s">
        <v>27</v>
      </c>
      <c r="C26" s="13">
        <v>0</v>
      </c>
      <c r="D26" s="13">
        <v>0</v>
      </c>
      <c r="E26" s="14">
        <v>0</v>
      </c>
      <c r="F26" s="14">
        <v>1877543</v>
      </c>
      <c r="G26" s="14">
        <v>-1877543</v>
      </c>
      <c r="H26" s="14">
        <v>0</v>
      </c>
      <c r="I26" s="13" t="s">
        <v>77</v>
      </c>
      <c r="J26" s="14">
        <v>0</v>
      </c>
      <c r="K26" s="13">
        <v>0</v>
      </c>
      <c r="L26" s="14">
        <v>0</v>
      </c>
      <c r="M26" s="14">
        <v>-15239690</v>
      </c>
      <c r="N26" s="13">
        <v>-8.1168250000000004</v>
      </c>
    </row>
    <row r="27" spans="1:14" x14ac:dyDescent="0.2">
      <c r="A27" s="18"/>
      <c r="B27" s="12" t="s">
        <v>26</v>
      </c>
      <c r="C27" s="13">
        <v>0</v>
      </c>
      <c r="D27" s="13">
        <v>0</v>
      </c>
      <c r="E27" s="14">
        <v>0</v>
      </c>
      <c r="F27" s="14">
        <v>52178340</v>
      </c>
      <c r="G27" s="14">
        <v>-52178340</v>
      </c>
      <c r="H27" s="14">
        <v>0</v>
      </c>
      <c r="I27" s="13" t="s">
        <v>77</v>
      </c>
      <c r="J27" s="14">
        <v>0</v>
      </c>
      <c r="K27" s="13">
        <v>0</v>
      </c>
      <c r="L27" s="14">
        <v>0</v>
      </c>
      <c r="M27" s="14">
        <v>-412340200</v>
      </c>
      <c r="N27" s="13">
        <v>-7.9025179999999997</v>
      </c>
    </row>
    <row r="28" spans="1:14" ht="30" x14ac:dyDescent="0.2">
      <c r="A28" s="16" t="s">
        <v>25</v>
      </c>
      <c r="B28" s="12" t="s">
        <v>24</v>
      </c>
      <c r="C28" s="13">
        <v>26471.973000000002</v>
      </c>
      <c r="D28" s="13">
        <v>26471.973000000002</v>
      </c>
      <c r="E28" s="14">
        <v>4261634</v>
      </c>
      <c r="F28" s="14">
        <v>7207848</v>
      </c>
      <c r="G28" s="14">
        <v>-2946214</v>
      </c>
      <c r="H28" s="14">
        <v>0</v>
      </c>
      <c r="I28" s="13">
        <v>0.198292</v>
      </c>
      <c r="J28" s="14">
        <v>60787470</v>
      </c>
      <c r="K28" s="13">
        <v>0</v>
      </c>
      <c r="L28" s="14">
        <v>0</v>
      </c>
      <c r="M28" s="14">
        <v>16848690</v>
      </c>
      <c r="N28" s="13">
        <v>1.4690019999999999</v>
      </c>
    </row>
    <row r="29" spans="1:14" ht="45" x14ac:dyDescent="0.2">
      <c r="A29" s="17"/>
      <c r="B29" s="12" t="s">
        <v>23</v>
      </c>
      <c r="C29" s="13">
        <v>857.70799999999997</v>
      </c>
      <c r="D29" s="13">
        <v>857.70799999999997</v>
      </c>
      <c r="E29" s="14">
        <v>197543.2</v>
      </c>
      <c r="F29" s="14">
        <v>310363.09999999998</v>
      </c>
      <c r="G29" s="14">
        <v>-112819.9</v>
      </c>
      <c r="H29" s="14">
        <v>0</v>
      </c>
      <c r="I29" s="13">
        <v>0.27101500000000001</v>
      </c>
      <c r="J29" s="14">
        <v>1986912</v>
      </c>
      <c r="K29" s="13">
        <v>0</v>
      </c>
      <c r="L29" s="14">
        <v>0</v>
      </c>
      <c r="M29" s="14">
        <v>530536.19999999995</v>
      </c>
      <c r="N29" s="13">
        <v>1.0445549999999999</v>
      </c>
    </row>
    <row r="30" spans="1:14" ht="45" x14ac:dyDescent="0.2">
      <c r="A30" s="17"/>
      <c r="B30" s="12" t="s">
        <v>22</v>
      </c>
      <c r="C30" s="13">
        <v>457.99400000000003</v>
      </c>
      <c r="D30" s="13">
        <v>457.99400000000003</v>
      </c>
      <c r="E30" s="14">
        <v>33928.019999999997</v>
      </c>
      <c r="F30" s="14">
        <v>220546</v>
      </c>
      <c r="G30" s="14">
        <v>-186618</v>
      </c>
      <c r="H30" s="14">
        <v>0</v>
      </c>
      <c r="I30" s="13">
        <v>0.25429200000000002</v>
      </c>
      <c r="J30" s="14">
        <v>1187335</v>
      </c>
      <c r="K30" s="13">
        <v>0</v>
      </c>
      <c r="L30" s="14">
        <v>0</v>
      </c>
      <c r="M30" s="14">
        <v>567754.1</v>
      </c>
      <c r="N30" s="13">
        <v>2.2310880000000002</v>
      </c>
    </row>
    <row r="31" spans="1:14" ht="60" x14ac:dyDescent="0.2">
      <c r="A31" s="18"/>
      <c r="B31" s="12" t="s">
        <v>21</v>
      </c>
      <c r="C31" s="13">
        <v>5300</v>
      </c>
      <c r="D31" s="13">
        <v>5300</v>
      </c>
      <c r="E31" s="14">
        <v>1124980</v>
      </c>
      <c r="F31" s="14">
        <v>2380548</v>
      </c>
      <c r="G31" s="14">
        <v>-1255568</v>
      </c>
      <c r="H31" s="14">
        <v>0</v>
      </c>
      <c r="I31" s="13">
        <v>0.30270999999999998</v>
      </c>
      <c r="J31" s="14">
        <v>12836070</v>
      </c>
      <c r="K31" s="13">
        <v>0</v>
      </c>
      <c r="L31" s="14">
        <v>0</v>
      </c>
      <c r="M31" s="14">
        <v>9908309</v>
      </c>
      <c r="N31" s="13">
        <v>2.8264809999999998</v>
      </c>
    </row>
    <row r="32" spans="1:14" ht="30" x14ac:dyDescent="0.2">
      <c r="A32" s="12" t="s">
        <v>20</v>
      </c>
      <c r="B32" s="12" t="s">
        <v>19</v>
      </c>
      <c r="C32" s="13">
        <v>46768.008000000002</v>
      </c>
      <c r="D32" s="13">
        <v>46768.008000000002</v>
      </c>
      <c r="E32" s="14">
        <v>69246.720000000001</v>
      </c>
      <c r="F32" s="14">
        <v>73683.47</v>
      </c>
      <c r="G32" s="14">
        <v>-4436.7560000000003</v>
      </c>
      <c r="H32" s="14">
        <v>0</v>
      </c>
      <c r="I32" s="13">
        <v>0.43417499999999998</v>
      </c>
      <c r="J32" s="14">
        <v>0</v>
      </c>
      <c r="K32" s="13">
        <v>0</v>
      </c>
      <c r="L32" s="14">
        <v>0</v>
      </c>
      <c r="M32" s="14">
        <v>0</v>
      </c>
      <c r="N32" s="13" t="s">
        <v>77</v>
      </c>
    </row>
  </sheetData>
  <mergeCells count="4">
    <mergeCell ref="A2:A21"/>
    <mergeCell ref="A23:A25"/>
    <mergeCell ref="A26:A27"/>
    <mergeCell ref="A28:A3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151E0-1E11-1A44-8FAD-D340C29402FE}">
  <dimension ref="A1:N35"/>
  <sheetViews>
    <sheetView workbookViewId="0">
      <selection sqref="A1:N35"/>
    </sheetView>
  </sheetViews>
  <sheetFormatPr baseColWidth="10" defaultColWidth="8.83203125" defaultRowHeight="15" x14ac:dyDescent="0.2"/>
  <cols>
    <col min="1" max="16384" width="8.83203125" style="8"/>
  </cols>
  <sheetData>
    <row r="1" spans="1:14" ht="60" x14ac:dyDescent="0.2">
      <c r="A1" s="12"/>
      <c r="B1" s="12"/>
      <c r="C1" s="12" t="s">
        <v>67</v>
      </c>
      <c r="D1" s="12" t="s">
        <v>66</v>
      </c>
      <c r="E1" s="12" t="s">
        <v>65</v>
      </c>
      <c r="F1" s="12" t="s">
        <v>64</v>
      </c>
      <c r="G1" s="12" t="s">
        <v>63</v>
      </c>
      <c r="H1" s="12" t="s">
        <v>62</v>
      </c>
      <c r="I1" s="12" t="s">
        <v>61</v>
      </c>
      <c r="J1" s="12" t="s">
        <v>60</v>
      </c>
      <c r="K1" s="12" t="s">
        <v>59</v>
      </c>
      <c r="L1" s="12" t="s">
        <v>58</v>
      </c>
      <c r="M1" s="12" t="s">
        <v>57</v>
      </c>
      <c r="N1" s="12" t="s">
        <v>56</v>
      </c>
    </row>
    <row r="2" spans="1:14" ht="30" x14ac:dyDescent="0.2">
      <c r="A2" s="16" t="s">
        <v>55</v>
      </c>
      <c r="B2" s="12" t="s">
        <v>54</v>
      </c>
      <c r="C2" s="14">
        <v>372.4393</v>
      </c>
      <c r="D2" s="14">
        <v>372.4393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813779.8</v>
      </c>
      <c r="K2" s="13">
        <v>0</v>
      </c>
      <c r="L2" s="14">
        <v>0</v>
      </c>
      <c r="M2" s="14">
        <v>0</v>
      </c>
      <c r="N2" s="13" t="s">
        <v>77</v>
      </c>
    </row>
    <row r="3" spans="1:14" x14ac:dyDescent="0.2">
      <c r="A3" s="17"/>
      <c r="B3" s="12" t="s">
        <v>53</v>
      </c>
      <c r="C3" s="14">
        <v>1642.8920000000001</v>
      </c>
      <c r="D3" s="14">
        <v>1642.8920000000001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3589718</v>
      </c>
      <c r="K3" s="13">
        <v>0</v>
      </c>
      <c r="L3" s="14">
        <v>0</v>
      </c>
      <c r="M3" s="14">
        <v>0</v>
      </c>
      <c r="N3" s="13" t="s">
        <v>77</v>
      </c>
    </row>
    <row r="4" spans="1:14" x14ac:dyDescent="0.2">
      <c r="A4" s="17"/>
      <c r="B4" s="12" t="s">
        <v>52</v>
      </c>
      <c r="C4" s="14">
        <v>9185.8070000000007</v>
      </c>
      <c r="D4" s="14">
        <v>9185.8070000000007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20070990</v>
      </c>
      <c r="K4" s="13">
        <v>0</v>
      </c>
      <c r="L4" s="14">
        <v>0</v>
      </c>
      <c r="M4" s="14">
        <v>0</v>
      </c>
      <c r="N4" s="13" t="s">
        <v>77</v>
      </c>
    </row>
    <row r="5" spans="1:14" ht="45" x14ac:dyDescent="0.2">
      <c r="A5" s="17"/>
      <c r="B5" s="12" t="s">
        <v>51</v>
      </c>
      <c r="C5" s="14">
        <v>23586</v>
      </c>
      <c r="D5" s="14">
        <v>23586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51535410</v>
      </c>
      <c r="K5" s="13">
        <v>0</v>
      </c>
      <c r="L5" s="14">
        <v>0</v>
      </c>
      <c r="M5" s="14">
        <v>0</v>
      </c>
      <c r="N5" s="13" t="s">
        <v>77</v>
      </c>
    </row>
    <row r="6" spans="1:14" ht="45" x14ac:dyDescent="0.2">
      <c r="A6" s="17"/>
      <c r="B6" s="12" t="s">
        <v>50</v>
      </c>
      <c r="C6" s="14">
        <v>3534.0360000000001</v>
      </c>
      <c r="D6" s="14">
        <v>3534.0360000000001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7721869</v>
      </c>
      <c r="K6" s="13">
        <v>0</v>
      </c>
      <c r="L6" s="14">
        <v>0</v>
      </c>
      <c r="M6" s="14">
        <v>0</v>
      </c>
      <c r="N6" s="13" t="s">
        <v>77</v>
      </c>
    </row>
    <row r="7" spans="1:14" ht="30" x14ac:dyDescent="0.2">
      <c r="A7" s="17"/>
      <c r="B7" s="12" t="s">
        <v>49</v>
      </c>
      <c r="C7" s="14">
        <v>13695</v>
      </c>
      <c r="D7" s="14">
        <v>13695</v>
      </c>
      <c r="E7" s="14">
        <v>3551784</v>
      </c>
      <c r="F7" s="14">
        <v>0</v>
      </c>
      <c r="G7" s="14">
        <v>3551784</v>
      </c>
      <c r="H7" s="14">
        <v>0</v>
      </c>
      <c r="I7" s="14">
        <v>0.1186952</v>
      </c>
      <c r="J7" s="14">
        <v>26371790</v>
      </c>
      <c r="K7" s="13">
        <v>0</v>
      </c>
      <c r="L7" s="14">
        <v>40917920</v>
      </c>
      <c r="M7" s="14">
        <v>40917920</v>
      </c>
      <c r="N7" s="13">
        <v>11.520386</v>
      </c>
    </row>
    <row r="8" spans="1:14" x14ac:dyDescent="0.2">
      <c r="A8" s="17"/>
      <c r="B8" s="12" t="s">
        <v>48</v>
      </c>
      <c r="C8" s="14">
        <v>4067.2939999999999</v>
      </c>
      <c r="D8" s="14">
        <v>4067.2939999999999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8887037</v>
      </c>
      <c r="K8" s="13">
        <v>0</v>
      </c>
      <c r="L8" s="14">
        <v>0</v>
      </c>
      <c r="M8" s="14">
        <v>0</v>
      </c>
      <c r="N8" s="13" t="s">
        <v>77</v>
      </c>
    </row>
    <row r="9" spans="1:14" ht="30" x14ac:dyDescent="0.2">
      <c r="A9" s="17"/>
      <c r="B9" s="12" t="s">
        <v>47</v>
      </c>
      <c r="C9" s="14">
        <v>11</v>
      </c>
      <c r="D9" s="14">
        <v>11</v>
      </c>
      <c r="E9" s="14">
        <v>4576.3829999999998</v>
      </c>
      <c r="F9" s="14">
        <v>0</v>
      </c>
      <c r="G9" s="14">
        <v>4576.3829999999998</v>
      </c>
      <c r="H9" s="14">
        <v>0</v>
      </c>
      <c r="I9" s="14">
        <v>0.1904045</v>
      </c>
      <c r="J9" s="14">
        <v>19458.62</v>
      </c>
      <c r="K9" s="13">
        <v>0</v>
      </c>
      <c r="L9" s="14">
        <v>57021.73</v>
      </c>
      <c r="M9" s="14">
        <v>96522.62</v>
      </c>
      <c r="N9" s="13">
        <v>21.091508999999999</v>
      </c>
    </row>
    <row r="10" spans="1:14" ht="30" x14ac:dyDescent="0.2">
      <c r="A10" s="17"/>
      <c r="B10" s="12" t="s">
        <v>46</v>
      </c>
      <c r="C10" s="14">
        <v>834.51110000000006</v>
      </c>
      <c r="D10" s="14">
        <v>834.51110000000006</v>
      </c>
      <c r="E10" s="14">
        <v>35.582079999999998</v>
      </c>
      <c r="F10" s="14">
        <v>0</v>
      </c>
      <c r="G10" s="14">
        <v>35.582079999999998</v>
      </c>
      <c r="H10" s="14">
        <v>0</v>
      </c>
      <c r="I10" s="14">
        <v>1.950843E-5</v>
      </c>
      <c r="J10" s="14">
        <v>1823371</v>
      </c>
      <c r="K10" s="13">
        <v>0</v>
      </c>
      <c r="L10" s="14">
        <v>1921.433</v>
      </c>
      <c r="M10" s="14">
        <v>2050.3609999999999</v>
      </c>
      <c r="N10" s="13">
        <v>57.640048999999998</v>
      </c>
    </row>
    <row r="11" spans="1:14" ht="30" x14ac:dyDescent="0.2">
      <c r="A11" s="17"/>
      <c r="B11" s="12" t="s">
        <v>45</v>
      </c>
      <c r="C11" s="14">
        <v>1897.296</v>
      </c>
      <c r="D11" s="14">
        <v>1897.296</v>
      </c>
      <c r="E11" s="14">
        <v>1356764</v>
      </c>
      <c r="F11" s="14">
        <v>0</v>
      </c>
      <c r="G11" s="14">
        <v>1356764</v>
      </c>
      <c r="H11" s="14">
        <v>0</v>
      </c>
      <c r="I11" s="14">
        <v>0.32727859999999998</v>
      </c>
      <c r="J11" s="14">
        <v>301473.2</v>
      </c>
      <c r="K11" s="13">
        <v>0</v>
      </c>
      <c r="L11" s="14">
        <v>0</v>
      </c>
      <c r="M11" s="14">
        <v>8593434</v>
      </c>
      <c r="N11" s="13">
        <v>6.333774</v>
      </c>
    </row>
    <row r="12" spans="1:14" ht="30" x14ac:dyDescent="0.2">
      <c r="A12" s="17"/>
      <c r="B12" s="12" t="s">
        <v>44</v>
      </c>
      <c r="C12" s="14">
        <v>48629.19</v>
      </c>
      <c r="D12" s="14">
        <v>48629.19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52178340</v>
      </c>
      <c r="K12" s="13">
        <v>0</v>
      </c>
      <c r="L12" s="14">
        <v>0</v>
      </c>
      <c r="M12" s="14">
        <v>0</v>
      </c>
      <c r="N12" s="13" t="s">
        <v>77</v>
      </c>
    </row>
    <row r="13" spans="1:14" ht="30" x14ac:dyDescent="0.2">
      <c r="A13" s="17"/>
      <c r="B13" s="12" t="s">
        <v>43</v>
      </c>
      <c r="C13" s="14">
        <v>254.358</v>
      </c>
      <c r="D13" s="14">
        <v>254.358</v>
      </c>
      <c r="E13" s="14">
        <v>234789.8</v>
      </c>
      <c r="F13" s="14">
        <v>0</v>
      </c>
      <c r="G13" s="14">
        <v>234789.8</v>
      </c>
      <c r="H13" s="14">
        <v>0</v>
      </c>
      <c r="I13" s="14">
        <v>0.42245690000000002</v>
      </c>
      <c r="J13" s="14">
        <v>38979.760000000002</v>
      </c>
      <c r="K13" s="13">
        <v>0</v>
      </c>
      <c r="L13" s="14">
        <v>0</v>
      </c>
      <c r="M13" s="14">
        <v>1926160</v>
      </c>
      <c r="N13" s="13">
        <v>8.2037659999999999</v>
      </c>
    </row>
    <row r="14" spans="1:14" x14ac:dyDescent="0.2">
      <c r="A14" s="17"/>
      <c r="B14" s="12" t="s">
        <v>42</v>
      </c>
      <c r="C14" s="14">
        <v>4570</v>
      </c>
      <c r="D14" s="14">
        <v>4570</v>
      </c>
      <c r="E14" s="14">
        <v>4087791</v>
      </c>
      <c r="F14" s="14">
        <v>0</v>
      </c>
      <c r="G14" s="14">
        <v>4087791</v>
      </c>
      <c r="H14" s="14">
        <v>0</v>
      </c>
      <c r="I14" s="14">
        <v>0.40937469999999998</v>
      </c>
      <c r="J14" s="14">
        <v>5897659</v>
      </c>
      <c r="K14" s="13">
        <v>0</v>
      </c>
      <c r="L14" s="14">
        <v>40877910</v>
      </c>
      <c r="M14" s="14">
        <v>68456300</v>
      </c>
      <c r="N14" s="13">
        <v>16.746527</v>
      </c>
    </row>
    <row r="15" spans="1:14" ht="30" x14ac:dyDescent="0.2">
      <c r="A15" s="17"/>
      <c r="B15" s="12" t="s">
        <v>41</v>
      </c>
      <c r="C15" s="14">
        <v>53544.2</v>
      </c>
      <c r="D15" s="14">
        <v>53544.2</v>
      </c>
      <c r="E15" s="14">
        <v>24928670</v>
      </c>
      <c r="F15" s="14">
        <v>0</v>
      </c>
      <c r="G15" s="14">
        <v>24928670</v>
      </c>
      <c r="H15" s="14">
        <v>0</v>
      </c>
      <c r="I15" s="14">
        <v>0.2130764</v>
      </c>
      <c r="J15" s="14">
        <v>7186173</v>
      </c>
      <c r="K15" s="13">
        <v>0</v>
      </c>
      <c r="L15" s="14">
        <v>0</v>
      </c>
      <c r="M15" s="14">
        <v>99353260</v>
      </c>
      <c r="N15" s="13">
        <v>3.9855010000000002</v>
      </c>
    </row>
    <row r="16" spans="1:14" x14ac:dyDescent="0.2">
      <c r="A16" s="17"/>
      <c r="B16" s="12" t="s">
        <v>40</v>
      </c>
      <c r="C16" s="14">
        <v>78.5</v>
      </c>
      <c r="D16" s="14">
        <v>78.5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171522.5</v>
      </c>
      <c r="K16" s="13">
        <v>0</v>
      </c>
      <c r="L16" s="14">
        <v>0</v>
      </c>
      <c r="M16" s="14">
        <v>0</v>
      </c>
      <c r="N16" s="13" t="s">
        <v>77</v>
      </c>
    </row>
    <row r="17" spans="1:14" ht="30" x14ac:dyDescent="0.2">
      <c r="A17" s="17"/>
      <c r="B17" s="12" t="s">
        <v>39</v>
      </c>
      <c r="C17" s="14">
        <v>27270.74</v>
      </c>
      <c r="D17" s="14">
        <v>27270.74</v>
      </c>
      <c r="E17" s="14">
        <v>10914590</v>
      </c>
      <c r="F17" s="14">
        <v>0</v>
      </c>
      <c r="G17" s="14">
        <v>10914590</v>
      </c>
      <c r="H17" s="14">
        <v>0</v>
      </c>
      <c r="I17" s="14">
        <v>0.1831719</v>
      </c>
      <c r="J17" s="14">
        <v>3420547</v>
      </c>
      <c r="K17" s="13">
        <v>0</v>
      </c>
      <c r="L17" s="14">
        <v>0</v>
      </c>
      <c r="M17" s="14">
        <v>40762850</v>
      </c>
      <c r="N17" s="13">
        <v>3.7347130000000002</v>
      </c>
    </row>
    <row r="18" spans="1:14" ht="45" x14ac:dyDescent="0.2">
      <c r="A18" s="17"/>
      <c r="B18" s="12" t="s">
        <v>38</v>
      </c>
      <c r="C18" s="14">
        <v>3662.89</v>
      </c>
      <c r="D18" s="14">
        <v>3662.89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8003415</v>
      </c>
      <c r="K18" s="13">
        <v>0</v>
      </c>
      <c r="L18" s="14">
        <v>0</v>
      </c>
      <c r="M18" s="14">
        <v>0</v>
      </c>
      <c r="N18" s="13" t="s">
        <v>77</v>
      </c>
    </row>
    <row r="19" spans="1:14" ht="30" x14ac:dyDescent="0.2">
      <c r="A19" s="17"/>
      <c r="B19" s="12" t="s">
        <v>37</v>
      </c>
      <c r="C19" s="14">
        <v>55.819389999999999</v>
      </c>
      <c r="D19" s="14">
        <v>55.819389999999999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121965.4</v>
      </c>
      <c r="K19" s="13">
        <v>0</v>
      </c>
      <c r="L19" s="14">
        <v>0</v>
      </c>
      <c r="M19" s="14">
        <v>0</v>
      </c>
      <c r="N19" s="13" t="s">
        <v>77</v>
      </c>
    </row>
    <row r="20" spans="1:14" x14ac:dyDescent="0.2">
      <c r="A20" s="17"/>
      <c r="B20" s="12" t="s">
        <v>36</v>
      </c>
      <c r="C20" s="14">
        <v>40470.42</v>
      </c>
      <c r="D20" s="14">
        <v>40470.42</v>
      </c>
      <c r="E20" s="14">
        <v>13416770</v>
      </c>
      <c r="F20" s="14">
        <v>0</v>
      </c>
      <c r="G20" s="14">
        <v>13416770</v>
      </c>
      <c r="H20" s="14">
        <v>0</v>
      </c>
      <c r="I20" s="14">
        <v>0.15172559999999999</v>
      </c>
      <c r="J20" s="14">
        <v>1148771</v>
      </c>
      <c r="K20" s="13">
        <v>0</v>
      </c>
      <c r="L20" s="14">
        <v>0</v>
      </c>
      <c r="M20" s="14">
        <v>90609630</v>
      </c>
      <c r="N20" s="13">
        <v>6.7534599999999996</v>
      </c>
    </row>
    <row r="21" spans="1:14" ht="30" x14ac:dyDescent="0.2">
      <c r="A21" s="18"/>
      <c r="B21" s="12" t="s">
        <v>35</v>
      </c>
      <c r="C21" s="14">
        <v>4643.1779999999999</v>
      </c>
      <c r="D21" s="14">
        <v>4643.1779999999999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10145340</v>
      </c>
      <c r="K21" s="13">
        <v>0</v>
      </c>
      <c r="L21" s="14">
        <v>0</v>
      </c>
      <c r="M21" s="14">
        <v>0</v>
      </c>
      <c r="N21" s="13" t="s">
        <v>77</v>
      </c>
    </row>
    <row r="22" spans="1:14" x14ac:dyDescent="0.2">
      <c r="A22" s="12" t="s">
        <v>34</v>
      </c>
      <c r="B22" s="12" t="s">
        <v>33</v>
      </c>
      <c r="C22" s="14">
        <v>230800</v>
      </c>
      <c r="D22" s="14">
        <v>230800</v>
      </c>
      <c r="E22" s="14">
        <v>32159570</v>
      </c>
      <c r="F22" s="14">
        <v>22982550</v>
      </c>
      <c r="G22" s="14">
        <v>9177016</v>
      </c>
      <c r="H22" s="14">
        <v>-9177016</v>
      </c>
      <c r="I22" s="14">
        <v>0.10934430000000001</v>
      </c>
      <c r="J22" s="14">
        <v>0</v>
      </c>
      <c r="K22" s="13">
        <v>0</v>
      </c>
      <c r="L22" s="14">
        <v>0</v>
      </c>
      <c r="M22" s="14">
        <v>95791070</v>
      </c>
      <c r="N22" s="13">
        <v>1.7371669999999999</v>
      </c>
    </row>
    <row r="23" spans="1:14" x14ac:dyDescent="0.2">
      <c r="A23" s="16" t="s">
        <v>32</v>
      </c>
      <c r="B23" s="12" t="s">
        <v>31</v>
      </c>
      <c r="C23" s="14">
        <v>12450</v>
      </c>
      <c r="D23" s="14">
        <v>12450</v>
      </c>
      <c r="E23" s="14">
        <v>9524101</v>
      </c>
      <c r="F23" s="14">
        <v>5881246</v>
      </c>
      <c r="G23" s="14">
        <v>3642855</v>
      </c>
      <c r="H23" s="14">
        <v>-3642855</v>
      </c>
      <c r="I23" s="14">
        <v>0.56630539999999996</v>
      </c>
      <c r="J23" s="14">
        <v>30846100</v>
      </c>
      <c r="K23" s="13">
        <v>0</v>
      </c>
      <c r="L23" s="14">
        <v>0</v>
      </c>
      <c r="M23" s="14">
        <v>70845060</v>
      </c>
      <c r="N23" s="13">
        <v>4.598732</v>
      </c>
    </row>
    <row r="24" spans="1:14" x14ac:dyDescent="0.2">
      <c r="A24" s="17"/>
      <c r="B24" s="12" t="s">
        <v>68</v>
      </c>
      <c r="C24" s="14">
        <v>26000000</v>
      </c>
      <c r="D24" s="14">
        <v>26000000</v>
      </c>
      <c r="E24" s="14">
        <v>0</v>
      </c>
      <c r="F24" s="14">
        <v>187588.1</v>
      </c>
      <c r="G24" s="14">
        <v>-187588.1</v>
      </c>
      <c r="H24" s="14">
        <v>0</v>
      </c>
      <c r="I24" s="14">
        <v>3.3020260000000002E-6</v>
      </c>
      <c r="J24" s="14">
        <v>56809810000</v>
      </c>
      <c r="K24" s="13">
        <v>0</v>
      </c>
      <c r="L24" s="14">
        <v>1.87588</v>
      </c>
      <c r="M24" s="14">
        <v>-856679.2</v>
      </c>
      <c r="N24" s="13">
        <v>-4.5668100000000003</v>
      </c>
    </row>
    <row r="25" spans="1:14" ht="30" x14ac:dyDescent="0.2">
      <c r="A25" s="17"/>
      <c r="B25" s="12" t="s">
        <v>30</v>
      </c>
      <c r="C25" s="14">
        <v>3653.0949999999998</v>
      </c>
      <c r="D25" s="14">
        <v>3653.0949999999998</v>
      </c>
      <c r="E25" s="14">
        <v>0</v>
      </c>
      <c r="F25" s="14">
        <v>107731</v>
      </c>
      <c r="G25" s="14">
        <v>-107731</v>
      </c>
      <c r="H25" s="14">
        <v>0</v>
      </c>
      <c r="I25" s="14">
        <v>1.349672E-2</v>
      </c>
      <c r="J25" s="14">
        <v>7874281</v>
      </c>
      <c r="K25" s="13">
        <v>0</v>
      </c>
      <c r="L25" s="14">
        <v>0</v>
      </c>
      <c r="M25" s="14">
        <v>36.924079999999996</v>
      </c>
      <c r="N25" s="13">
        <v>3.4299999999999999E-4</v>
      </c>
    </row>
    <row r="26" spans="1:14" ht="30" x14ac:dyDescent="0.2">
      <c r="A26" s="17"/>
      <c r="B26" s="12" t="s">
        <v>29</v>
      </c>
      <c r="C26" s="14">
        <v>278.38099999999997</v>
      </c>
      <c r="D26" s="14">
        <v>278.38099999999997</v>
      </c>
      <c r="E26" s="14">
        <v>0</v>
      </c>
      <c r="F26" s="14">
        <v>69142.09</v>
      </c>
      <c r="G26" s="14">
        <v>-69142.09</v>
      </c>
      <c r="H26" s="14">
        <v>0</v>
      </c>
      <c r="I26" s="14">
        <v>0.11367149999999999</v>
      </c>
      <c r="J26" s="14">
        <v>539120.4</v>
      </c>
      <c r="K26" s="13">
        <v>0</v>
      </c>
      <c r="L26" s="14">
        <v>345710.4</v>
      </c>
      <c r="M26" s="14">
        <v>0</v>
      </c>
      <c r="N26" s="13" t="s">
        <v>77</v>
      </c>
    </row>
    <row r="27" spans="1:14" ht="30" x14ac:dyDescent="0.2">
      <c r="A27" s="18"/>
      <c r="B27" s="12" t="s">
        <v>69</v>
      </c>
      <c r="C27" s="14">
        <v>156000000</v>
      </c>
      <c r="D27" s="14">
        <v>156000000</v>
      </c>
      <c r="E27" s="14">
        <v>0</v>
      </c>
      <c r="F27" s="14">
        <v>45.548369999999998</v>
      </c>
      <c r="G27" s="14">
        <v>-45.548369999999998</v>
      </c>
      <c r="H27" s="14">
        <v>45.548369999999998</v>
      </c>
      <c r="I27" s="14">
        <v>1.336538E-10</v>
      </c>
      <c r="J27" s="14">
        <v>340860000000</v>
      </c>
      <c r="K27" s="13">
        <v>0</v>
      </c>
      <c r="L27" s="14">
        <v>4.6000000000000001E-4</v>
      </c>
      <c r="M27" s="14">
        <v>-354.49919999999997</v>
      </c>
      <c r="N27" s="13">
        <v>-7.7812950000000001</v>
      </c>
    </row>
    <row r="28" spans="1:14" ht="30" x14ac:dyDescent="0.2">
      <c r="A28" s="16" t="s">
        <v>28</v>
      </c>
      <c r="B28" s="12" t="s">
        <v>27</v>
      </c>
      <c r="C28" s="14">
        <v>0</v>
      </c>
      <c r="D28" s="14">
        <v>0</v>
      </c>
      <c r="E28" s="14">
        <v>0</v>
      </c>
      <c r="F28" s="14">
        <v>1877543</v>
      </c>
      <c r="G28" s="14">
        <v>-1877543</v>
      </c>
      <c r="H28" s="14">
        <v>0</v>
      </c>
      <c r="I28" s="13" t="s">
        <v>77</v>
      </c>
      <c r="J28" s="14">
        <v>0</v>
      </c>
      <c r="K28" s="13">
        <v>0</v>
      </c>
      <c r="L28" s="14">
        <v>0</v>
      </c>
      <c r="M28" s="14">
        <v>-15114160</v>
      </c>
      <c r="N28" s="13">
        <v>-8.0499659999999995</v>
      </c>
    </row>
    <row r="29" spans="1:14" x14ac:dyDescent="0.2">
      <c r="A29" s="18"/>
      <c r="B29" s="12" t="s">
        <v>26</v>
      </c>
      <c r="C29" s="14">
        <v>0</v>
      </c>
      <c r="D29" s="14">
        <v>0</v>
      </c>
      <c r="E29" s="14">
        <v>0</v>
      </c>
      <c r="F29" s="14">
        <v>52178340</v>
      </c>
      <c r="G29" s="14">
        <v>-52178340</v>
      </c>
      <c r="H29" s="14">
        <v>0</v>
      </c>
      <c r="I29" s="13" t="s">
        <v>77</v>
      </c>
      <c r="J29" s="14">
        <v>0</v>
      </c>
      <c r="K29" s="13">
        <v>0</v>
      </c>
      <c r="L29" s="14">
        <v>0</v>
      </c>
      <c r="M29" s="14">
        <v>-408903900</v>
      </c>
      <c r="N29" s="13">
        <v>-7.8366610000000003</v>
      </c>
    </row>
    <row r="30" spans="1:14" ht="30" x14ac:dyDescent="0.2">
      <c r="A30" s="16" t="s">
        <v>25</v>
      </c>
      <c r="B30" s="12" t="s">
        <v>24</v>
      </c>
      <c r="C30" s="14">
        <v>26471.97</v>
      </c>
      <c r="D30" s="14">
        <v>26471.97</v>
      </c>
      <c r="E30" s="14">
        <v>4291764</v>
      </c>
      <c r="F30" s="14">
        <v>7212774</v>
      </c>
      <c r="G30" s="14">
        <v>-2921010</v>
      </c>
      <c r="H30" s="14">
        <v>0</v>
      </c>
      <c r="I30" s="14">
        <v>0.19889850000000001</v>
      </c>
      <c r="J30" s="14">
        <v>60762270</v>
      </c>
      <c r="K30" s="13">
        <v>0</v>
      </c>
      <c r="L30" s="14">
        <v>0</v>
      </c>
      <c r="M30" s="14">
        <v>16701970</v>
      </c>
      <c r="N30" s="13">
        <v>1.4517720000000001</v>
      </c>
    </row>
    <row r="31" spans="1:14" ht="45" x14ac:dyDescent="0.2">
      <c r="A31" s="17"/>
      <c r="B31" s="12" t="s">
        <v>23</v>
      </c>
      <c r="C31" s="14">
        <v>857.70799999999997</v>
      </c>
      <c r="D31" s="14">
        <v>857.70799999999997</v>
      </c>
      <c r="E31" s="14">
        <v>204310.8</v>
      </c>
      <c r="F31" s="14">
        <v>314653.3</v>
      </c>
      <c r="G31" s="14">
        <v>-110342.5</v>
      </c>
      <c r="H31" s="14">
        <v>0</v>
      </c>
      <c r="I31" s="14">
        <v>0.27691500000000002</v>
      </c>
      <c r="J31" s="14">
        <v>1984435</v>
      </c>
      <c r="K31" s="13">
        <v>0</v>
      </c>
      <c r="L31" s="14">
        <v>0</v>
      </c>
      <c r="M31" s="14">
        <v>526021.9</v>
      </c>
      <c r="N31" s="13">
        <v>1.0136000000000001</v>
      </c>
    </row>
    <row r="32" spans="1:14" ht="45" x14ac:dyDescent="0.2">
      <c r="A32" s="17"/>
      <c r="B32" s="12" t="s">
        <v>22</v>
      </c>
      <c r="C32" s="14">
        <v>457.99400000000003</v>
      </c>
      <c r="D32" s="14">
        <v>457.99400000000003</v>
      </c>
      <c r="E32" s="14">
        <v>34787.07</v>
      </c>
      <c r="F32" s="14">
        <v>218694.8</v>
      </c>
      <c r="G32" s="14">
        <v>-183907.8</v>
      </c>
      <c r="H32" s="14">
        <v>0</v>
      </c>
      <c r="I32" s="14">
        <v>0.25330029999999998</v>
      </c>
      <c r="J32" s="14">
        <v>1184625</v>
      </c>
      <c r="K32" s="13">
        <v>0</v>
      </c>
      <c r="L32" s="14">
        <v>0</v>
      </c>
      <c r="M32" s="14">
        <v>560826.30000000005</v>
      </c>
      <c r="N32" s="13">
        <v>2.212491</v>
      </c>
    </row>
    <row r="33" spans="1:14" ht="60" x14ac:dyDescent="0.2">
      <c r="A33" s="18"/>
      <c r="B33" s="12" t="s">
        <v>21</v>
      </c>
      <c r="C33" s="14">
        <v>5300</v>
      </c>
      <c r="D33" s="14">
        <v>5300</v>
      </c>
      <c r="E33" s="14">
        <v>1125868</v>
      </c>
      <c r="F33" s="14">
        <v>2368412</v>
      </c>
      <c r="G33" s="14">
        <v>-1242544</v>
      </c>
      <c r="H33" s="14">
        <v>0</v>
      </c>
      <c r="I33" s="14">
        <v>0.30173820000000001</v>
      </c>
      <c r="J33" s="14">
        <v>12823040</v>
      </c>
      <c r="K33" s="13">
        <v>0</v>
      </c>
      <c r="L33" s="14">
        <v>0</v>
      </c>
      <c r="M33" s="14">
        <v>9809439</v>
      </c>
      <c r="N33" s="13">
        <v>2.8072859999999999</v>
      </c>
    </row>
    <row r="34" spans="1:14" x14ac:dyDescent="0.2">
      <c r="A34" s="16" t="s">
        <v>20</v>
      </c>
      <c r="B34" s="12" t="s">
        <v>68</v>
      </c>
      <c r="C34" s="14">
        <v>13000000</v>
      </c>
      <c r="D34" s="14">
        <v>13000000</v>
      </c>
      <c r="E34" s="14">
        <v>93794.04</v>
      </c>
      <c r="F34" s="14">
        <v>93794.04</v>
      </c>
      <c r="G34" s="14">
        <v>0</v>
      </c>
      <c r="H34" s="14">
        <v>0</v>
      </c>
      <c r="I34" s="14">
        <v>0.99910200000000005</v>
      </c>
      <c r="J34" s="14">
        <v>0</v>
      </c>
      <c r="K34" s="13">
        <v>0</v>
      </c>
      <c r="L34" s="14">
        <v>0</v>
      </c>
      <c r="M34" s="14">
        <v>0</v>
      </c>
      <c r="N34" s="13" t="s">
        <v>77</v>
      </c>
    </row>
    <row r="35" spans="1:14" ht="30" x14ac:dyDescent="0.2">
      <c r="A35" s="18"/>
      <c r="B35" s="12" t="s">
        <v>19</v>
      </c>
      <c r="C35" s="14">
        <v>46768.01</v>
      </c>
      <c r="D35" s="14">
        <v>46768.01</v>
      </c>
      <c r="E35" s="14">
        <v>68085.78</v>
      </c>
      <c r="F35" s="14">
        <v>74355.360000000001</v>
      </c>
      <c r="G35" s="14">
        <v>-6269.5889999999999</v>
      </c>
      <c r="H35" s="14">
        <v>0</v>
      </c>
      <c r="I35" s="14">
        <v>0.61353420000000003</v>
      </c>
      <c r="J35" s="14">
        <v>0</v>
      </c>
      <c r="K35" s="13">
        <v>0</v>
      </c>
      <c r="L35" s="14">
        <v>0</v>
      </c>
      <c r="M35" s="14">
        <v>0</v>
      </c>
      <c r="N35" s="13" t="s">
        <v>77</v>
      </c>
    </row>
  </sheetData>
  <mergeCells count="5">
    <mergeCell ref="A34:A35"/>
    <mergeCell ref="A23:A27"/>
    <mergeCell ref="A2:A21"/>
    <mergeCell ref="A28:A29"/>
    <mergeCell ref="A30:A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Inflexible</vt:lpstr>
      <vt:lpstr>Temporal</vt:lpstr>
      <vt:lpstr>Spatial</vt:lpstr>
      <vt:lpstr>Both</vt:lpstr>
      <vt:lpstr>CFE</vt:lpstr>
      <vt:lpstr>CFE_both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Górecka</dc:creator>
  <cp:lastModifiedBy>Marta Górecka</cp:lastModifiedBy>
  <dcterms:created xsi:type="dcterms:W3CDTF">2026-08-14T09:11:44Z</dcterms:created>
  <dcterms:modified xsi:type="dcterms:W3CDTF">2026-08-19T07:21:39Z</dcterms:modified>
</cp:coreProperties>
</file>