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/Documents/MSc CAM/Dissertation/PyPSA-GB/notebooks/results/excel/population/"/>
    </mc:Choice>
  </mc:AlternateContent>
  <xr:revisionPtr revIDLastSave="0" documentId="13_ncr:1_{11DD060F-2891-A540-BFCD-493DB4F446DE}" xr6:coauthVersionLast="47" xr6:coauthVersionMax="47" xr10:uidLastSave="{00000000-0000-0000-0000-000000000000}"/>
  <bookViews>
    <workbookView xWindow="10260" yWindow="700" windowWidth="20620" windowHeight="17400" xr2:uid="{D4188A73-9F76-7B43-A2AE-82D891E862BC}"/>
  </bookViews>
  <sheets>
    <sheet name="Summary" sheetId="8" r:id="rId1"/>
    <sheet name="Inflexible" sheetId="9" r:id="rId2"/>
    <sheet name="Temporal" sheetId="10" r:id="rId3"/>
    <sheet name="Spatial" sheetId="11" r:id="rId4"/>
    <sheet name="Both" sheetId="12" r:id="rId5"/>
    <sheet name="CFE" sheetId="13" r:id="rId6"/>
    <sheet name="CFE_both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3" i="8" l="1"/>
  <c r="F23" i="8"/>
  <c r="E23" i="8"/>
  <c r="D23" i="8"/>
  <c r="C23" i="8"/>
  <c r="G11" i="8"/>
  <c r="G12" i="8"/>
  <c r="C15" i="8"/>
  <c r="D11" i="8"/>
  <c r="E12" i="8"/>
  <c r="E14" i="8"/>
  <c r="D13" i="8"/>
  <c r="B13" i="8"/>
  <c r="D15" i="8"/>
  <c r="B15" i="8"/>
  <c r="C14" i="8"/>
  <c r="C11" i="8"/>
  <c r="B7" i="8"/>
  <c r="B8" i="8"/>
  <c r="F11" i="8"/>
  <c r="G13" i="8"/>
  <c r="F12" i="8"/>
  <c r="B11" i="8"/>
  <c r="D12" i="8"/>
  <c r="C13" i="8"/>
  <c r="G14" i="8"/>
  <c r="F14" i="8"/>
  <c r="D14" i="8"/>
  <c r="C12" i="8"/>
  <c r="B14" i="8"/>
  <c r="E11" i="8"/>
  <c r="B12" i="8"/>
  <c r="E13" i="8"/>
  <c r="G15" i="8"/>
  <c r="E15" i="8"/>
  <c r="F15" i="8"/>
  <c r="F13" i="8"/>
  <c r="F20" i="8" l="1"/>
  <c r="C21" i="8"/>
  <c r="C18" i="8"/>
  <c r="C20" i="8"/>
  <c r="D20" i="8"/>
  <c r="D21" i="8"/>
  <c r="F21" i="8"/>
  <c r="E18" i="8"/>
  <c r="D19" i="8"/>
  <c r="E22" i="8"/>
  <c r="C22" i="8"/>
  <c r="E20" i="8"/>
  <c r="E19" i="8"/>
  <c r="G20" i="8"/>
  <c r="G22" i="8"/>
  <c r="F18" i="8"/>
  <c r="F19" i="8"/>
  <c r="G18" i="8"/>
  <c r="F22" i="8"/>
  <c r="C19" i="8"/>
  <c r="E21" i="8"/>
  <c r="G21" i="8"/>
  <c r="G19" i="8"/>
  <c r="D22" i="8"/>
  <c r="D18" i="8"/>
</calcChain>
</file>

<file path=xl/sharedStrings.xml><?xml version="1.0" encoding="utf-8"?>
<sst xmlns="http://schemas.openxmlformats.org/spreadsheetml/2006/main" count="323" uniqueCount="78">
  <si>
    <t>BIG SUMMARY</t>
  </si>
  <si>
    <t xml:space="preserve">Data Centre Allocation: </t>
  </si>
  <si>
    <t>Flexibility:</t>
  </si>
  <si>
    <t>x_CFE:</t>
  </si>
  <si>
    <t>Total Capacity [GW]:</t>
  </si>
  <si>
    <t>Total Green Energy</t>
  </si>
  <si>
    <t>Total Green Energy Curtailment</t>
  </si>
  <si>
    <t>Total Wind Offshore Curtailment</t>
  </si>
  <si>
    <t>Total Wind Onshore Curtailment</t>
  </si>
  <si>
    <t>Total Solar PV Curtailment</t>
  </si>
  <si>
    <t xml:space="preserve"> Network objective</t>
  </si>
  <si>
    <t>Inflexible</t>
  </si>
  <si>
    <t>Temporal</t>
  </si>
  <si>
    <t>Spatial</t>
  </si>
  <si>
    <t>Both</t>
  </si>
  <si>
    <t>CFE</t>
  </si>
  <si>
    <t>Total Storage</t>
  </si>
  <si>
    <t>DC Cost</t>
  </si>
  <si>
    <t>CFE_both</t>
  </si>
  <si>
    <t>Objective Reduction w.r.t. Inflexible</t>
  </si>
  <si>
    <t>DC Cost Reduction w.r.t. Inflexible</t>
  </si>
  <si>
    <t>Tot Green En Curtailment Reduction w.r.t. Inflexible</t>
  </si>
  <si>
    <t>Total Wind Offshore Curtailment Reduction</t>
  </si>
  <si>
    <t>Total Wind Onshore Curtailment Reduction</t>
  </si>
  <si>
    <t>Total Solar PV Curtailment Reduction</t>
  </si>
  <si>
    <t>Population</t>
  </si>
  <si>
    <t>Hydrogen Gas</t>
  </si>
  <si>
    <t>Store</t>
  </si>
  <si>
    <t>Pumped Storage Hydroelectricity</t>
  </si>
  <si>
    <t>Liquid Air Energy Storage</t>
  </si>
  <si>
    <t>Domestic Battery Storage</t>
  </si>
  <si>
    <t>Battery Storage</t>
  </si>
  <si>
    <t>StorageUnit</t>
  </si>
  <si>
    <t>Electricity</t>
  </si>
  <si>
    <t>Data Centre</t>
  </si>
  <si>
    <t>Load</t>
  </si>
  <si>
    <t>H2 Power Generation</t>
  </si>
  <si>
    <t>Electrolysis</t>
  </si>
  <si>
    <t>DC</t>
  </si>
  <si>
    <t>Link</t>
  </si>
  <si>
    <t>AC</t>
  </si>
  <si>
    <t>Line</t>
  </si>
  <si>
    <t>Waste to Energy</t>
  </si>
  <si>
    <t>Solar PV</t>
  </si>
  <si>
    <t>Sewage Gas</t>
  </si>
  <si>
    <t>Open Cycle Gas Turbine</t>
  </si>
  <si>
    <t>Onshore Wind</t>
  </si>
  <si>
    <t>Oil</t>
  </si>
  <si>
    <t>Offshore Wind</t>
  </si>
  <si>
    <t>Nuclear</t>
  </si>
  <si>
    <t>Marine Energy</t>
  </si>
  <si>
    <t>Load Shedding</t>
  </si>
  <si>
    <t>Large Hydro</t>
  </si>
  <si>
    <t>Landfill Gas</t>
  </si>
  <si>
    <t>Geothermal</t>
  </si>
  <si>
    <t>Gas Engine</t>
  </si>
  <si>
    <t>European Imports</t>
  </si>
  <si>
    <t>Combined Heat &amp; Power</t>
  </si>
  <si>
    <t>Combined Cycle Gas Turbine</t>
  </si>
  <si>
    <t>Biomass</t>
  </si>
  <si>
    <t>Biogas</t>
  </si>
  <si>
    <t>Advanced Biofuel</t>
  </si>
  <si>
    <t>Generator</t>
  </si>
  <si>
    <t>Market Value</t>
  </si>
  <si>
    <t>Revenue</t>
  </si>
  <si>
    <t>Operational Expenditure</t>
  </si>
  <si>
    <t>Capital Expenditure</t>
  </si>
  <si>
    <t>Curtailment</t>
  </si>
  <si>
    <t>Capacity Factor</t>
  </si>
  <si>
    <t>Transmission</t>
  </si>
  <si>
    <t>Energy Balance</t>
  </si>
  <si>
    <t>Withdrawal</t>
  </si>
  <si>
    <t>Supply</t>
  </si>
  <si>
    <t>Installed Capacity</t>
  </si>
  <si>
    <t>Optimal Capacity</t>
  </si>
  <si>
    <t>DSM</t>
  </si>
  <si>
    <t>Virtual Link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</si>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</sst>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</cellStyleXfs>
  <cellXfs count="13">
    <xf numFmtId="0" fontId="0" fillId="0" borderId="0" xfId="0"/>
    <xf numFmtId="43" fontId="1" fillId="0" borderId="0" xfId="1" applyFont="1" applyBorder="1" applyAlignment="1">
      <alignment horizontal="center" vertical="center" wrapText="1"/>
    </xf>
    <xf numFmtId="0" fontId="2" fillId="0" borderId="0" xfId="2"/>
    <xf numFmtId="43" fontId="2" fillId="0" borderId="0" xfId="2" applyNumberFormat="1"/>
    <xf numFmtId="0" fontId="3" fillId="0" borderId="0" xfId="2" applyFont="1"/>
    <xf numFmtId="43" fontId="0" fillId="0" borderId="0" xfId="3" applyFont="1"/>
    <xf numFmtId="9" fontId="2" fillId="0" borderId="0" xfId="2" applyNumberFormat="1"/>
    <xf numFmtId="0" fontId="4" fillId="0" borderId="0" xfId="2" applyFont="1"/>
    <xf numFmtId="0" fontId="6" fillId="0" borderId="0" xfId="2" applyFont="1"/>
    <xf numFmtId="10" fontId="2" fillId="0" borderId="0" xfId="2" applyNumberFormat="1"/>
    <xf numFmtId="0" fontId="5" fillId="0" borderId="0" xfId="4"/>
    <xf numFmtId="0" fontId="7" fillId="0" borderId="1" xfId="4" applyFont="1" applyBorder="1" applyAlignment="1">
      <alignment horizontal="center" vertical="top"/>
    </xf>
    <xf numFmtId="0" fontId="7" fillId="0" borderId="1" xfId="4" applyFont="1" applyBorder="1" applyAlignment="1">
      <alignment horizontal="center" vertical="top"/>
    </xf>
  </cellXfs>
  <cellStyles count="5">
    <cellStyle name="Comma" xfId="1" builtinId="3"/>
    <cellStyle name="Comma 2" xfId="3" xr:uid="{4ECBB75D-054E-8047-9F29-ED070BEE1A4F}"/>
    <cellStyle name="Normal" xfId="0" builtinId="0"/>
    <cellStyle name="Normal 2" xfId="2" xr:uid="{D95309A0-E12C-3645-8A11-EF473EFC6DF8}"/>
    <cellStyle name="Normal 3" xfId="4" xr:uid="{D5582847-43D2-AD43-8DA4-CD8D7BB307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A3D4-8BC0-0947-8077-374B2710F049}">
  <dimension ref="A1:G24"/>
  <sheetViews>
    <sheetView tabSelected="1" workbookViewId="0">
      <selection activeCell="H16" sqref="H16"/>
    </sheetView>
  </sheetViews>
  <sheetFormatPr baseColWidth="10" defaultRowHeight="16" x14ac:dyDescent="0.2"/>
  <cols>
    <col min="1" max="1" width="45.1640625" style="2" customWidth="1"/>
    <col min="2" max="2" width="17.83203125" style="2" customWidth="1"/>
    <col min="3" max="3" width="17" style="2" customWidth="1"/>
    <col min="4" max="4" width="20" style="2" customWidth="1"/>
    <col min="5" max="5" width="17.1640625" style="2" customWidth="1"/>
    <col min="6" max="6" width="16.5" style="2" customWidth="1"/>
    <col min="7" max="7" width="16.6640625" style="2" customWidth="1"/>
    <col min="8" max="16384" width="10.83203125" style="2"/>
  </cols>
  <sheetData>
    <row r="1" spans="1:7" ht="27" x14ac:dyDescent="0.35">
      <c r="A1" s="7" t="s">
        <v>0</v>
      </c>
    </row>
    <row r="3" spans="1:7" x14ac:dyDescent="0.2">
      <c r="A3" s="4" t="s">
        <v>1</v>
      </c>
      <c r="B3" s="2" t="s">
        <v>25</v>
      </c>
    </row>
    <row r="4" spans="1:7" x14ac:dyDescent="0.2">
      <c r="A4" s="4" t="s">
        <v>4</v>
      </c>
      <c r="B4" s="2">
        <v>4</v>
      </c>
      <c r="D4" s="1"/>
    </row>
    <row r="5" spans="1:7" x14ac:dyDescent="0.2">
      <c r="A5" s="4" t="s">
        <v>2</v>
      </c>
      <c r="B5" s="6">
        <v>0.4</v>
      </c>
      <c r="D5" s="1"/>
    </row>
    <row r="6" spans="1:7" x14ac:dyDescent="0.2">
      <c r="A6" s="4" t="s">
        <v>3</v>
      </c>
      <c r="B6" s="6">
        <v>0.03</v>
      </c>
      <c r="D6" s="1"/>
    </row>
    <row r="7" spans="1:7" x14ac:dyDescent="0.2">
      <c r="A7" s="4" t="s">
        <v>5</v>
      </c>
      <c r="B7" s="3">
        <f ca="1">SUMIFS(INDIRECT(B$10&amp;"!$D$2:$D$35"), INDIRECT(B$10&amp;"!$B$2:$B$35"), "Solar PV")
+SUMIFS(INDIRECT(B$10&amp;"!$D$2:$D$35"), INDIRECT(B$10&amp;"!$B$2:$B$35"), "Offshore Wind")
+SUMIFS(INDIRECT(B$10&amp;"!$D$2:$D$35"), INDIRECT(B$10&amp;"!$B$2:$B$35"), "Onshore Wind")
+SUMIFS(INDIRECT(B$10&amp;"!$D$2:$D$35"), INDIRECT(B$10&amp;"!$B$2:$B$35"), "Large Hydro")
+SUMIFS(INDIRECT(B$10&amp;"!$D$2:$D$35"), INDIRECT(B$10&amp;"!$B$2:$B$35"), "Marine Energy")</f>
        <v>123437.01899999999</v>
      </c>
      <c r="D7" s="1"/>
    </row>
    <row r="8" spans="1:7" x14ac:dyDescent="0.2">
      <c r="A8" s="4" t="s">
        <v>16</v>
      </c>
      <c r="B8" s="3">
        <f ca="1">SUMIFS(INDIRECT(B$10&amp;"!$D$2:$D$35"), INDIRECT(B$10&amp;"!$B$2:$B$35"), "Battery Storage")
+SUMIFS(INDIRECT(B$10&amp;"!$D$2:$D$35"), INDIRECT(B$10&amp;"!$B$2:$B$35"), "Domestic Battery Storage")
+SUMIFS(INDIRECT(B$10&amp;"!$D$2:$D$35"), INDIRECT(B$10&amp;"!$B$2:$B$35"), "Liquid Air Energy Storage")
+SUMIFS(INDIRECT(B$10&amp;"!$D$2:$D$35"), INDIRECT(B$10&amp;"!$B$2:$B$35"), "Pumped Storage Hydroelectricity")</f>
        <v>33087.675000000003</v>
      </c>
      <c r="D8" s="1"/>
    </row>
    <row r="10" spans="1:7" x14ac:dyDescent="0.2"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18</v>
      </c>
    </row>
    <row r="11" spans="1:7" x14ac:dyDescent="0.2">
      <c r="A11" s="4" t="s">
        <v>6</v>
      </c>
      <c r="B11" s="3">
        <f ca="1">SUMIFS(INDIRECT(B$10&amp;"!$J$2:$J$35"), INDIRECT(B$10&amp;"!$B$2:$B$35"), "Solar PV")
+SUMIFS(INDIRECT(B$10&amp;"!$J$2:$J$35"), INDIRECT(B$10&amp;"!$B$2:$B$35"), "Offshore Wind")
+SUMIFS(INDIRECT(B$10&amp;"!$J$2:$J$35"), INDIRECT(B$10&amp;"!$B$2:$B$35"), "Onshore Wind")
+SUMIFS(INDIRECT(B$10&amp;"!$J$2:$J$35"), INDIRECT(B$10&amp;"!$B$2:$B$35"), "Large Hydro")
+SUMIFS(INDIRECT(B$10&amp;"!$J$2:$J$35"), INDIRECT(B$10&amp;"!$B$2:$B$35"), "Marine Energy")</f>
        <v>11373568.85317</v>
      </c>
      <c r="C11" s="3">
        <f t="shared" ref="C11:G11" ca="1" si="0">SUMIFS(INDIRECT(C$10&amp;"!$J$2:$J$35"), INDIRECT(C$10&amp;"!$B$2:$B$35"), "Solar PV")
+SUMIFS(INDIRECT(C$10&amp;"!$J$2:$J$35"), INDIRECT(C$10&amp;"!$B$2:$B$35"), "Offshore Wind")
+SUMIFS(INDIRECT(C$10&amp;"!$J$2:$J$35"), INDIRECT(C$10&amp;"!$B$2:$B$35"), "Onshore Wind")
+SUMIFS(INDIRECT(C$10&amp;"!$J$2:$J$35"), INDIRECT(C$10&amp;"!$B$2:$B$35"), "Large Hydro")
+SUMIFS(INDIRECT(C$10&amp;"!$J$2:$J$35"), INDIRECT(C$10&amp;"!$B$2:$B$35"), "Marine Energy")</f>
        <v>11321787.12717</v>
      </c>
      <c r="D11" s="3">
        <f t="shared" ca="1" si="0"/>
        <v>11599286.716429999</v>
      </c>
      <c r="E11" s="3">
        <f t="shared" ca="1" si="0"/>
        <v>11335366.477429999</v>
      </c>
      <c r="F11" s="3">
        <f t="shared" ca="1" si="0"/>
        <v>0</v>
      </c>
      <c r="G11" s="3">
        <f t="shared" ca="1" si="0"/>
        <v>0</v>
      </c>
    </row>
    <row r="12" spans="1:7" x14ac:dyDescent="0.2">
      <c r="A12" s="4" t="s">
        <v>7</v>
      </c>
      <c r="B12" s="3">
        <f ca="1">SUMIFS(INDIRECT(B$10&amp;"!$J$2:$J$35"), INDIRECT(B$10&amp;"!$B$2:$B$35"), "Offshore Wind")</f>
        <v>6656963.08029</v>
      </c>
      <c r="C12" s="3">
        <f t="shared" ref="C12:G12" ca="1" si="1">SUMIFS(INDIRECT(C$10&amp;"!$J$2:$J$35"), INDIRECT(C$10&amp;"!$B$2:$B$35"), "Offshore Wind")</f>
        <v>6427010.9041900001</v>
      </c>
      <c r="D12" s="3">
        <f t="shared" ca="1" si="1"/>
        <v>6519195.1429599999</v>
      </c>
      <c r="E12" s="3">
        <f t="shared" ca="1" si="1"/>
        <v>6422469.6175699998</v>
      </c>
      <c r="F12" s="3">
        <f t="shared" ca="1" si="1"/>
        <v>0</v>
      </c>
      <c r="G12" s="3">
        <f t="shared" ca="1" si="1"/>
        <v>0</v>
      </c>
    </row>
    <row r="13" spans="1:7" x14ac:dyDescent="0.2">
      <c r="A13" s="4" t="s">
        <v>8</v>
      </c>
      <c r="B13" s="5">
        <f ca="1">SUMIFS(INDIRECT(B$10&amp;"!$J$2:$J$35"), INDIRECT(B$10&amp;"!$B$2:$B$35"), "Onshore Wind")</f>
        <v>3045594.9474900002</v>
      </c>
      <c r="C13" s="5">
        <f t="shared" ref="C13:G13" ca="1" si="2">SUMIFS(INDIRECT(C$10&amp;"!$J$2:$J$35"), INDIRECT(C$10&amp;"!$B$2:$B$35"), "Onshore Wind")</f>
        <v>3127072.3456999999</v>
      </c>
      <c r="D13" s="5">
        <f t="shared" ca="1" si="2"/>
        <v>3225549.8791999999</v>
      </c>
      <c r="E13" s="5">
        <f t="shared" ca="1" si="2"/>
        <v>3137100.5676500001</v>
      </c>
      <c r="F13" s="5">
        <f t="shared" ca="1" si="2"/>
        <v>0</v>
      </c>
      <c r="G13" s="5">
        <f t="shared" ca="1" si="2"/>
        <v>0</v>
      </c>
    </row>
    <row r="14" spans="1:7" x14ac:dyDescent="0.2">
      <c r="A14" s="4" t="s">
        <v>9</v>
      </c>
      <c r="B14" s="5">
        <f ca="1">SUMIFS(INDIRECT(B$10&amp;"!$J$2:$J$35"), INDIRECT(B$10&amp;"!$B$2:$B$35"), "Solar PV")</f>
        <v>1382226.3144</v>
      </c>
      <c r="C14" s="5">
        <f t="shared" ref="C14:G14" ca="1" si="3">SUMIFS(INDIRECT(C$10&amp;"!$J$2:$J$35"), INDIRECT(C$10&amp;"!$B$2:$B$35"), "Solar PV")</f>
        <v>1477801.8547199999</v>
      </c>
      <c r="D14" s="5">
        <f t="shared" ca="1" si="3"/>
        <v>1557061.7640199999</v>
      </c>
      <c r="E14" s="5">
        <f t="shared" ca="1" si="3"/>
        <v>1483129.1366399999</v>
      </c>
      <c r="F14" s="5">
        <f t="shared" ca="1" si="3"/>
        <v>0</v>
      </c>
      <c r="G14" s="5">
        <f t="shared" ca="1" si="3"/>
        <v>0</v>
      </c>
    </row>
    <row r="15" spans="1:7" x14ac:dyDescent="0.2">
      <c r="A15" s="4" t="s">
        <v>17</v>
      </c>
      <c r="B15" s="3">
        <f ca="1">-SUMIFS(INDIRECT(B$10&amp;"!$M$2:$M$35"), INDIRECT(B$10&amp;"!$B$2:$B$35"), "Data Centre")</f>
        <v>14463558.538240001</v>
      </c>
      <c r="C15" s="3">
        <f t="shared" ref="C15:G15" ca="1" si="4">-SUMIFS(INDIRECT(C$10&amp;"!$M$2:$M$35"), INDIRECT(C$10&amp;"!$B$2:$B$35"), "Data Centre")</f>
        <v>14290380.048730001</v>
      </c>
      <c r="D15" s="3">
        <f t="shared" ca="1" si="4"/>
        <v>14462047.7523</v>
      </c>
      <c r="E15" s="3">
        <f t="shared" ca="1" si="4"/>
        <v>14016470.555430001</v>
      </c>
      <c r="F15" s="3">
        <f t="shared" ca="1" si="4"/>
        <v>0</v>
      </c>
      <c r="G15" s="3">
        <f t="shared" ca="1" si="4"/>
        <v>0</v>
      </c>
    </row>
    <row r="16" spans="1:7" x14ac:dyDescent="0.2">
      <c r="A16" s="4" t="s">
        <v>10</v>
      </c>
      <c r="B16" s="3">
        <v>83006417.422614902</v>
      </c>
      <c r="C16" s="3">
        <v>81454380.756495595</v>
      </c>
      <c r="D16" s="3">
        <v>83005919.864785105</v>
      </c>
      <c r="E16" s="3">
        <v>77624801.069336101</v>
      </c>
      <c r="F16" s="3" t="s">
        <v>77</v>
      </c>
      <c r="G16" s="3" t="s">
        <v>77</v>
      </c>
    </row>
    <row r="17" spans="1:7" x14ac:dyDescent="0.2">
      <c r="A17" s="4"/>
      <c r="B17" s="3"/>
      <c r="C17" s="3"/>
      <c r="D17" s="3"/>
      <c r="E17" s="3"/>
      <c r="F17" s="3"/>
      <c r="G17" s="3"/>
    </row>
    <row r="18" spans="1:7" x14ac:dyDescent="0.2">
      <c r="A18" s="8" t="s">
        <v>21</v>
      </c>
      <c r="C18" s="9">
        <f ca="1">1-C$11/$B$11</f>
        <v>4.5528124609337528E-3</v>
      </c>
      <c r="D18" s="9">
        <f t="shared" ref="D18:G18" ca="1" si="5">1-D$11/$B$11</f>
        <v>-1.984582554288461E-2</v>
      </c>
      <c r="E18" s="9">
        <f t="shared" ca="1" si="5"/>
        <v>3.3588732114945286E-3</v>
      </c>
      <c r="F18" s="9">
        <f t="shared" ca="1" si="5"/>
        <v>1</v>
      </c>
      <c r="G18" s="9">
        <f t="shared" ca="1" si="5"/>
        <v>1</v>
      </c>
    </row>
    <row r="19" spans="1:7" x14ac:dyDescent="0.2">
      <c r="A19" s="8" t="s">
        <v>22</v>
      </c>
      <c r="C19" s="9">
        <f ca="1">1-C$12/$B$12</f>
        <v>3.4543105215776859E-2</v>
      </c>
      <c r="D19" s="9">
        <f t="shared" ref="D19:G19" ca="1" si="6">1-D$12/$B$12</f>
        <v>2.0695313413695349E-2</v>
      </c>
      <c r="E19" s="9">
        <f t="shared" ca="1" si="6"/>
        <v>3.5225291156306793E-2</v>
      </c>
      <c r="F19" s="9">
        <f t="shared" ca="1" si="6"/>
        <v>1</v>
      </c>
      <c r="G19" s="9">
        <f t="shared" ca="1" si="6"/>
        <v>1</v>
      </c>
    </row>
    <row r="20" spans="1:7" x14ac:dyDescent="0.2">
      <c r="A20" s="8" t="s">
        <v>23</v>
      </c>
      <c r="C20" s="9">
        <f ca="1">1-C$13/$B$13</f>
        <v>-2.6752539196700731E-2</v>
      </c>
      <c r="D20" s="9">
        <f t="shared" ref="D20:G20" ca="1" si="7">1-D$13/$B$13</f>
        <v>-5.9086955032647381E-2</v>
      </c>
      <c r="E20" s="9">
        <f t="shared" ca="1" si="7"/>
        <v>-3.0045236394752095E-2</v>
      </c>
      <c r="F20" s="9">
        <f t="shared" ca="1" si="7"/>
        <v>1</v>
      </c>
      <c r="G20" s="9">
        <f t="shared" ca="1" si="7"/>
        <v>1</v>
      </c>
    </row>
    <row r="21" spans="1:7" x14ac:dyDescent="0.2">
      <c r="A21" s="8" t="s">
        <v>24</v>
      </c>
      <c r="C21" s="9">
        <f ca="1">1-C$14/$B$14</f>
        <v>-6.9146086515859517E-2</v>
      </c>
      <c r="D21" s="9">
        <f t="shared" ref="D21:G21" ca="1" si="8">1-D$14/$B$14</f>
        <v>-0.12648829486066671</v>
      </c>
      <c r="E21" s="9">
        <f t="shared" ca="1" si="8"/>
        <v>-7.3000217973566706E-2</v>
      </c>
      <c r="F21" s="9">
        <f t="shared" ca="1" si="8"/>
        <v>1</v>
      </c>
      <c r="G21" s="9">
        <f t="shared" ca="1" si="8"/>
        <v>1</v>
      </c>
    </row>
    <row r="22" spans="1:7" x14ac:dyDescent="0.2">
      <c r="A22" s="8" t="s">
        <v>20</v>
      </c>
      <c r="C22" s="9">
        <f ca="1">1-C$15/$B$15</f>
        <v>1.1973435793973919E-2</v>
      </c>
      <c r="D22" s="9">
        <f t="shared" ref="D22:G22" ca="1" si="9">1-D$15/$B$15</f>
        <v>1.0445464966357676E-4</v>
      </c>
      <c r="E22" s="9">
        <f t="shared" ca="1" si="9"/>
        <v>3.0911340499500839E-2</v>
      </c>
      <c r="F22" s="9">
        <f t="shared" ca="1" si="9"/>
        <v>1</v>
      </c>
      <c r="G22" s="9">
        <f t="shared" ca="1" si="9"/>
        <v>1</v>
      </c>
    </row>
    <row r="23" spans="1:7" x14ac:dyDescent="0.2">
      <c r="A23" s="8" t="s">
        <v>19</v>
      </c>
      <c r="C23" s="9">
        <f>1-C$16/$B$16</f>
        <v>1.8697791258925678E-2</v>
      </c>
      <c r="D23" s="9">
        <f t="shared" ref="D23:G23" si="10">1-D$16/$B$16</f>
        <v>5.9942091857889679E-6</v>
      </c>
      <c r="E23" s="9">
        <f t="shared" si="10"/>
        <v>6.4833738406984809E-2</v>
      </c>
      <c r="F23" s="9" t="e">
        <f t="shared" si="10"/>
        <v>#VALUE!</v>
      </c>
      <c r="G23" s="9" t="e">
        <f t="shared" si="10"/>
        <v>#VALUE!</v>
      </c>
    </row>
    <row r="24" spans="1:7" x14ac:dyDescent="0.2">
      <c r="A24" s="8"/>
    </row>
  </sheetData>
  <conditionalFormatting sqref="B11:G1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2:G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3:G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4:G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5:G1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G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78CC-CDA6-3445-A76E-3C022F9C9D8A}">
  <dimension ref="A1:N32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x14ac:dyDescent="0.2">
      <c r="A2" s="12" t="s">
        <v>62</v>
      </c>
      <c r="B2" s="11" t="s">
        <v>61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60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59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58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57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56</v>
      </c>
      <c r="C7" s="10">
        <v>13695</v>
      </c>
      <c r="D7" s="10">
        <v>13695</v>
      </c>
      <c r="E7" s="10">
        <v>3595219.5721100001</v>
      </c>
      <c r="F7" s="10">
        <v>0</v>
      </c>
      <c r="G7" s="10">
        <v>3595219.5721100001</v>
      </c>
      <c r="H7" s="10">
        <v>0</v>
      </c>
      <c r="I7" s="10">
        <v>0.1201467265425338</v>
      </c>
      <c r="J7" s="10">
        <v>26328355.427889999</v>
      </c>
      <c r="K7" s="10">
        <v>0</v>
      </c>
      <c r="L7" s="10">
        <v>40980953.467799999</v>
      </c>
      <c r="M7" s="10">
        <v>40980953.467799999</v>
      </c>
      <c r="N7" s="10">
        <v>11.398734492476651</v>
      </c>
    </row>
    <row r="8" spans="1:14" x14ac:dyDescent="0.2">
      <c r="A8" s="12"/>
      <c r="B8" s="11" t="s">
        <v>55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54</v>
      </c>
      <c r="C9" s="10">
        <v>11</v>
      </c>
      <c r="D9" s="10">
        <v>11</v>
      </c>
      <c r="E9" s="10">
        <v>4556.2330000000002</v>
      </c>
      <c r="F9" s="10">
        <v>0</v>
      </c>
      <c r="G9" s="10">
        <v>4556.2330000000002</v>
      </c>
      <c r="H9" s="10">
        <v>0</v>
      </c>
      <c r="I9" s="10">
        <v>0.18956636363636359</v>
      </c>
      <c r="J9" s="10">
        <v>19478.767</v>
      </c>
      <c r="K9" s="10">
        <v>0</v>
      </c>
      <c r="L9" s="10">
        <v>56770.663180000003</v>
      </c>
      <c r="M9" s="10">
        <v>97738.344110000005</v>
      </c>
      <c r="N9" s="10">
        <v>21.45159526766831</v>
      </c>
    </row>
    <row r="10" spans="1:14" x14ac:dyDescent="0.2">
      <c r="A10" s="12"/>
      <c r="B10" s="11" t="s">
        <v>53</v>
      </c>
      <c r="C10" s="10">
        <v>834.51107000000002</v>
      </c>
      <c r="D10" s="10">
        <v>834.51107000000002</v>
      </c>
      <c r="E10" s="10">
        <v>1037.9962800000001</v>
      </c>
      <c r="F10" s="10">
        <v>0</v>
      </c>
      <c r="G10" s="10">
        <v>1037.9962800000001</v>
      </c>
      <c r="H10" s="10">
        <v>0</v>
      </c>
      <c r="I10" s="10">
        <v>5.6926746340225302E-4</v>
      </c>
      <c r="J10" s="10">
        <v>1822368.6833500001</v>
      </c>
      <c r="K10" s="10">
        <v>0</v>
      </c>
      <c r="L10" s="10">
        <v>56051.799350000001</v>
      </c>
      <c r="M10" s="10">
        <v>56229.900900000001</v>
      </c>
      <c r="N10" s="10">
        <v>54.171073127604927</v>
      </c>
    </row>
    <row r="11" spans="1:14" x14ac:dyDescent="0.2">
      <c r="A11" s="12"/>
      <c r="B11" s="11" t="s">
        <v>52</v>
      </c>
      <c r="C11" s="10">
        <v>1897.296</v>
      </c>
      <c r="D11" s="10">
        <v>1897.296</v>
      </c>
      <c r="E11" s="10">
        <v>1403906.60357</v>
      </c>
      <c r="F11" s="10">
        <v>0</v>
      </c>
      <c r="G11" s="10">
        <v>1403906.60357</v>
      </c>
      <c r="H11" s="10">
        <v>0</v>
      </c>
      <c r="I11" s="10">
        <v>0.33865046887781353</v>
      </c>
      <c r="J11" s="10">
        <v>254330.10042999999</v>
      </c>
      <c r="K11" s="10">
        <v>0</v>
      </c>
      <c r="L11" s="10">
        <v>0</v>
      </c>
      <c r="M11" s="10">
        <v>9271543.0944999997</v>
      </c>
      <c r="N11" s="10">
        <v>6.6041025357366987</v>
      </c>
    </row>
    <row r="12" spans="1:14" x14ac:dyDescent="0.2">
      <c r="A12" s="12"/>
      <c r="B12" s="11" t="s">
        <v>51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50</v>
      </c>
      <c r="C13" s="10">
        <v>254.358</v>
      </c>
      <c r="D13" s="10">
        <v>254.358</v>
      </c>
      <c r="E13" s="10">
        <v>239315.14025</v>
      </c>
      <c r="F13" s="10">
        <v>0</v>
      </c>
      <c r="G13" s="10">
        <v>239315.14025</v>
      </c>
      <c r="H13" s="10">
        <v>0</v>
      </c>
      <c r="I13" s="10">
        <v>0.4305993127796256</v>
      </c>
      <c r="J13" s="10">
        <v>34454.410559999997</v>
      </c>
      <c r="K13" s="10">
        <v>0</v>
      </c>
      <c r="L13" s="10">
        <v>0</v>
      </c>
      <c r="M13" s="10">
        <v>1985170.86723</v>
      </c>
      <c r="N13" s="10">
        <v>8.2952163670523937</v>
      </c>
    </row>
    <row r="14" spans="1:14" x14ac:dyDescent="0.2">
      <c r="A14" s="12"/>
      <c r="B14" s="11" t="s">
        <v>49</v>
      </c>
      <c r="C14" s="10">
        <v>4570</v>
      </c>
      <c r="D14" s="10">
        <v>4570</v>
      </c>
      <c r="E14" s="10">
        <v>4077556.2171999998</v>
      </c>
      <c r="F14" s="10">
        <v>0</v>
      </c>
      <c r="G14" s="10">
        <v>4077556.2171999998</v>
      </c>
      <c r="H14" s="10">
        <v>0</v>
      </c>
      <c r="I14" s="10">
        <v>0.40834977024070018</v>
      </c>
      <c r="J14" s="10">
        <v>5907893.7828000002</v>
      </c>
      <c r="K14" s="10">
        <v>0</v>
      </c>
      <c r="L14" s="10">
        <v>40775562.171980001</v>
      </c>
      <c r="M14" s="10">
        <v>68282832.645679995</v>
      </c>
      <c r="N14" s="10">
        <v>16.746018710254749</v>
      </c>
    </row>
    <row r="15" spans="1:14" x14ac:dyDescent="0.2">
      <c r="A15" s="12"/>
      <c r="B15" s="11" t="s">
        <v>48</v>
      </c>
      <c r="C15" s="10">
        <v>53544.201999999997</v>
      </c>
      <c r="D15" s="10">
        <v>53544.201999999997</v>
      </c>
      <c r="E15" s="10">
        <v>25457883.029279999</v>
      </c>
      <c r="F15" s="10">
        <v>0</v>
      </c>
      <c r="G15" s="10">
        <v>25457883.029279999</v>
      </c>
      <c r="H15" s="10">
        <v>0</v>
      </c>
      <c r="I15" s="10">
        <v>0.21759975150997679</v>
      </c>
      <c r="J15" s="10">
        <v>6656963.08029</v>
      </c>
      <c r="K15" s="10">
        <v>0</v>
      </c>
      <c r="L15" s="10">
        <v>0</v>
      </c>
      <c r="M15" s="10">
        <v>102223740.31906</v>
      </c>
      <c r="N15" s="10">
        <v>4.0154061583526932</v>
      </c>
    </row>
    <row r="16" spans="1:14" x14ac:dyDescent="0.2">
      <c r="A16" s="12"/>
      <c r="B16" s="11" t="s">
        <v>47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46</v>
      </c>
      <c r="C17" s="10">
        <v>27270.741000000002</v>
      </c>
      <c r="D17" s="10">
        <v>27270.741000000002</v>
      </c>
      <c r="E17" s="10">
        <v>11289539.40893</v>
      </c>
      <c r="F17" s="10">
        <v>0</v>
      </c>
      <c r="G17" s="10">
        <v>11289539.40893</v>
      </c>
      <c r="H17" s="10">
        <v>0</v>
      </c>
      <c r="I17" s="10">
        <v>0.18946449823273959</v>
      </c>
      <c r="J17" s="10">
        <v>3045594.9474900002</v>
      </c>
      <c r="K17" s="10">
        <v>0</v>
      </c>
      <c r="L17" s="10">
        <v>0</v>
      </c>
      <c r="M17" s="10">
        <v>41885959.653839998</v>
      </c>
      <c r="N17" s="10">
        <v>3.7101566442601679</v>
      </c>
    </row>
    <row r="18" spans="1:14" x14ac:dyDescent="0.2">
      <c r="A18" s="12"/>
      <c r="B18" s="11" t="s">
        <v>45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44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43</v>
      </c>
      <c r="C20" s="10">
        <v>40470.421999999999</v>
      </c>
      <c r="D20" s="10">
        <v>40470.421999999999</v>
      </c>
      <c r="E20" s="10">
        <v>13183315.14481</v>
      </c>
      <c r="F20" s="10">
        <v>0</v>
      </c>
      <c r="G20" s="10">
        <v>13183315.14481</v>
      </c>
      <c r="H20" s="10">
        <v>0</v>
      </c>
      <c r="I20" s="10">
        <v>0.14908551830766681</v>
      </c>
      <c r="J20" s="10">
        <v>1382226.3144</v>
      </c>
      <c r="K20" s="10">
        <v>0</v>
      </c>
      <c r="L20" s="10">
        <v>0</v>
      </c>
      <c r="M20" s="10">
        <v>90405068.816569999</v>
      </c>
      <c r="N20" s="10">
        <v>6.8575368078591641</v>
      </c>
    </row>
    <row r="21" spans="1:14" x14ac:dyDescent="0.2">
      <c r="A21" s="12"/>
      <c r="B21" s="11" t="s">
        <v>42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41</v>
      </c>
      <c r="B22" s="11" t="s">
        <v>40</v>
      </c>
      <c r="C22" s="10">
        <v>230800</v>
      </c>
      <c r="D22" s="10">
        <v>230800</v>
      </c>
      <c r="E22" s="10">
        <v>31647957.811080001</v>
      </c>
      <c r="F22" s="10">
        <v>24298711.909249999</v>
      </c>
      <c r="G22" s="10">
        <v>7349245.9018400004</v>
      </c>
      <c r="H22" s="10">
        <v>-7349245.9018400004</v>
      </c>
      <c r="I22" s="10">
        <v>0.1109397017764298</v>
      </c>
      <c r="J22" s="10">
        <v>0</v>
      </c>
      <c r="K22" s="10">
        <v>0</v>
      </c>
      <c r="L22" s="10">
        <v>0</v>
      </c>
      <c r="M22" s="10">
        <v>79045054.252580002</v>
      </c>
      <c r="N22" s="10">
        <v>1.412864333721543</v>
      </c>
    </row>
    <row r="23" spans="1:14" x14ac:dyDescent="0.2">
      <c r="A23" s="12" t="s">
        <v>39</v>
      </c>
      <c r="B23" s="11" t="s">
        <v>38</v>
      </c>
      <c r="C23" s="10">
        <v>12450</v>
      </c>
      <c r="D23" s="10">
        <v>12450</v>
      </c>
      <c r="E23" s="10">
        <v>9569831.9397100005</v>
      </c>
      <c r="F23" s="10">
        <v>5882427.2503599999</v>
      </c>
      <c r="G23" s="10">
        <v>3687404.68934</v>
      </c>
      <c r="H23" s="10">
        <v>-3687404.68934</v>
      </c>
      <c r="I23" s="10">
        <v>0.56802989317269081</v>
      </c>
      <c r="J23" s="10">
        <v>30890654.689339999</v>
      </c>
      <c r="K23" s="10">
        <v>0</v>
      </c>
      <c r="L23" s="10">
        <v>0</v>
      </c>
      <c r="M23" s="10">
        <v>71061065.411149994</v>
      </c>
      <c r="N23" s="10">
        <v>4.5987492524309523</v>
      </c>
    </row>
    <row r="24" spans="1:14" x14ac:dyDescent="0.2">
      <c r="A24" s="12"/>
      <c r="B24" s="11" t="s">
        <v>37</v>
      </c>
      <c r="C24" s="10">
        <v>3653.0947500000002</v>
      </c>
      <c r="D24" s="10">
        <v>3653.0947500000002</v>
      </c>
      <c r="E24" s="10">
        <v>0</v>
      </c>
      <c r="F24" s="10">
        <v>121236.55065</v>
      </c>
      <c r="G24" s="10">
        <v>-121236.55065</v>
      </c>
      <c r="H24" s="10">
        <v>0</v>
      </c>
      <c r="I24" s="10">
        <v>1.518872183646482E-2</v>
      </c>
      <c r="J24" s="10">
        <v>7860775.4879799997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36</v>
      </c>
      <c r="C25" s="10">
        <v>278.38099999999997</v>
      </c>
      <c r="D25" s="10">
        <v>278.38099999999997</v>
      </c>
      <c r="E25" s="10">
        <v>0</v>
      </c>
      <c r="F25" s="10">
        <v>77342.541339999996</v>
      </c>
      <c r="G25" s="10">
        <v>-77342.541339999996</v>
      </c>
      <c r="H25" s="10">
        <v>0</v>
      </c>
      <c r="I25" s="10">
        <v>0.1271532180716356</v>
      </c>
      <c r="J25" s="10">
        <v>530919.94365999999</v>
      </c>
      <c r="K25" s="10">
        <v>0</v>
      </c>
      <c r="L25" s="10">
        <v>386712.70669999998</v>
      </c>
      <c r="M25" s="10">
        <v>0</v>
      </c>
    </row>
    <row r="26" spans="1:14" x14ac:dyDescent="0.2">
      <c r="A26" s="12" t="s">
        <v>35</v>
      </c>
      <c r="B26" s="11" t="s">
        <v>34</v>
      </c>
      <c r="C26" s="10">
        <v>0</v>
      </c>
      <c r="D26" s="10">
        <v>0</v>
      </c>
      <c r="E26" s="10">
        <v>0</v>
      </c>
      <c r="F26" s="10">
        <v>1877552.17087</v>
      </c>
      <c r="G26" s="10">
        <v>-1877552.17087</v>
      </c>
      <c r="H26" s="10">
        <v>0</v>
      </c>
      <c r="J26" s="10">
        <v>0</v>
      </c>
      <c r="K26" s="10">
        <v>0</v>
      </c>
      <c r="L26" s="10">
        <v>0</v>
      </c>
      <c r="M26" s="10">
        <v>-14463558.538240001</v>
      </c>
      <c r="N26" s="10">
        <v>-7.7034123375183432</v>
      </c>
    </row>
    <row r="27" spans="1:14" x14ac:dyDescent="0.2">
      <c r="A27" s="12"/>
      <c r="B27" s="11" t="s">
        <v>33</v>
      </c>
      <c r="C27" s="10">
        <v>0</v>
      </c>
      <c r="D27" s="10">
        <v>0</v>
      </c>
      <c r="E27" s="10">
        <v>0</v>
      </c>
      <c r="F27" s="10">
        <v>52178335.791649997</v>
      </c>
      <c r="G27" s="10">
        <v>-52178335.791649997</v>
      </c>
      <c r="H27" s="10">
        <v>0</v>
      </c>
      <c r="J27" s="10">
        <v>0</v>
      </c>
      <c r="K27" s="10">
        <v>0</v>
      </c>
      <c r="L27" s="10">
        <v>0</v>
      </c>
      <c r="M27" s="10">
        <v>-411649928.54786998</v>
      </c>
      <c r="N27" s="10">
        <v>-7.8892881954623784</v>
      </c>
    </row>
    <row r="28" spans="1:14" x14ac:dyDescent="0.2">
      <c r="A28" s="12" t="s">
        <v>32</v>
      </c>
      <c r="B28" s="11" t="s">
        <v>31</v>
      </c>
      <c r="C28" s="10">
        <v>26471.973000000002</v>
      </c>
      <c r="D28" s="10">
        <v>26471.973000000002</v>
      </c>
      <c r="E28" s="10">
        <v>2570385.1700800001</v>
      </c>
      <c r="F28" s="10">
        <v>6005829.6779699996</v>
      </c>
      <c r="G28" s="10">
        <v>-3435444.50789</v>
      </c>
      <c r="H28" s="10">
        <v>0</v>
      </c>
      <c r="I28" s="10">
        <v>0.14827157461969301</v>
      </c>
      <c r="J28" s="10">
        <v>61276705.512890004</v>
      </c>
      <c r="K28" s="10">
        <v>0</v>
      </c>
      <c r="L28" s="10">
        <v>0</v>
      </c>
      <c r="M28" s="10">
        <v>16754071.93286</v>
      </c>
      <c r="N28" s="10">
        <v>1.9535508636913339</v>
      </c>
    </row>
    <row r="29" spans="1:14" x14ac:dyDescent="0.2">
      <c r="A29" s="12"/>
      <c r="B29" s="11" t="s">
        <v>30</v>
      </c>
      <c r="C29" s="10">
        <v>857.70799999999997</v>
      </c>
      <c r="D29" s="10">
        <v>857.70799999999997</v>
      </c>
      <c r="E29" s="10">
        <v>137271.03245999999</v>
      </c>
      <c r="F29" s="10">
        <v>269261.05241</v>
      </c>
      <c r="G29" s="10">
        <v>-131990.01994</v>
      </c>
      <c r="H29" s="10">
        <v>0</v>
      </c>
      <c r="I29" s="10">
        <v>0.2169221576573846</v>
      </c>
      <c r="J29" s="10">
        <v>2006081.99994</v>
      </c>
      <c r="K29" s="10">
        <v>0</v>
      </c>
      <c r="L29" s="10">
        <v>0</v>
      </c>
      <c r="M29" s="10">
        <v>549750.88116999995</v>
      </c>
      <c r="N29" s="10">
        <v>1.352293964173235</v>
      </c>
    </row>
    <row r="30" spans="1:14" x14ac:dyDescent="0.2">
      <c r="A30" s="12"/>
      <c r="B30" s="11" t="s">
        <v>29</v>
      </c>
      <c r="C30" s="10">
        <v>457.99400000000003</v>
      </c>
      <c r="D30" s="10">
        <v>457.99400000000003</v>
      </c>
      <c r="E30" s="10">
        <v>31159.92985</v>
      </c>
      <c r="F30" s="10">
        <v>253070.27746000001</v>
      </c>
      <c r="G30" s="10">
        <v>-221910.34761</v>
      </c>
      <c r="H30" s="10">
        <v>0</v>
      </c>
      <c r="I30" s="10">
        <v>0.28402658113425072</v>
      </c>
      <c r="J30" s="10">
        <v>1222627.23761</v>
      </c>
      <c r="K30" s="10">
        <v>0</v>
      </c>
      <c r="L30" s="10">
        <v>0</v>
      </c>
      <c r="M30" s="10">
        <v>553009.60736000002</v>
      </c>
      <c r="N30" s="10">
        <v>1.945639869845645</v>
      </c>
    </row>
    <row r="31" spans="1:14" x14ac:dyDescent="0.2">
      <c r="A31" s="12"/>
      <c r="B31" s="11" t="s">
        <v>28</v>
      </c>
      <c r="C31" s="10">
        <v>5300</v>
      </c>
      <c r="D31" s="10">
        <v>5300</v>
      </c>
      <c r="E31" s="10">
        <v>824624.65003999998</v>
      </c>
      <c r="F31" s="10">
        <v>2241340.9947700002</v>
      </c>
      <c r="G31" s="10">
        <v>-1416716.34473</v>
      </c>
      <c r="H31" s="10">
        <v>0</v>
      </c>
      <c r="I31" s="10">
        <v>0.26475244150943389</v>
      </c>
      <c r="J31" s="10">
        <v>12997216.344729999</v>
      </c>
      <c r="K31" s="10">
        <v>0</v>
      </c>
      <c r="L31" s="10">
        <v>0</v>
      </c>
      <c r="M31" s="10">
        <v>10345195.99924</v>
      </c>
      <c r="N31" s="10">
        <v>3.3742047982538961</v>
      </c>
    </row>
    <row r="32" spans="1:14" x14ac:dyDescent="0.2">
      <c r="A32" s="11" t="s">
        <v>27</v>
      </c>
      <c r="B32" s="11" t="s">
        <v>26</v>
      </c>
      <c r="C32" s="10">
        <v>46768.008000000002</v>
      </c>
      <c r="D32" s="10">
        <v>46768.008000000002</v>
      </c>
      <c r="E32" s="10">
        <v>75886.856190000006</v>
      </c>
      <c r="F32" s="10">
        <v>83409.900309999997</v>
      </c>
      <c r="G32" s="10">
        <v>-7523.0441199999996</v>
      </c>
      <c r="H32" s="10">
        <v>0</v>
      </c>
      <c r="I32" s="10">
        <v>0.736195731278527</v>
      </c>
      <c r="J32" s="10">
        <v>0</v>
      </c>
      <c r="K32" s="10">
        <v>0</v>
      </c>
      <c r="L32" s="10">
        <v>0</v>
      </c>
      <c r="M32" s="10">
        <v>0</v>
      </c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78D1-4DE2-E044-8F70-16C59AF98653}">
  <dimension ref="A1:N34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x14ac:dyDescent="0.2">
      <c r="A2" s="12" t="s">
        <v>62</v>
      </c>
      <c r="B2" s="11" t="s">
        <v>61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60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59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58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57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56</v>
      </c>
      <c r="C7" s="10">
        <v>13695</v>
      </c>
      <c r="D7" s="10">
        <v>13695</v>
      </c>
      <c r="E7" s="10">
        <v>3504830.79379</v>
      </c>
      <c r="F7" s="10">
        <v>0</v>
      </c>
      <c r="G7" s="10">
        <v>3504830.79379</v>
      </c>
      <c r="H7" s="10">
        <v>0</v>
      </c>
      <c r="I7" s="10">
        <v>0.1171260715589631</v>
      </c>
      <c r="J7" s="10">
        <v>26418744.206209999</v>
      </c>
      <c r="K7" s="10">
        <v>0</v>
      </c>
      <c r="L7" s="10">
        <v>39658129.964840002</v>
      </c>
      <c r="M7" s="10">
        <v>39658129.964840002</v>
      </c>
      <c r="N7" s="10">
        <v>11.31527665227874</v>
      </c>
    </row>
    <row r="8" spans="1:14" x14ac:dyDescent="0.2">
      <c r="A8" s="12"/>
      <c r="B8" s="11" t="s">
        <v>55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54</v>
      </c>
      <c r="C9" s="10">
        <v>11</v>
      </c>
      <c r="D9" s="10">
        <v>11</v>
      </c>
      <c r="E9" s="10">
        <v>4313.509</v>
      </c>
      <c r="F9" s="10">
        <v>0</v>
      </c>
      <c r="G9" s="10">
        <v>4313.509</v>
      </c>
      <c r="H9" s="10">
        <v>0</v>
      </c>
      <c r="I9" s="10">
        <v>0.1794681818181818</v>
      </c>
      <c r="J9" s="10">
        <v>19721.491000000002</v>
      </c>
      <c r="K9" s="10">
        <v>0</v>
      </c>
      <c r="L9" s="10">
        <v>53746.322139999997</v>
      </c>
      <c r="M9" s="10">
        <v>93409.274430000005</v>
      </c>
      <c r="N9" s="10">
        <v>21.65501101739989</v>
      </c>
    </row>
    <row r="10" spans="1:14" x14ac:dyDescent="0.2">
      <c r="A10" s="12"/>
      <c r="B10" s="11" t="s">
        <v>53</v>
      </c>
      <c r="C10" s="10">
        <v>834.51107000000002</v>
      </c>
      <c r="D10" s="10">
        <v>834.51107000000002</v>
      </c>
      <c r="E10" s="10">
        <v>35.582079999999998</v>
      </c>
      <c r="F10" s="10">
        <v>0</v>
      </c>
      <c r="G10" s="10">
        <v>35.582079999999998</v>
      </c>
      <c r="H10" s="10">
        <v>0</v>
      </c>
      <c r="I10" s="10">
        <v>1.9508429049359409E-5</v>
      </c>
      <c r="J10" s="10">
        <v>1823371.0975500001</v>
      </c>
      <c r="K10" s="10">
        <v>0</v>
      </c>
      <c r="L10" s="10">
        <v>1921.43254</v>
      </c>
      <c r="M10" s="10">
        <v>2026.3761</v>
      </c>
      <c r="N10" s="10">
        <v>56.965601965601969</v>
      </c>
    </row>
    <row r="11" spans="1:14" x14ac:dyDescent="0.2">
      <c r="A11" s="12"/>
      <c r="B11" s="11" t="s">
        <v>52</v>
      </c>
      <c r="C11" s="10">
        <v>1897.296</v>
      </c>
      <c r="D11" s="10">
        <v>1897.296</v>
      </c>
      <c r="E11" s="10">
        <v>1403795.9437299999</v>
      </c>
      <c r="F11" s="10">
        <v>0</v>
      </c>
      <c r="G11" s="10">
        <v>1403795.9437299999</v>
      </c>
      <c r="H11" s="10">
        <v>0</v>
      </c>
      <c r="I11" s="10">
        <v>0.33862377826127288</v>
      </c>
      <c r="J11" s="10">
        <v>254440.76027</v>
      </c>
      <c r="K11" s="10">
        <v>0</v>
      </c>
      <c r="L11" s="10">
        <v>0</v>
      </c>
      <c r="M11" s="10">
        <v>9023160.0643799994</v>
      </c>
      <c r="N11" s="10">
        <v>6.4276863771627202</v>
      </c>
    </row>
    <row r="12" spans="1:14" x14ac:dyDescent="0.2">
      <c r="A12" s="12"/>
      <c r="B12" s="11" t="s">
        <v>51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50</v>
      </c>
      <c r="C13" s="10">
        <v>254.358</v>
      </c>
      <c r="D13" s="10">
        <v>254.358</v>
      </c>
      <c r="E13" s="10">
        <v>238308.28852</v>
      </c>
      <c r="F13" s="10">
        <v>0</v>
      </c>
      <c r="G13" s="10">
        <v>238308.28852</v>
      </c>
      <c r="H13" s="10">
        <v>0</v>
      </c>
      <c r="I13" s="10">
        <v>0.42878769293672703</v>
      </c>
      <c r="J13" s="10">
        <v>35461.262289999999</v>
      </c>
      <c r="K13" s="10">
        <v>0</v>
      </c>
      <c r="L13" s="10">
        <v>0</v>
      </c>
      <c r="M13" s="10">
        <v>1955751.2766400001</v>
      </c>
      <c r="N13" s="10">
        <v>8.2068117182341123</v>
      </c>
    </row>
    <row r="14" spans="1:14" x14ac:dyDescent="0.2">
      <c r="A14" s="12"/>
      <c r="B14" s="11" t="s">
        <v>49</v>
      </c>
      <c r="C14" s="10">
        <v>4570</v>
      </c>
      <c r="D14" s="10">
        <v>4570</v>
      </c>
      <c r="E14" s="10">
        <v>4068700.1016600002</v>
      </c>
      <c r="F14" s="10">
        <v>0</v>
      </c>
      <c r="G14" s="10">
        <v>4068700.1016600002</v>
      </c>
      <c r="H14" s="10">
        <v>0</v>
      </c>
      <c r="I14" s="10">
        <v>0.40746286870897153</v>
      </c>
      <c r="J14" s="10">
        <v>5916749.8983399998</v>
      </c>
      <c r="K14" s="10">
        <v>0</v>
      </c>
      <c r="L14" s="10">
        <v>40687001.016609997</v>
      </c>
      <c r="M14" s="10">
        <v>67224436.714379996</v>
      </c>
      <c r="N14" s="10">
        <v>16.522337606136791</v>
      </c>
    </row>
    <row r="15" spans="1:14" x14ac:dyDescent="0.2">
      <c r="A15" s="12"/>
      <c r="B15" s="11" t="s">
        <v>48</v>
      </c>
      <c r="C15" s="10">
        <v>53544.201999999997</v>
      </c>
      <c r="D15" s="10">
        <v>53544.201999999997</v>
      </c>
      <c r="E15" s="10">
        <v>25687835.205370001</v>
      </c>
      <c r="F15" s="10">
        <v>0</v>
      </c>
      <c r="G15" s="10">
        <v>25687835.205370001</v>
      </c>
      <c r="H15" s="10">
        <v>0</v>
      </c>
      <c r="I15" s="10">
        <v>0.21956525414273609</v>
      </c>
      <c r="J15" s="10">
        <v>6427010.9041900001</v>
      </c>
      <c r="K15" s="10">
        <v>0</v>
      </c>
      <c r="L15" s="10">
        <v>0</v>
      </c>
      <c r="M15" s="10">
        <v>101129506.45635</v>
      </c>
      <c r="N15" s="10">
        <v>3.9368637188656859</v>
      </c>
    </row>
    <row r="16" spans="1:14" x14ac:dyDescent="0.2">
      <c r="A16" s="12"/>
      <c r="B16" s="11" t="s">
        <v>47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46</v>
      </c>
      <c r="C17" s="10">
        <v>27270.741000000002</v>
      </c>
      <c r="D17" s="10">
        <v>27270.741000000002</v>
      </c>
      <c r="E17" s="10">
        <v>11208062.01072</v>
      </c>
      <c r="F17" s="10">
        <v>0</v>
      </c>
      <c r="G17" s="10">
        <v>11208062.01072</v>
      </c>
      <c r="H17" s="10">
        <v>0</v>
      </c>
      <c r="I17" s="10">
        <v>0.1880971195465499</v>
      </c>
      <c r="J17" s="10">
        <v>3127072.3456999999</v>
      </c>
      <c r="K17" s="10">
        <v>0</v>
      </c>
      <c r="L17" s="10">
        <v>0</v>
      </c>
      <c r="M17" s="10">
        <v>41238738.508610003</v>
      </c>
      <c r="N17" s="10">
        <v>3.67938172242367</v>
      </c>
    </row>
    <row r="18" spans="1:14" x14ac:dyDescent="0.2">
      <c r="A18" s="12"/>
      <c r="B18" s="11" t="s">
        <v>45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44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43</v>
      </c>
      <c r="C20" s="10">
        <v>40470.421999999999</v>
      </c>
      <c r="D20" s="10">
        <v>40470.421999999999</v>
      </c>
      <c r="E20" s="10">
        <v>13087739.604499999</v>
      </c>
      <c r="F20" s="10">
        <v>0</v>
      </c>
      <c r="G20" s="10">
        <v>13087739.604499999</v>
      </c>
      <c r="H20" s="10">
        <v>0</v>
      </c>
      <c r="I20" s="10">
        <v>0.1480046879669305</v>
      </c>
      <c r="J20" s="10">
        <v>1477801.8547199999</v>
      </c>
      <c r="K20" s="10">
        <v>0</v>
      </c>
      <c r="L20" s="10">
        <v>0</v>
      </c>
      <c r="M20" s="10">
        <v>90020751.443770006</v>
      </c>
      <c r="N20" s="10">
        <v>6.878250492989582</v>
      </c>
    </row>
    <row r="21" spans="1:14" x14ac:dyDescent="0.2">
      <c r="A21" s="12"/>
      <c r="B21" s="11" t="s">
        <v>42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41</v>
      </c>
      <c r="B22" s="11" t="s">
        <v>40</v>
      </c>
      <c r="C22" s="10">
        <v>230800</v>
      </c>
      <c r="D22" s="10">
        <v>230800</v>
      </c>
      <c r="E22" s="10">
        <v>30658298.973859999</v>
      </c>
      <c r="F22" s="10">
        <v>24525712.2381</v>
      </c>
      <c r="G22" s="10">
        <v>6132586.7357599996</v>
      </c>
      <c r="H22" s="10">
        <v>-6132586.7357599996</v>
      </c>
      <c r="I22" s="10">
        <v>0.1094273846187175</v>
      </c>
      <c r="J22" s="10">
        <v>0</v>
      </c>
      <c r="K22" s="10">
        <v>0</v>
      </c>
      <c r="L22" s="10">
        <v>0</v>
      </c>
      <c r="M22" s="10">
        <v>80995512.953950003</v>
      </c>
      <c r="N22" s="10">
        <v>1.4677351498480351</v>
      </c>
    </row>
    <row r="23" spans="1:14" x14ac:dyDescent="0.2">
      <c r="A23" s="12" t="s">
        <v>39</v>
      </c>
      <c r="B23" s="11" t="s">
        <v>38</v>
      </c>
      <c r="C23" s="10">
        <v>12450</v>
      </c>
      <c r="D23" s="10">
        <v>12450</v>
      </c>
      <c r="E23" s="10">
        <v>9518094.4560000002</v>
      </c>
      <c r="F23" s="10">
        <v>5923396.2059599999</v>
      </c>
      <c r="G23" s="10">
        <v>3594698.2500499999</v>
      </c>
      <c r="H23" s="10">
        <v>-3594698.2500499999</v>
      </c>
      <c r="I23" s="10">
        <v>0.5676340385542169</v>
      </c>
      <c r="J23" s="10">
        <v>30797948.250050001</v>
      </c>
      <c r="K23" s="10">
        <v>0</v>
      </c>
      <c r="L23" s="10">
        <v>0</v>
      </c>
      <c r="M23" s="10">
        <v>69172216.125689998</v>
      </c>
      <c r="N23" s="10">
        <v>4.4796333241337303</v>
      </c>
    </row>
    <row r="24" spans="1:14" x14ac:dyDescent="0.2">
      <c r="A24" s="12"/>
      <c r="B24" s="11" t="s">
        <v>75</v>
      </c>
      <c r="C24" s="10">
        <v>20000000</v>
      </c>
      <c r="D24" s="10">
        <v>20000000</v>
      </c>
      <c r="E24" s="10">
        <v>0</v>
      </c>
      <c r="F24" s="10">
        <v>438146.86573999998</v>
      </c>
      <c r="G24" s="10">
        <v>-438146.86573999998</v>
      </c>
      <c r="H24" s="10">
        <v>0</v>
      </c>
      <c r="I24" s="10">
        <v>1.0026243999999999E-5</v>
      </c>
      <c r="J24" s="10">
        <v>43699561853.134262</v>
      </c>
      <c r="K24" s="10">
        <v>0</v>
      </c>
      <c r="L24" s="10">
        <v>4.3814700000000002</v>
      </c>
      <c r="M24" s="10">
        <v>-2842295.66402</v>
      </c>
      <c r="N24" s="10">
        <v>-6.4870843458427698</v>
      </c>
    </row>
    <row r="25" spans="1:14" x14ac:dyDescent="0.2">
      <c r="A25" s="12"/>
      <c r="B25" s="11" t="s">
        <v>37</v>
      </c>
      <c r="C25" s="10">
        <v>3653.0947500000002</v>
      </c>
      <c r="D25" s="10">
        <v>3653.0947500000002</v>
      </c>
      <c r="E25" s="10">
        <v>0</v>
      </c>
      <c r="F25" s="10">
        <v>110637.85202000001</v>
      </c>
      <c r="G25" s="10">
        <v>-110637.85202000001</v>
      </c>
      <c r="H25" s="10">
        <v>0</v>
      </c>
      <c r="I25" s="10">
        <v>1.3860896983304361E-2</v>
      </c>
      <c r="J25" s="10">
        <v>7871374.1866199998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36</v>
      </c>
      <c r="C26" s="10">
        <v>278.38099999999997</v>
      </c>
      <c r="D26" s="10">
        <v>278.38099999999997</v>
      </c>
      <c r="E26" s="10">
        <v>0</v>
      </c>
      <c r="F26" s="10">
        <v>74920.996100000004</v>
      </c>
      <c r="G26" s="10">
        <v>-74920.996100000004</v>
      </c>
      <c r="H26" s="10">
        <v>0</v>
      </c>
      <c r="I26" s="10">
        <v>0.1231721633301123</v>
      </c>
      <c r="J26" s="10">
        <v>533341.4889</v>
      </c>
      <c r="K26" s="10">
        <v>0</v>
      </c>
      <c r="L26" s="10">
        <v>374604.98051000002</v>
      </c>
      <c r="M26" s="10">
        <v>0</v>
      </c>
    </row>
    <row r="27" spans="1:14" x14ac:dyDescent="0.2">
      <c r="A27" s="12" t="s">
        <v>35</v>
      </c>
      <c r="B27" s="11" t="s">
        <v>34</v>
      </c>
      <c r="C27" s="10">
        <v>0</v>
      </c>
      <c r="D27" s="10">
        <v>0</v>
      </c>
      <c r="E27" s="10">
        <v>0</v>
      </c>
      <c r="F27" s="10">
        <v>1877552.17087</v>
      </c>
      <c r="G27" s="10">
        <v>-1877552.17087</v>
      </c>
      <c r="H27" s="10">
        <v>0</v>
      </c>
      <c r="J27" s="10">
        <v>0</v>
      </c>
      <c r="K27" s="10">
        <v>0</v>
      </c>
      <c r="L27" s="10">
        <v>0</v>
      </c>
      <c r="M27" s="10">
        <v>-14290380.048730001</v>
      </c>
      <c r="N27" s="10">
        <v>-7.6111760243999118</v>
      </c>
    </row>
    <row r="28" spans="1:14" x14ac:dyDescent="0.2">
      <c r="A28" s="12"/>
      <c r="B28" s="11" t="s">
        <v>33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-406808390.60277998</v>
      </c>
      <c r="N28" s="10">
        <v>-7.7964999170961189</v>
      </c>
    </row>
    <row r="29" spans="1:14" x14ac:dyDescent="0.2">
      <c r="A29" s="12" t="s">
        <v>32</v>
      </c>
      <c r="B29" s="11" t="s">
        <v>31</v>
      </c>
      <c r="C29" s="10">
        <v>26471.973000000002</v>
      </c>
      <c r="D29" s="10">
        <v>26471.973000000002</v>
      </c>
      <c r="E29" s="10">
        <v>2543991.5146400002</v>
      </c>
      <c r="F29" s="10">
        <v>5956156.0439400002</v>
      </c>
      <c r="G29" s="10">
        <v>-3412164.5293000001</v>
      </c>
      <c r="H29" s="10">
        <v>0</v>
      </c>
      <c r="I29" s="10">
        <v>0.1469564705282829</v>
      </c>
      <c r="J29" s="10">
        <v>61253425.534299999</v>
      </c>
      <c r="K29" s="10">
        <v>0</v>
      </c>
      <c r="L29" s="10">
        <v>0</v>
      </c>
      <c r="M29" s="10">
        <v>16018091.29479</v>
      </c>
      <c r="N29" s="10">
        <v>1.8844486126894391</v>
      </c>
    </row>
    <row r="30" spans="1:14" x14ac:dyDescent="0.2">
      <c r="A30" s="12"/>
      <c r="B30" s="11" t="s">
        <v>30</v>
      </c>
      <c r="C30" s="10">
        <v>857.70799999999997</v>
      </c>
      <c r="D30" s="10">
        <v>857.70799999999997</v>
      </c>
      <c r="E30" s="10">
        <v>133441.31690999999</v>
      </c>
      <c r="F30" s="10">
        <v>262989.12443999999</v>
      </c>
      <c r="G30" s="10">
        <v>-129547.80753000001</v>
      </c>
      <c r="H30" s="10">
        <v>0</v>
      </c>
      <c r="I30" s="10">
        <v>0.21153201322594639</v>
      </c>
      <c r="J30" s="10">
        <v>2003639.7875300001</v>
      </c>
      <c r="K30" s="10">
        <v>0</v>
      </c>
      <c r="L30" s="10">
        <v>0</v>
      </c>
      <c r="M30" s="10">
        <v>525438.12636999995</v>
      </c>
      <c r="N30" s="10">
        <v>1.325423256116455</v>
      </c>
    </row>
    <row r="31" spans="1:14" x14ac:dyDescent="0.2">
      <c r="A31" s="12"/>
      <c r="B31" s="11" t="s">
        <v>29</v>
      </c>
      <c r="C31" s="10">
        <v>457.99400000000003</v>
      </c>
      <c r="D31" s="10">
        <v>457.99400000000003</v>
      </c>
      <c r="E31" s="10">
        <v>31698.29896</v>
      </c>
      <c r="F31" s="10">
        <v>253656.54762999999</v>
      </c>
      <c r="G31" s="10">
        <v>-221958.24867999999</v>
      </c>
      <c r="H31" s="10">
        <v>0</v>
      </c>
      <c r="I31" s="10">
        <v>0.28515041681768749</v>
      </c>
      <c r="J31" s="10">
        <v>1222675.1386800001</v>
      </c>
      <c r="K31" s="10">
        <v>0</v>
      </c>
      <c r="L31" s="10">
        <v>0</v>
      </c>
      <c r="M31" s="10">
        <v>532562.45028999995</v>
      </c>
      <c r="N31" s="10">
        <v>1.866316562118723</v>
      </c>
    </row>
    <row r="32" spans="1:14" x14ac:dyDescent="0.2">
      <c r="A32" s="12"/>
      <c r="B32" s="11" t="s">
        <v>28</v>
      </c>
      <c r="C32" s="10">
        <v>5300</v>
      </c>
      <c r="D32" s="10">
        <v>5300</v>
      </c>
      <c r="E32" s="10">
        <v>823885.70741000003</v>
      </c>
      <c r="F32" s="10">
        <v>2224638.30106</v>
      </c>
      <c r="G32" s="10">
        <v>-1400752.5936499999</v>
      </c>
      <c r="H32" s="10">
        <v>0</v>
      </c>
      <c r="I32" s="10">
        <v>0.26324632075471699</v>
      </c>
      <c r="J32" s="10">
        <v>12981252.59365</v>
      </c>
      <c r="K32" s="10">
        <v>0</v>
      </c>
      <c r="L32" s="10">
        <v>0</v>
      </c>
      <c r="M32" s="10">
        <v>9918967.3036599997</v>
      </c>
      <c r="N32" s="10">
        <v>3.2536949861507858</v>
      </c>
    </row>
    <row r="33" spans="1:13" x14ac:dyDescent="0.2">
      <c r="A33" s="12" t="s">
        <v>27</v>
      </c>
      <c r="B33" s="11" t="s">
        <v>75</v>
      </c>
      <c r="C33" s="10">
        <v>10000000</v>
      </c>
      <c r="D33" s="10">
        <v>10000000</v>
      </c>
      <c r="E33" s="10">
        <v>219073.43286999999</v>
      </c>
      <c r="F33" s="10">
        <v>219073.43286999999</v>
      </c>
      <c r="G33" s="10">
        <v>0</v>
      </c>
      <c r="H33" s="10">
        <v>0</v>
      </c>
      <c r="I33" s="10">
        <v>0.99961925260200002</v>
      </c>
      <c r="J33" s="10">
        <v>0</v>
      </c>
      <c r="K33" s="10">
        <v>0</v>
      </c>
      <c r="L33" s="10">
        <v>0</v>
      </c>
      <c r="M33" s="10">
        <v>0</v>
      </c>
    </row>
    <row r="34" spans="1:13" x14ac:dyDescent="0.2">
      <c r="A34" s="12"/>
      <c r="B34" s="11" t="s">
        <v>26</v>
      </c>
      <c r="C34" s="10">
        <v>46768.008000000002</v>
      </c>
      <c r="D34" s="10">
        <v>46768.008000000002</v>
      </c>
      <c r="E34" s="10">
        <v>73990.146559999994</v>
      </c>
      <c r="F34" s="10">
        <v>76515.646869999997</v>
      </c>
      <c r="G34" s="10">
        <v>-2525.5003099999999</v>
      </c>
      <c r="H34" s="10">
        <v>0</v>
      </c>
      <c r="I34" s="10">
        <v>0.24714231617476631</v>
      </c>
      <c r="J34" s="10">
        <v>0</v>
      </c>
      <c r="K34" s="10">
        <v>0</v>
      </c>
      <c r="L34" s="10">
        <v>0</v>
      </c>
      <c r="M34" s="10">
        <v>0</v>
      </c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9560-5567-A244-8BF9-67DB9C05F398}">
  <dimension ref="A1:N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x14ac:dyDescent="0.2">
      <c r="A2" s="12" t="s">
        <v>62</v>
      </c>
      <c r="B2" s="11" t="s">
        <v>61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60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59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58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57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56</v>
      </c>
      <c r="C7" s="10">
        <v>13695</v>
      </c>
      <c r="D7" s="10">
        <v>13695</v>
      </c>
      <c r="E7" s="10">
        <v>3562668.7595199998</v>
      </c>
      <c r="F7" s="10">
        <v>0</v>
      </c>
      <c r="G7" s="10">
        <v>3562668.7595199998</v>
      </c>
      <c r="H7" s="10">
        <v>0</v>
      </c>
      <c r="I7" s="10">
        <v>0.1190589280759401</v>
      </c>
      <c r="J7" s="10">
        <v>26360906.240479998</v>
      </c>
      <c r="K7" s="10">
        <v>0</v>
      </c>
      <c r="L7" s="10">
        <v>40764969.584990002</v>
      </c>
      <c r="M7" s="10">
        <v>40764969.584990002</v>
      </c>
      <c r="N7" s="10">
        <v>11.442256433043649</v>
      </c>
    </row>
    <row r="8" spans="1:14" x14ac:dyDescent="0.2">
      <c r="A8" s="12"/>
      <c r="B8" s="11" t="s">
        <v>55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54</v>
      </c>
      <c r="C9" s="10">
        <v>11</v>
      </c>
      <c r="D9" s="10">
        <v>11</v>
      </c>
      <c r="E9" s="10">
        <v>4649.7430000000004</v>
      </c>
      <c r="F9" s="10">
        <v>0</v>
      </c>
      <c r="G9" s="10">
        <v>4649.7430000000004</v>
      </c>
      <c r="H9" s="10">
        <v>0</v>
      </c>
      <c r="I9" s="10">
        <v>0.1934572727272727</v>
      </c>
      <c r="J9" s="10">
        <v>19385.257000000001</v>
      </c>
      <c r="K9" s="10">
        <v>0</v>
      </c>
      <c r="L9" s="10">
        <v>57935.797780000001</v>
      </c>
      <c r="M9" s="10">
        <v>99116.420199999993</v>
      </c>
      <c r="N9" s="10">
        <v>21.316527492563541</v>
      </c>
    </row>
    <row r="10" spans="1:14" x14ac:dyDescent="0.2">
      <c r="A10" s="12"/>
      <c r="B10" s="11" t="s">
        <v>53</v>
      </c>
      <c r="C10" s="10">
        <v>834.51107000000002</v>
      </c>
      <c r="D10" s="10">
        <v>834.51107000000002</v>
      </c>
      <c r="E10" s="10">
        <v>1244.80276</v>
      </c>
      <c r="F10" s="10">
        <v>0</v>
      </c>
      <c r="G10" s="10">
        <v>1244.80276</v>
      </c>
      <c r="H10" s="10">
        <v>0</v>
      </c>
      <c r="I10" s="10">
        <v>6.8267518608231285E-4</v>
      </c>
      <c r="J10" s="10">
        <v>1822161.87687</v>
      </c>
      <c r="K10" s="10">
        <v>0</v>
      </c>
      <c r="L10" s="10">
        <v>67219.349140000006</v>
      </c>
      <c r="M10" s="10">
        <v>67397.195359999998</v>
      </c>
      <c r="N10" s="10">
        <v>54.143233280674053</v>
      </c>
    </row>
    <row r="11" spans="1:14" x14ac:dyDescent="0.2">
      <c r="A11" s="12"/>
      <c r="B11" s="11" t="s">
        <v>52</v>
      </c>
      <c r="C11" s="10">
        <v>1897.296</v>
      </c>
      <c r="D11" s="10">
        <v>1897.296</v>
      </c>
      <c r="E11" s="10">
        <v>1399952.8858</v>
      </c>
      <c r="F11" s="10">
        <v>0</v>
      </c>
      <c r="G11" s="10">
        <v>1399952.8858</v>
      </c>
      <c r="H11" s="10">
        <v>0</v>
      </c>
      <c r="I11" s="10">
        <v>0.337696753695786</v>
      </c>
      <c r="J11" s="10">
        <v>258283.81820000001</v>
      </c>
      <c r="K11" s="10">
        <v>0</v>
      </c>
      <c r="L11" s="10">
        <v>0</v>
      </c>
      <c r="M11" s="10">
        <v>9323878.4119399991</v>
      </c>
      <c r="N11" s="10">
        <v>6.6601373131430446</v>
      </c>
    </row>
    <row r="12" spans="1:14" x14ac:dyDescent="0.2">
      <c r="A12" s="12"/>
      <c r="B12" s="11" t="s">
        <v>51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50</v>
      </c>
      <c r="C13" s="10">
        <v>254.358</v>
      </c>
      <c r="D13" s="10">
        <v>254.358</v>
      </c>
      <c r="E13" s="10">
        <v>234573.43875999999</v>
      </c>
      <c r="F13" s="10">
        <v>0</v>
      </c>
      <c r="G13" s="10">
        <v>234573.43875999999</v>
      </c>
      <c r="H13" s="10">
        <v>0</v>
      </c>
      <c r="I13" s="10">
        <v>0.42206755832330811</v>
      </c>
      <c r="J13" s="10">
        <v>39196.112050000003</v>
      </c>
      <c r="K13" s="10">
        <v>0</v>
      </c>
      <c r="L13" s="10">
        <v>0</v>
      </c>
      <c r="M13" s="10">
        <v>1988044.6643399999</v>
      </c>
      <c r="N13" s="10">
        <v>8.4751486312954647</v>
      </c>
    </row>
    <row r="14" spans="1:14" x14ac:dyDescent="0.2">
      <c r="A14" s="12"/>
      <c r="B14" s="11" t="s">
        <v>49</v>
      </c>
      <c r="C14" s="10">
        <v>4570</v>
      </c>
      <c r="D14" s="10">
        <v>4570</v>
      </c>
      <c r="E14" s="10">
        <v>4066822.9020400001</v>
      </c>
      <c r="F14" s="10">
        <v>0</v>
      </c>
      <c r="G14" s="10">
        <v>4066822.9020400001</v>
      </c>
      <c r="H14" s="10">
        <v>0</v>
      </c>
      <c r="I14" s="10">
        <v>0.40727487527352302</v>
      </c>
      <c r="J14" s="10">
        <v>5918627.0979599999</v>
      </c>
      <c r="K14" s="10">
        <v>0</v>
      </c>
      <c r="L14" s="10">
        <v>40668229.020429999</v>
      </c>
      <c r="M14" s="10">
        <v>68113679.869120002</v>
      </c>
      <c r="N14" s="10">
        <v>16.748622076419789</v>
      </c>
    </row>
    <row r="15" spans="1:14" x14ac:dyDescent="0.2">
      <c r="A15" s="12"/>
      <c r="B15" s="11" t="s">
        <v>48</v>
      </c>
      <c r="C15" s="10">
        <v>53544.201999999997</v>
      </c>
      <c r="D15" s="10">
        <v>53544.201999999997</v>
      </c>
      <c r="E15" s="10">
        <v>25595650.96661</v>
      </c>
      <c r="F15" s="10">
        <v>0</v>
      </c>
      <c r="G15" s="10">
        <v>25595650.96661</v>
      </c>
      <c r="H15" s="10">
        <v>0</v>
      </c>
      <c r="I15" s="10">
        <v>0.21877731486221419</v>
      </c>
      <c r="J15" s="10">
        <v>6519195.1429599999</v>
      </c>
      <c r="K15" s="10">
        <v>0</v>
      </c>
      <c r="L15" s="10">
        <v>0</v>
      </c>
      <c r="M15" s="10">
        <v>102264795.22448</v>
      </c>
      <c r="N15" s="10">
        <v>3.9953973161766299</v>
      </c>
    </row>
    <row r="16" spans="1:14" x14ac:dyDescent="0.2">
      <c r="A16" s="12"/>
      <c r="B16" s="11" t="s">
        <v>47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46</v>
      </c>
      <c r="C17" s="10">
        <v>27270.741000000002</v>
      </c>
      <c r="D17" s="10">
        <v>27270.741000000002</v>
      </c>
      <c r="E17" s="10">
        <v>11109584.477220001</v>
      </c>
      <c r="F17" s="10">
        <v>0</v>
      </c>
      <c r="G17" s="10">
        <v>11109584.477220001</v>
      </c>
      <c r="H17" s="10">
        <v>0</v>
      </c>
      <c r="I17" s="10">
        <v>0.18644443948186079</v>
      </c>
      <c r="J17" s="10">
        <v>3225549.8791999999</v>
      </c>
      <c r="K17" s="10">
        <v>0</v>
      </c>
      <c r="L17" s="10">
        <v>0</v>
      </c>
      <c r="M17" s="10">
        <v>41928238.782410003</v>
      </c>
      <c r="N17" s="10">
        <v>3.7740600361568681</v>
      </c>
    </row>
    <row r="18" spans="1:14" x14ac:dyDescent="0.2">
      <c r="A18" s="12"/>
      <c r="B18" s="11" t="s">
        <v>45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44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43</v>
      </c>
      <c r="C20" s="10">
        <v>40470.421999999999</v>
      </c>
      <c r="D20" s="10">
        <v>40470.421999999999</v>
      </c>
      <c r="E20" s="10">
        <v>13008479.695189999</v>
      </c>
      <c r="F20" s="10">
        <v>0</v>
      </c>
      <c r="G20" s="10">
        <v>13008479.695189999</v>
      </c>
      <c r="H20" s="10">
        <v>0</v>
      </c>
      <c r="I20" s="10">
        <v>0.1471083652154653</v>
      </c>
      <c r="J20" s="10">
        <v>1557061.7640199999</v>
      </c>
      <c r="K20" s="10">
        <v>0</v>
      </c>
      <c r="L20" s="10">
        <v>0</v>
      </c>
      <c r="M20" s="10">
        <v>90358874.843349993</v>
      </c>
      <c r="N20" s="10">
        <v>6.9461518125084094</v>
      </c>
    </row>
    <row r="21" spans="1:14" x14ac:dyDescent="0.2">
      <c r="A21" s="12"/>
      <c r="B21" s="11" t="s">
        <v>42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41</v>
      </c>
      <c r="B22" s="11" t="s">
        <v>40</v>
      </c>
      <c r="C22" s="10">
        <v>230800</v>
      </c>
      <c r="D22" s="10">
        <v>230800</v>
      </c>
      <c r="E22" s="10">
        <v>30642658.34011</v>
      </c>
      <c r="F22" s="10">
        <v>24804323.09234</v>
      </c>
      <c r="G22" s="10">
        <v>5838335.2477700002</v>
      </c>
      <c r="H22" s="10">
        <v>-5838335.2477700002</v>
      </c>
      <c r="I22" s="10">
        <v>0.1099488426343154</v>
      </c>
      <c r="J22" s="10">
        <v>0</v>
      </c>
      <c r="K22" s="10">
        <v>0</v>
      </c>
      <c r="L22" s="10">
        <v>0</v>
      </c>
      <c r="M22" s="10">
        <v>79910666.905369997</v>
      </c>
      <c r="N22" s="10">
        <v>1.4412086073330641</v>
      </c>
    </row>
    <row r="23" spans="1:14" x14ac:dyDescent="0.2">
      <c r="A23" s="12" t="s">
        <v>39</v>
      </c>
      <c r="B23" s="11" t="s">
        <v>38</v>
      </c>
      <c r="C23" s="10">
        <v>12450</v>
      </c>
      <c r="D23" s="10">
        <v>12450</v>
      </c>
      <c r="E23" s="10">
        <v>9579504.64549</v>
      </c>
      <c r="F23" s="10">
        <v>5925485.40496</v>
      </c>
      <c r="G23" s="10">
        <v>3654019.2405300001</v>
      </c>
      <c r="H23" s="10">
        <v>-3654019.2405300001</v>
      </c>
      <c r="I23" s="10">
        <v>0.56996829638554225</v>
      </c>
      <c r="J23" s="10">
        <v>30857269.240529999</v>
      </c>
      <c r="K23" s="10">
        <v>0</v>
      </c>
      <c r="L23" s="10">
        <v>0</v>
      </c>
      <c r="M23" s="10">
        <v>70847107.155619994</v>
      </c>
      <c r="N23" s="10">
        <v>4.5693100658600851</v>
      </c>
    </row>
    <row r="24" spans="1:14" x14ac:dyDescent="0.2">
      <c r="A24" s="12"/>
      <c r="B24" s="11" t="s">
        <v>37</v>
      </c>
      <c r="C24" s="10">
        <v>3653.0947500000002</v>
      </c>
      <c r="D24" s="10">
        <v>3653.0947500000002</v>
      </c>
      <c r="E24" s="10">
        <v>0</v>
      </c>
      <c r="F24" s="10">
        <v>131419.38618999999</v>
      </c>
      <c r="G24" s="10">
        <v>-131419.38618999999</v>
      </c>
      <c r="H24" s="10">
        <v>0</v>
      </c>
      <c r="I24" s="10">
        <v>1.6464442921991E-2</v>
      </c>
      <c r="J24" s="10">
        <v>7850592.6524499999</v>
      </c>
      <c r="K24" s="10">
        <v>0</v>
      </c>
      <c r="L24" s="10">
        <v>0</v>
      </c>
      <c r="M24" s="10">
        <v>0</v>
      </c>
    </row>
    <row r="25" spans="1:14" x14ac:dyDescent="0.2">
      <c r="A25" s="12"/>
      <c r="B25" s="11" t="s">
        <v>36</v>
      </c>
      <c r="C25" s="10">
        <v>278.38099999999997</v>
      </c>
      <c r="D25" s="10">
        <v>278.38099999999997</v>
      </c>
      <c r="E25" s="10">
        <v>0</v>
      </c>
      <c r="F25" s="10">
        <v>84363.381299999994</v>
      </c>
      <c r="G25" s="10">
        <v>-84363.381299999994</v>
      </c>
      <c r="H25" s="10">
        <v>0</v>
      </c>
      <c r="I25" s="10">
        <v>0.13869567247764761</v>
      </c>
      <c r="J25" s="10">
        <v>523899.10369999998</v>
      </c>
      <c r="K25" s="10">
        <v>0</v>
      </c>
      <c r="L25" s="10">
        <v>421816.90652000002</v>
      </c>
      <c r="M25" s="10">
        <v>0</v>
      </c>
    </row>
    <row r="26" spans="1:14" x14ac:dyDescent="0.2">
      <c r="A26" s="12"/>
      <c r="B26" s="11" t="s">
        <v>76</v>
      </c>
      <c r="C26" s="10">
        <v>90000000</v>
      </c>
      <c r="D26" s="10">
        <v>90000000</v>
      </c>
      <c r="E26" s="10">
        <v>0</v>
      </c>
      <c r="F26" s="10">
        <v>27977.079140000002</v>
      </c>
      <c r="G26" s="10">
        <v>-27977.079140000002</v>
      </c>
      <c r="H26" s="10">
        <v>27977.079140000002</v>
      </c>
      <c r="I26" s="10">
        <v>1.4226844444444439E-7</v>
      </c>
      <c r="J26" s="10">
        <v>196649972022.9209</v>
      </c>
      <c r="K26" s="10">
        <v>0</v>
      </c>
      <c r="L26" s="10">
        <v>0.27977000000000002</v>
      </c>
      <c r="M26" s="10">
        <v>-110868.46739000001</v>
      </c>
      <c r="N26" s="10">
        <v>-3.9628308299802568</v>
      </c>
    </row>
    <row r="27" spans="1:14" x14ac:dyDescent="0.2">
      <c r="A27" s="12" t="s">
        <v>35</v>
      </c>
      <c r="B27" s="11" t="s">
        <v>34</v>
      </c>
      <c r="C27" s="10">
        <v>0</v>
      </c>
      <c r="D27" s="10">
        <v>0</v>
      </c>
      <c r="E27" s="10">
        <v>0</v>
      </c>
      <c r="F27" s="10">
        <v>1877552.17087</v>
      </c>
      <c r="G27" s="10">
        <v>-1877552.17087</v>
      </c>
      <c r="H27" s="10">
        <v>0</v>
      </c>
      <c r="J27" s="10">
        <v>0</v>
      </c>
      <c r="K27" s="10">
        <v>0</v>
      </c>
      <c r="L27" s="10">
        <v>0</v>
      </c>
      <c r="M27" s="10">
        <v>-14462047.7523</v>
      </c>
      <c r="N27" s="10">
        <v>-7.7026076863475952</v>
      </c>
    </row>
    <row r="28" spans="1:14" x14ac:dyDescent="0.2">
      <c r="A28" s="12"/>
      <c r="B28" s="11" t="s">
        <v>33</v>
      </c>
      <c r="C28" s="10">
        <v>0</v>
      </c>
      <c r="D28" s="10">
        <v>0</v>
      </c>
      <c r="E28" s="10">
        <v>0</v>
      </c>
      <c r="F28" s="10">
        <v>52178335.791649997</v>
      </c>
      <c r="G28" s="10">
        <v>-52178335.791649997</v>
      </c>
      <c r="H28" s="10">
        <v>0</v>
      </c>
      <c r="J28" s="10">
        <v>0</v>
      </c>
      <c r="K28" s="10">
        <v>0</v>
      </c>
      <c r="L28" s="10">
        <v>0</v>
      </c>
      <c r="M28" s="10">
        <v>-411534447.97636002</v>
      </c>
      <c r="N28" s="10">
        <v>-7.8870750054580352</v>
      </c>
    </row>
    <row r="29" spans="1:14" x14ac:dyDescent="0.2">
      <c r="A29" s="12" t="s">
        <v>32</v>
      </c>
      <c r="B29" s="11" t="s">
        <v>31</v>
      </c>
      <c r="C29" s="10">
        <v>26471.973000000002</v>
      </c>
      <c r="D29" s="10">
        <v>26471.973000000002</v>
      </c>
      <c r="E29" s="10">
        <v>3285931.1870400002</v>
      </c>
      <c r="F29" s="10">
        <v>6555503.0433400003</v>
      </c>
      <c r="G29" s="10">
        <v>-3269571.85629</v>
      </c>
      <c r="H29" s="10">
        <v>0</v>
      </c>
      <c r="I29" s="10">
        <v>0.17014556829594829</v>
      </c>
      <c r="J29" s="10">
        <v>61110832.86129</v>
      </c>
      <c r="K29" s="10">
        <v>0</v>
      </c>
      <c r="L29" s="10">
        <v>0</v>
      </c>
      <c r="M29" s="10">
        <v>16707272.51321</v>
      </c>
      <c r="N29" s="10">
        <v>1.697646109288931</v>
      </c>
    </row>
    <row r="30" spans="1:14" x14ac:dyDescent="0.2">
      <c r="A30" s="12"/>
      <c r="B30" s="11" t="s">
        <v>30</v>
      </c>
      <c r="C30" s="10">
        <v>857.70799999999997</v>
      </c>
      <c r="D30" s="10">
        <v>857.70799999999997</v>
      </c>
      <c r="E30" s="10">
        <v>173366.12409999999</v>
      </c>
      <c r="F30" s="10">
        <v>295475.10246000002</v>
      </c>
      <c r="G30" s="10">
        <v>-122108.97835999999</v>
      </c>
      <c r="H30" s="10">
        <v>0</v>
      </c>
      <c r="I30" s="10">
        <v>0.25016980137762501</v>
      </c>
      <c r="J30" s="10">
        <v>1996200.95836</v>
      </c>
      <c r="K30" s="10">
        <v>0</v>
      </c>
      <c r="L30" s="10">
        <v>0</v>
      </c>
      <c r="M30" s="10">
        <v>547942.40436000004</v>
      </c>
      <c r="N30" s="10">
        <v>1.1687163843442481</v>
      </c>
    </row>
    <row r="31" spans="1:14" x14ac:dyDescent="0.2">
      <c r="A31" s="12"/>
      <c r="B31" s="11" t="s">
        <v>29</v>
      </c>
      <c r="C31" s="10">
        <v>457.99400000000003</v>
      </c>
      <c r="D31" s="10">
        <v>457.99400000000003</v>
      </c>
      <c r="E31" s="10">
        <v>31575.837920000002</v>
      </c>
      <c r="F31" s="10">
        <v>246365.54264999999</v>
      </c>
      <c r="G31" s="10">
        <v>-214789.70473</v>
      </c>
      <c r="H31" s="10">
        <v>0</v>
      </c>
      <c r="I31" s="10">
        <v>0.27774226299907862</v>
      </c>
      <c r="J31" s="10">
        <v>1215506.59473</v>
      </c>
      <c r="K31" s="10">
        <v>0</v>
      </c>
      <c r="L31" s="10">
        <v>0</v>
      </c>
      <c r="M31" s="10">
        <v>550682.26014000003</v>
      </c>
      <c r="N31" s="10">
        <v>1.98128923167607</v>
      </c>
    </row>
    <row r="32" spans="1:14" x14ac:dyDescent="0.2">
      <c r="A32" s="12"/>
      <c r="B32" s="11" t="s">
        <v>28</v>
      </c>
      <c r="C32" s="10">
        <v>5300</v>
      </c>
      <c r="D32" s="10">
        <v>5300</v>
      </c>
      <c r="E32" s="10">
        <v>972198.25274999999</v>
      </c>
      <c r="F32" s="10">
        <v>2295580.2072600001</v>
      </c>
      <c r="G32" s="10">
        <v>-1323381.9545100001</v>
      </c>
      <c r="H32" s="10">
        <v>0</v>
      </c>
      <c r="I32" s="10">
        <v>0.28217939245283019</v>
      </c>
      <c r="J32" s="10">
        <v>12903881.95451</v>
      </c>
      <c r="K32" s="10">
        <v>0</v>
      </c>
      <c r="L32" s="10">
        <v>0</v>
      </c>
      <c r="M32" s="10">
        <v>10398994.38503</v>
      </c>
      <c r="N32" s="10">
        <v>3.182282556798238</v>
      </c>
    </row>
    <row r="33" spans="1:13" x14ac:dyDescent="0.2">
      <c r="A33" s="11" t="s">
        <v>27</v>
      </c>
      <c r="B33" s="11" t="s">
        <v>26</v>
      </c>
      <c r="C33" s="10">
        <v>46768.008000000002</v>
      </c>
      <c r="D33" s="10">
        <v>46768.008000000002</v>
      </c>
      <c r="E33" s="10">
        <v>83010.474549999999</v>
      </c>
      <c r="F33" s="10">
        <v>90640.663579999993</v>
      </c>
      <c r="G33" s="10">
        <v>-7630.1890299999995</v>
      </c>
      <c r="H33" s="10">
        <v>0</v>
      </c>
      <c r="I33" s="10">
        <v>0.74668079897694162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8063-90BA-6748-BE7A-99BA88B74C21}">
  <dimension ref="A1:N35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4" x14ac:dyDescent="0.2"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  <c r="N1" s="11" t="s">
        <v>63</v>
      </c>
    </row>
    <row r="2" spans="1:14" x14ac:dyDescent="0.2">
      <c r="A2" s="12" t="s">
        <v>62</v>
      </c>
      <c r="B2" s="11" t="s">
        <v>61</v>
      </c>
      <c r="C2" s="10">
        <v>372.43929000000003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813779.84346</v>
      </c>
      <c r="K2" s="10">
        <v>0</v>
      </c>
      <c r="L2" s="10">
        <v>0</v>
      </c>
      <c r="M2" s="10">
        <v>0</v>
      </c>
    </row>
    <row r="3" spans="1:14" x14ac:dyDescent="0.2">
      <c r="A3" s="12"/>
      <c r="B3" s="11" t="s">
        <v>60</v>
      </c>
      <c r="C3" s="10">
        <v>1642.8915400000001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3589718.0135300001</v>
      </c>
      <c r="K3" s="10">
        <v>0</v>
      </c>
      <c r="L3" s="10">
        <v>0</v>
      </c>
      <c r="M3" s="10">
        <v>0</v>
      </c>
    </row>
    <row r="4" spans="1:14" x14ac:dyDescent="0.2">
      <c r="A4" s="12"/>
      <c r="B4" s="11" t="s">
        <v>59</v>
      </c>
      <c r="C4" s="10">
        <v>9185.8067100000007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20070987.666540001</v>
      </c>
      <c r="K4" s="10">
        <v>0</v>
      </c>
      <c r="L4" s="10">
        <v>0</v>
      </c>
      <c r="M4" s="10">
        <v>0</v>
      </c>
    </row>
    <row r="5" spans="1:14" x14ac:dyDescent="0.2">
      <c r="A5" s="12"/>
      <c r="B5" s="11" t="s">
        <v>58</v>
      </c>
      <c r="C5" s="10">
        <v>23586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51535410</v>
      </c>
      <c r="K5" s="10">
        <v>0</v>
      </c>
      <c r="L5" s="10">
        <v>0</v>
      </c>
      <c r="M5" s="10">
        <v>0</v>
      </c>
    </row>
    <row r="6" spans="1:14" x14ac:dyDescent="0.2">
      <c r="A6" s="12"/>
      <c r="B6" s="11" t="s">
        <v>57</v>
      </c>
      <c r="C6" s="10">
        <v>3534.0360000000001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7721868.6600000001</v>
      </c>
      <c r="K6" s="10">
        <v>0</v>
      </c>
      <c r="L6" s="10">
        <v>0</v>
      </c>
      <c r="M6" s="10">
        <v>0</v>
      </c>
    </row>
    <row r="7" spans="1:14" x14ac:dyDescent="0.2">
      <c r="A7" s="12"/>
      <c r="B7" s="11" t="s">
        <v>56</v>
      </c>
      <c r="C7" s="10">
        <v>13695</v>
      </c>
      <c r="D7" s="10">
        <v>13695</v>
      </c>
      <c r="E7" s="10">
        <v>3386719.7980200001</v>
      </c>
      <c r="F7" s="10">
        <v>0</v>
      </c>
      <c r="G7" s="10">
        <v>3386719.7980200001</v>
      </c>
      <c r="H7" s="10">
        <v>0</v>
      </c>
      <c r="I7" s="10">
        <v>0.11317898357064619</v>
      </c>
      <c r="J7" s="10">
        <v>26536855.201979998</v>
      </c>
      <c r="K7" s="10">
        <v>0</v>
      </c>
      <c r="L7" s="10">
        <v>37139054.26681</v>
      </c>
      <c r="M7" s="10">
        <v>37139054.26681</v>
      </c>
      <c r="N7" s="10">
        <v>10.96608412340812</v>
      </c>
    </row>
    <row r="8" spans="1:14" x14ac:dyDescent="0.2">
      <c r="A8" s="12"/>
      <c r="B8" s="11" t="s">
        <v>55</v>
      </c>
      <c r="C8" s="10">
        <v>4067.2939999999999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8887037.3900000006</v>
      </c>
      <c r="K8" s="10">
        <v>0</v>
      </c>
      <c r="L8" s="10">
        <v>0</v>
      </c>
      <c r="M8" s="10">
        <v>0</v>
      </c>
    </row>
    <row r="9" spans="1:14" x14ac:dyDescent="0.2">
      <c r="A9" s="12"/>
      <c r="B9" s="11" t="s">
        <v>54</v>
      </c>
      <c r="C9" s="10">
        <v>11</v>
      </c>
      <c r="D9" s="10">
        <v>11</v>
      </c>
      <c r="E9" s="10">
        <v>4225.1469999999999</v>
      </c>
      <c r="F9" s="10">
        <v>0</v>
      </c>
      <c r="G9" s="10">
        <v>4225.1469999999999</v>
      </c>
      <c r="H9" s="10">
        <v>0</v>
      </c>
      <c r="I9" s="10">
        <v>0.17579181818181819</v>
      </c>
      <c r="J9" s="10">
        <v>19809.852999999999</v>
      </c>
      <c r="K9" s="10">
        <v>0</v>
      </c>
      <c r="L9" s="10">
        <v>52645.331619999997</v>
      </c>
      <c r="M9" s="10">
        <v>89958.387040000001</v>
      </c>
      <c r="N9" s="10">
        <v>21.291139829653879</v>
      </c>
    </row>
    <row r="10" spans="1:14" x14ac:dyDescent="0.2">
      <c r="A10" s="12"/>
      <c r="B10" s="11" t="s">
        <v>53</v>
      </c>
      <c r="C10" s="10">
        <v>834.51107000000002</v>
      </c>
      <c r="D10" s="10">
        <v>834.51107000000002</v>
      </c>
      <c r="E10" s="10">
        <v>35.582079999999998</v>
      </c>
      <c r="F10" s="10">
        <v>0</v>
      </c>
      <c r="G10" s="10">
        <v>35.582079999999998</v>
      </c>
      <c r="H10" s="10">
        <v>0</v>
      </c>
      <c r="I10" s="10">
        <v>1.9508429049359409E-5</v>
      </c>
      <c r="J10" s="10">
        <v>1823371.0975500001</v>
      </c>
      <c r="K10" s="10">
        <v>0</v>
      </c>
      <c r="L10" s="10">
        <v>1921.43254</v>
      </c>
      <c r="M10" s="10">
        <v>1968.37518</v>
      </c>
      <c r="N10" s="10">
        <v>55.335380835380839</v>
      </c>
    </row>
    <row r="11" spans="1:14" x14ac:dyDescent="0.2">
      <c r="A11" s="12"/>
      <c r="B11" s="11" t="s">
        <v>52</v>
      </c>
      <c r="C11" s="10">
        <v>1897.296</v>
      </c>
      <c r="D11" s="10">
        <v>1897.296</v>
      </c>
      <c r="E11" s="10">
        <v>1402483.44576</v>
      </c>
      <c r="F11" s="10">
        <v>0</v>
      </c>
      <c r="G11" s="10">
        <v>1402483.44576</v>
      </c>
      <c r="H11" s="10">
        <v>0</v>
      </c>
      <c r="I11" s="10">
        <v>0.33830717505333902</v>
      </c>
      <c r="J11" s="10">
        <v>255753.25824</v>
      </c>
      <c r="K11" s="10">
        <v>0</v>
      </c>
      <c r="L11" s="10">
        <v>0</v>
      </c>
      <c r="M11" s="10">
        <v>8915119.6948600002</v>
      </c>
      <c r="N11" s="10">
        <v>6.3566666461536503</v>
      </c>
    </row>
    <row r="12" spans="1:14" x14ac:dyDescent="0.2">
      <c r="A12" s="12"/>
      <c r="B12" s="11" t="s">
        <v>51</v>
      </c>
      <c r="C12" s="10">
        <v>48629.190949999997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52178335.791649997</v>
      </c>
      <c r="K12" s="10">
        <v>0</v>
      </c>
      <c r="L12" s="10">
        <v>0</v>
      </c>
      <c r="M12" s="10">
        <v>0</v>
      </c>
    </row>
    <row r="13" spans="1:14" x14ac:dyDescent="0.2">
      <c r="A13" s="12"/>
      <c r="B13" s="11" t="s">
        <v>50</v>
      </c>
      <c r="C13" s="10">
        <v>254.358</v>
      </c>
      <c r="D13" s="10">
        <v>254.358</v>
      </c>
      <c r="E13" s="10">
        <v>236855.65348000001</v>
      </c>
      <c r="F13" s="10">
        <v>0</v>
      </c>
      <c r="G13" s="10">
        <v>236855.65348000001</v>
      </c>
      <c r="H13" s="10">
        <v>0</v>
      </c>
      <c r="I13" s="10">
        <v>0.42617397526321171</v>
      </c>
      <c r="J13" s="10">
        <v>36913.89733</v>
      </c>
      <c r="K13" s="10">
        <v>0</v>
      </c>
      <c r="L13" s="10">
        <v>0</v>
      </c>
      <c r="M13" s="10">
        <v>1921789.3292100001</v>
      </c>
      <c r="N13" s="10">
        <v>8.1137572282703552</v>
      </c>
    </row>
    <row r="14" spans="1:14" x14ac:dyDescent="0.2">
      <c r="A14" s="12"/>
      <c r="B14" s="11" t="s">
        <v>49</v>
      </c>
      <c r="C14" s="10">
        <v>4570</v>
      </c>
      <c r="D14" s="10">
        <v>4570</v>
      </c>
      <c r="E14" s="10">
        <v>3928975.87738</v>
      </c>
      <c r="F14" s="10">
        <v>0</v>
      </c>
      <c r="G14" s="10">
        <v>3928975.87738</v>
      </c>
      <c r="H14" s="10">
        <v>0</v>
      </c>
      <c r="I14" s="10">
        <v>0.3934700875273523</v>
      </c>
      <c r="J14" s="10">
        <v>6056474.1226199996</v>
      </c>
      <c r="K14" s="10">
        <v>0</v>
      </c>
      <c r="L14" s="10">
        <v>39289758.773790002</v>
      </c>
      <c r="M14" s="10">
        <v>64329788.354460001</v>
      </c>
      <c r="N14" s="10">
        <v>16.373169553537078</v>
      </c>
    </row>
    <row r="15" spans="1:14" x14ac:dyDescent="0.2">
      <c r="A15" s="12"/>
      <c r="B15" s="11" t="s">
        <v>48</v>
      </c>
      <c r="C15" s="10">
        <v>53544.201999999997</v>
      </c>
      <c r="D15" s="10">
        <v>53544.201999999997</v>
      </c>
      <c r="E15" s="10">
        <v>25692376.49199</v>
      </c>
      <c r="F15" s="10">
        <v>0</v>
      </c>
      <c r="G15" s="10">
        <v>25692376.49199</v>
      </c>
      <c r="H15" s="10">
        <v>0</v>
      </c>
      <c r="I15" s="10">
        <v>0.2196040704836725</v>
      </c>
      <c r="J15" s="10">
        <v>6422469.6175699998</v>
      </c>
      <c r="K15" s="10">
        <v>0</v>
      </c>
      <c r="L15" s="10">
        <v>0</v>
      </c>
      <c r="M15" s="10">
        <v>99417501.240260005</v>
      </c>
      <c r="N15" s="10">
        <v>3.8695330997862909</v>
      </c>
    </row>
    <row r="16" spans="1:14" x14ac:dyDescent="0.2">
      <c r="A16" s="12"/>
      <c r="B16" s="11" t="s">
        <v>47</v>
      </c>
      <c r="C16" s="10">
        <v>78.5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171522.5</v>
      </c>
      <c r="K16" s="10">
        <v>0</v>
      </c>
      <c r="L16" s="10">
        <v>0</v>
      </c>
      <c r="M16" s="10">
        <v>0</v>
      </c>
    </row>
    <row r="17" spans="1:14" x14ac:dyDescent="0.2">
      <c r="A17" s="12"/>
      <c r="B17" s="11" t="s">
        <v>46</v>
      </c>
      <c r="C17" s="10">
        <v>27270.741000000002</v>
      </c>
      <c r="D17" s="10">
        <v>27270.741000000002</v>
      </c>
      <c r="E17" s="10">
        <v>11198033.78877</v>
      </c>
      <c r="F17" s="10">
        <v>0</v>
      </c>
      <c r="G17" s="10">
        <v>11198033.78877</v>
      </c>
      <c r="H17" s="10">
        <v>0</v>
      </c>
      <c r="I17" s="10">
        <v>0.18792882305618319</v>
      </c>
      <c r="J17" s="10">
        <v>3137100.5676500001</v>
      </c>
      <c r="K17" s="10">
        <v>0</v>
      </c>
      <c r="L17" s="10">
        <v>0</v>
      </c>
      <c r="M17" s="10">
        <v>40573829.636160001</v>
      </c>
      <c r="N17" s="10">
        <v>3.6232994432231722</v>
      </c>
    </row>
    <row r="18" spans="1:14" x14ac:dyDescent="0.2">
      <c r="A18" s="12"/>
      <c r="B18" s="11" t="s">
        <v>45</v>
      </c>
      <c r="C18" s="10">
        <v>3662.89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8003414.6500000004</v>
      </c>
      <c r="K18" s="10">
        <v>0</v>
      </c>
      <c r="L18" s="10">
        <v>0</v>
      </c>
      <c r="M18" s="10">
        <v>0</v>
      </c>
    </row>
    <row r="19" spans="1:14" x14ac:dyDescent="0.2">
      <c r="A19" s="12"/>
      <c r="B19" s="11" t="s">
        <v>44</v>
      </c>
      <c r="C19" s="10">
        <v>55.819389999999999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121965.37684</v>
      </c>
      <c r="K19" s="10">
        <v>0</v>
      </c>
      <c r="L19" s="10">
        <v>0</v>
      </c>
      <c r="M19" s="10">
        <v>0</v>
      </c>
    </row>
    <row r="20" spans="1:14" x14ac:dyDescent="0.2">
      <c r="A20" s="12"/>
      <c r="B20" s="11" t="s">
        <v>43</v>
      </c>
      <c r="C20" s="10">
        <v>40470.421999999999</v>
      </c>
      <c r="D20" s="10">
        <v>40470.421999999999</v>
      </c>
      <c r="E20" s="10">
        <v>13082412.32257</v>
      </c>
      <c r="F20" s="10">
        <v>0</v>
      </c>
      <c r="G20" s="10">
        <v>13082412.32257</v>
      </c>
      <c r="H20" s="10">
        <v>0</v>
      </c>
      <c r="I20" s="10">
        <v>0.14794444347528671</v>
      </c>
      <c r="J20" s="10">
        <v>1483129.1366399999</v>
      </c>
      <c r="K20" s="10">
        <v>0</v>
      </c>
      <c r="L20" s="10">
        <v>0</v>
      </c>
      <c r="M20" s="10">
        <v>87894330.286190003</v>
      </c>
      <c r="N20" s="10">
        <v>6.7185109393348981</v>
      </c>
    </row>
    <row r="21" spans="1:14" x14ac:dyDescent="0.2">
      <c r="A21" s="12"/>
      <c r="B21" s="11" t="s">
        <v>42</v>
      </c>
      <c r="C21" s="10">
        <v>4643.1779999999999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10145343.93</v>
      </c>
      <c r="K21" s="10">
        <v>0</v>
      </c>
      <c r="L21" s="10">
        <v>0</v>
      </c>
      <c r="M21" s="10">
        <v>0</v>
      </c>
    </row>
    <row r="22" spans="1:14" x14ac:dyDescent="0.2">
      <c r="A22" s="11" t="s">
        <v>41</v>
      </c>
      <c r="B22" s="11" t="s">
        <v>40</v>
      </c>
      <c r="C22" s="10">
        <v>230800</v>
      </c>
      <c r="D22" s="10">
        <v>230800</v>
      </c>
      <c r="E22" s="10">
        <v>30787510.207989998</v>
      </c>
      <c r="F22" s="10">
        <v>24973856.363930002</v>
      </c>
      <c r="G22" s="10">
        <v>5813653.8440699996</v>
      </c>
      <c r="H22" s="10">
        <v>-5813653.8440699996</v>
      </c>
      <c r="I22" s="10">
        <v>0.1105722540294627</v>
      </c>
      <c r="J22" s="10">
        <v>0</v>
      </c>
      <c r="K22" s="10">
        <v>0</v>
      </c>
      <c r="L22" s="10">
        <v>0</v>
      </c>
      <c r="M22" s="10">
        <v>80512959.165150002</v>
      </c>
      <c r="N22" s="10">
        <v>1.443884254024425</v>
      </c>
    </row>
    <row r="23" spans="1:14" x14ac:dyDescent="0.2">
      <c r="A23" s="12" t="s">
        <v>39</v>
      </c>
      <c r="B23" s="11" t="s">
        <v>38</v>
      </c>
      <c r="C23" s="10">
        <v>12450</v>
      </c>
      <c r="D23" s="10">
        <v>12450</v>
      </c>
      <c r="E23" s="10">
        <v>9433503.4118399993</v>
      </c>
      <c r="F23" s="10">
        <v>5959944.6446399996</v>
      </c>
      <c r="G23" s="10">
        <v>3473558.7672000001</v>
      </c>
      <c r="H23" s="10">
        <v>-3473558.7672000001</v>
      </c>
      <c r="I23" s="10">
        <v>0.56586797751004014</v>
      </c>
      <c r="J23" s="10">
        <v>30676808.767200001</v>
      </c>
      <c r="K23" s="10">
        <v>0</v>
      </c>
      <c r="L23" s="10">
        <v>0</v>
      </c>
      <c r="M23" s="10">
        <v>65100600.33467</v>
      </c>
      <c r="N23" s="10">
        <v>4.2291109888529608</v>
      </c>
    </row>
    <row r="24" spans="1:14" x14ac:dyDescent="0.2">
      <c r="A24" s="12"/>
      <c r="B24" s="11" t="s">
        <v>75</v>
      </c>
      <c r="C24" s="10">
        <v>20000000</v>
      </c>
      <c r="D24" s="10">
        <v>20000000</v>
      </c>
      <c r="E24" s="10">
        <v>0</v>
      </c>
      <c r="F24" s="10">
        <v>708637.39661000005</v>
      </c>
      <c r="G24" s="10">
        <v>-708637.39661000005</v>
      </c>
      <c r="H24" s="10">
        <v>0</v>
      </c>
      <c r="I24" s="10">
        <v>1.6215958499999998E-5</v>
      </c>
      <c r="J24" s="10">
        <v>43699291362.603378</v>
      </c>
      <c r="K24" s="10">
        <v>0</v>
      </c>
      <c r="L24" s="10">
        <v>7.0863699999999996</v>
      </c>
      <c r="M24" s="10">
        <v>-2821331.1375699998</v>
      </c>
      <c r="N24" s="10">
        <v>-3.9813467393863888</v>
      </c>
    </row>
    <row r="25" spans="1:14" x14ac:dyDescent="0.2">
      <c r="A25" s="12"/>
      <c r="B25" s="11" t="s">
        <v>37</v>
      </c>
      <c r="C25" s="10">
        <v>3653.0947500000002</v>
      </c>
      <c r="D25" s="10">
        <v>3653.0947500000002</v>
      </c>
      <c r="E25" s="10">
        <v>0</v>
      </c>
      <c r="F25" s="10">
        <v>113916.2317</v>
      </c>
      <c r="G25" s="10">
        <v>-113916.2317</v>
      </c>
      <c r="H25" s="10">
        <v>0</v>
      </c>
      <c r="I25" s="10">
        <v>1.4271619973722279E-2</v>
      </c>
      <c r="J25" s="10">
        <v>7868095.80693</v>
      </c>
      <c r="K25" s="10">
        <v>0</v>
      </c>
      <c r="L25" s="10">
        <v>0</v>
      </c>
      <c r="M25" s="10">
        <v>0</v>
      </c>
    </row>
    <row r="26" spans="1:14" x14ac:dyDescent="0.2">
      <c r="A26" s="12"/>
      <c r="B26" s="11" t="s">
        <v>36</v>
      </c>
      <c r="C26" s="10">
        <v>278.38099999999997</v>
      </c>
      <c r="D26" s="10">
        <v>278.38099999999997</v>
      </c>
      <c r="E26" s="10">
        <v>0</v>
      </c>
      <c r="F26" s="10">
        <v>71638.354739999995</v>
      </c>
      <c r="G26" s="10">
        <v>-71638.354739999995</v>
      </c>
      <c r="H26" s="10">
        <v>0</v>
      </c>
      <c r="I26" s="10">
        <v>0.1177753869696567</v>
      </c>
      <c r="J26" s="10">
        <v>536624.13026000001</v>
      </c>
      <c r="K26" s="10">
        <v>0</v>
      </c>
      <c r="L26" s="10">
        <v>358191.77370000002</v>
      </c>
      <c r="M26" s="10">
        <v>0</v>
      </c>
    </row>
    <row r="27" spans="1:14" x14ac:dyDescent="0.2">
      <c r="A27" s="12"/>
      <c r="B27" s="11" t="s">
        <v>76</v>
      </c>
      <c r="C27" s="10">
        <v>90000000</v>
      </c>
      <c r="D27" s="10">
        <v>90000000</v>
      </c>
      <c r="E27" s="10">
        <v>0</v>
      </c>
      <c r="F27" s="10">
        <v>37269.745289999999</v>
      </c>
      <c r="G27" s="10">
        <v>-37269.745289999999</v>
      </c>
      <c r="H27" s="10">
        <v>37269.745289999999</v>
      </c>
      <c r="I27" s="10">
        <v>1.895232222222222E-7</v>
      </c>
      <c r="J27" s="10">
        <v>196649962730.2547</v>
      </c>
      <c r="K27" s="10">
        <v>0</v>
      </c>
      <c r="L27" s="10">
        <v>0.37269999999999998</v>
      </c>
      <c r="M27" s="10">
        <v>-58068.984420000001</v>
      </c>
      <c r="N27" s="10">
        <v>-1.5580729186514231</v>
      </c>
    </row>
    <row r="28" spans="1:14" x14ac:dyDescent="0.2">
      <c r="A28" s="12" t="s">
        <v>35</v>
      </c>
      <c r="B28" s="11" t="s">
        <v>34</v>
      </c>
      <c r="C28" s="10">
        <v>0</v>
      </c>
      <c r="D28" s="10">
        <v>0</v>
      </c>
      <c r="E28" s="10">
        <v>0</v>
      </c>
      <c r="F28" s="10">
        <v>1877552.17087</v>
      </c>
      <c r="G28" s="10">
        <v>-1877552.17087</v>
      </c>
      <c r="H28" s="10">
        <v>0</v>
      </c>
      <c r="J28" s="10">
        <v>0</v>
      </c>
      <c r="K28" s="10">
        <v>0</v>
      </c>
      <c r="L28" s="10">
        <v>0</v>
      </c>
      <c r="M28" s="10">
        <v>-14016470.555430001</v>
      </c>
      <c r="N28" s="10">
        <v>-7.4652895423941121</v>
      </c>
    </row>
    <row r="29" spans="1:14" x14ac:dyDescent="0.2">
      <c r="A29" s="12"/>
      <c r="B29" s="11" t="s">
        <v>33</v>
      </c>
      <c r="C29" s="10">
        <v>0</v>
      </c>
      <c r="D29" s="10">
        <v>0</v>
      </c>
      <c r="E29" s="10">
        <v>0</v>
      </c>
      <c r="F29" s="10">
        <v>52178335.791649997</v>
      </c>
      <c r="G29" s="10">
        <v>-52178335.791649997</v>
      </c>
      <c r="H29" s="10">
        <v>0</v>
      </c>
      <c r="J29" s="10">
        <v>0</v>
      </c>
      <c r="K29" s="10">
        <v>0</v>
      </c>
      <c r="L29" s="10">
        <v>0</v>
      </c>
      <c r="M29" s="10">
        <v>-398954197.48690999</v>
      </c>
      <c r="N29" s="10">
        <v>-7.6459739753233462</v>
      </c>
    </row>
    <row r="30" spans="1:14" x14ac:dyDescent="0.2">
      <c r="A30" s="12" t="s">
        <v>32</v>
      </c>
      <c r="B30" s="11" t="s">
        <v>31</v>
      </c>
      <c r="C30" s="10">
        <v>26471.973000000002</v>
      </c>
      <c r="D30" s="10">
        <v>26471.973000000002</v>
      </c>
      <c r="E30" s="10">
        <v>3289316.2234999998</v>
      </c>
      <c r="F30" s="10">
        <v>6522150.26987</v>
      </c>
      <c r="G30" s="10">
        <v>-3232834.04636</v>
      </c>
      <c r="H30" s="10">
        <v>0</v>
      </c>
      <c r="I30" s="10">
        <v>0.16962746524409039</v>
      </c>
      <c r="J30" s="10">
        <v>61074095.051360004</v>
      </c>
      <c r="K30" s="10">
        <v>0</v>
      </c>
      <c r="L30" s="10">
        <v>0</v>
      </c>
      <c r="M30" s="10">
        <v>16038000.944770001</v>
      </c>
      <c r="N30" s="10">
        <v>1.634618123808351</v>
      </c>
    </row>
    <row r="31" spans="1:14" x14ac:dyDescent="0.2">
      <c r="A31" s="12"/>
      <c r="B31" s="11" t="s">
        <v>30</v>
      </c>
      <c r="C31" s="10">
        <v>857.70799999999997</v>
      </c>
      <c r="D31" s="10">
        <v>857.70799999999997</v>
      </c>
      <c r="E31" s="10">
        <v>170169.47271</v>
      </c>
      <c r="F31" s="10">
        <v>291717.22610000003</v>
      </c>
      <c r="G31" s="10">
        <v>-121547.75339</v>
      </c>
      <c r="H31" s="10">
        <v>0</v>
      </c>
      <c r="I31" s="10">
        <v>0.24645892308338041</v>
      </c>
      <c r="J31" s="10">
        <v>1995639.73339</v>
      </c>
      <c r="K31" s="10">
        <v>0</v>
      </c>
      <c r="L31" s="10">
        <v>0</v>
      </c>
      <c r="M31" s="10">
        <v>526528.15044999996</v>
      </c>
      <c r="N31" s="10">
        <v>1.1399508935601861</v>
      </c>
    </row>
    <row r="32" spans="1:14" x14ac:dyDescent="0.2">
      <c r="A32" s="12"/>
      <c r="B32" s="11" t="s">
        <v>29</v>
      </c>
      <c r="C32" s="10">
        <v>457.99400000000003</v>
      </c>
      <c r="D32" s="10">
        <v>457.99400000000003</v>
      </c>
      <c r="E32" s="10">
        <v>33635.020400000001</v>
      </c>
      <c r="F32" s="10">
        <v>245487.65645000001</v>
      </c>
      <c r="G32" s="10">
        <v>-211852.63605</v>
      </c>
      <c r="H32" s="10">
        <v>0</v>
      </c>
      <c r="I32" s="10">
        <v>0.27892271514473987</v>
      </c>
      <c r="J32" s="10">
        <v>1212569.52605</v>
      </c>
      <c r="K32" s="10">
        <v>0</v>
      </c>
      <c r="L32" s="10">
        <v>0</v>
      </c>
      <c r="M32" s="10">
        <v>523674.20231000002</v>
      </c>
      <c r="N32" s="10">
        <v>1.876143577674668</v>
      </c>
    </row>
    <row r="33" spans="1:14" x14ac:dyDescent="0.2">
      <c r="A33" s="12"/>
      <c r="B33" s="11" t="s">
        <v>28</v>
      </c>
      <c r="C33" s="10">
        <v>5300</v>
      </c>
      <c r="D33" s="10">
        <v>5300</v>
      </c>
      <c r="E33" s="10">
        <v>966479.62806999998</v>
      </c>
      <c r="F33" s="10">
        <v>2285217.2516600001</v>
      </c>
      <c r="G33" s="10">
        <v>-1318737.62359</v>
      </c>
      <c r="H33" s="10">
        <v>0</v>
      </c>
      <c r="I33" s="10">
        <v>0.28079071509433962</v>
      </c>
      <c r="J33" s="10">
        <v>12899237.62359</v>
      </c>
      <c r="K33" s="10">
        <v>0</v>
      </c>
      <c r="L33" s="10">
        <v>0</v>
      </c>
      <c r="M33" s="10">
        <v>9835124.7270500008</v>
      </c>
      <c r="N33" s="10">
        <v>3.0246130269358811</v>
      </c>
    </row>
    <row r="34" spans="1:14" x14ac:dyDescent="0.2">
      <c r="A34" s="12" t="s">
        <v>27</v>
      </c>
      <c r="B34" s="11" t="s">
        <v>75</v>
      </c>
      <c r="C34" s="10">
        <v>10000000</v>
      </c>
      <c r="D34" s="10">
        <v>10000000</v>
      </c>
      <c r="E34" s="10">
        <v>354318.69831000001</v>
      </c>
      <c r="F34" s="10">
        <v>354318.69831000001</v>
      </c>
      <c r="G34" s="10">
        <v>0</v>
      </c>
      <c r="H34" s="10">
        <v>0</v>
      </c>
      <c r="I34" s="10">
        <v>0.99504815446400008</v>
      </c>
      <c r="J34" s="10">
        <v>0</v>
      </c>
      <c r="K34" s="10">
        <v>0</v>
      </c>
      <c r="L34" s="10">
        <v>0</v>
      </c>
      <c r="M34" s="10">
        <v>0</v>
      </c>
    </row>
    <row r="35" spans="1:14" x14ac:dyDescent="0.2">
      <c r="A35" s="12"/>
      <c r="B35" s="11" t="s">
        <v>26</v>
      </c>
      <c r="C35" s="10">
        <v>46768.008000000002</v>
      </c>
      <c r="D35" s="10">
        <v>46768.008000000002</v>
      </c>
      <c r="E35" s="10">
        <v>70953.847689999995</v>
      </c>
      <c r="F35" s="10">
        <v>79056.855150000003</v>
      </c>
      <c r="G35" s="10">
        <v>-8103.0074500000001</v>
      </c>
      <c r="H35" s="10">
        <v>0</v>
      </c>
      <c r="I35" s="10">
        <v>0.79295022144197369</v>
      </c>
      <c r="J35" s="10">
        <v>0</v>
      </c>
      <c r="K35" s="10">
        <v>0</v>
      </c>
      <c r="L35" s="10">
        <v>0</v>
      </c>
      <c r="M35" s="10">
        <v>0</v>
      </c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28A6-0516-D147-9B05-718DC2BA6DE9}">
  <dimension ref="A1:M30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3" x14ac:dyDescent="0.2"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</row>
    <row r="2" spans="1:13" x14ac:dyDescent="0.2">
      <c r="A2" s="12" t="s">
        <v>62</v>
      </c>
      <c r="B2" s="11" t="s">
        <v>61</v>
      </c>
      <c r="C2" s="10">
        <v>0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2"/>
      <c r="B3" s="11" t="s">
        <v>60</v>
      </c>
      <c r="C3" s="10">
        <v>0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12"/>
      <c r="B4" s="11" t="s">
        <v>59</v>
      </c>
      <c r="C4" s="10">
        <v>0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12"/>
      <c r="B5" s="11" t="s">
        <v>58</v>
      </c>
      <c r="C5" s="10">
        <v>0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12"/>
      <c r="B6" s="11" t="s">
        <v>57</v>
      </c>
      <c r="C6" s="10">
        <v>0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12"/>
      <c r="B7" s="11" t="s">
        <v>56</v>
      </c>
      <c r="C7" s="10">
        <v>0</v>
      </c>
      <c r="D7" s="10">
        <v>13695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12"/>
      <c r="B8" s="11" t="s">
        <v>55</v>
      </c>
      <c r="C8" s="10">
        <v>0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12"/>
      <c r="B9" s="11" t="s">
        <v>54</v>
      </c>
      <c r="C9" s="10">
        <v>0</v>
      </c>
      <c r="D9" s="10">
        <v>11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">
      <c r="A10" s="12"/>
      <c r="B10" s="11" t="s">
        <v>53</v>
      </c>
      <c r="C10" s="10">
        <v>0</v>
      </c>
      <c r="D10" s="10">
        <v>834.51107000000002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">
      <c r="A11" s="12"/>
      <c r="B11" s="11" t="s">
        <v>52</v>
      </c>
      <c r="C11" s="10">
        <v>0</v>
      </c>
      <c r="D11" s="10">
        <v>1897.296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">
      <c r="A12" s="12"/>
      <c r="B12" s="11" t="s">
        <v>51</v>
      </c>
      <c r="C12" s="10">
        <v>0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">
      <c r="A13" s="12"/>
      <c r="B13" s="11" t="s">
        <v>50</v>
      </c>
      <c r="C13" s="10">
        <v>0</v>
      </c>
      <c r="D13" s="10">
        <v>254.358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">
      <c r="A14" s="12"/>
      <c r="B14" s="11" t="s">
        <v>49</v>
      </c>
      <c r="C14" s="10">
        <v>0</v>
      </c>
      <c r="D14" s="10">
        <v>4570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">
      <c r="A15" s="12"/>
      <c r="B15" s="11" t="s">
        <v>48</v>
      </c>
      <c r="C15" s="10">
        <v>0</v>
      </c>
      <c r="D15" s="10">
        <v>53544.201999999997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">
      <c r="A16" s="12"/>
      <c r="B16" s="11" t="s">
        <v>47</v>
      </c>
      <c r="C16" s="10">
        <v>0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">
      <c r="A17" s="12"/>
      <c r="B17" s="11" t="s">
        <v>46</v>
      </c>
      <c r="C17" s="10">
        <v>0</v>
      </c>
      <c r="D17" s="10">
        <v>27270.741000000002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">
      <c r="A18" s="12"/>
      <c r="B18" s="11" t="s">
        <v>45</v>
      </c>
      <c r="C18" s="10">
        <v>0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2">
      <c r="A19" s="12"/>
      <c r="B19" s="11" t="s">
        <v>44</v>
      </c>
      <c r="C19" s="10">
        <v>0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">
      <c r="A20" s="12"/>
      <c r="B20" s="11" t="s">
        <v>43</v>
      </c>
      <c r="C20" s="10">
        <v>0</v>
      </c>
      <c r="D20" s="10">
        <v>40470.421999999999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">
      <c r="A21" s="12"/>
      <c r="B21" s="11" t="s">
        <v>42</v>
      </c>
      <c r="C21" s="10">
        <v>0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x14ac:dyDescent="0.2">
      <c r="A22" s="11" t="s">
        <v>41</v>
      </c>
      <c r="B22" s="11" t="s">
        <v>40</v>
      </c>
      <c r="C22" s="10">
        <v>0</v>
      </c>
      <c r="D22" s="10">
        <v>230800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2">
      <c r="A23" s="12" t="s">
        <v>39</v>
      </c>
      <c r="B23" s="11" t="s">
        <v>38</v>
      </c>
      <c r="C23" s="10">
        <v>0</v>
      </c>
      <c r="D23" s="10">
        <v>12450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">
      <c r="A24" s="12"/>
      <c r="B24" s="11" t="s">
        <v>37</v>
      </c>
      <c r="C24" s="10">
        <v>0</v>
      </c>
      <c r="D24" s="10">
        <v>3653.0947500000002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 x14ac:dyDescent="0.2">
      <c r="A25" s="12"/>
      <c r="B25" s="11" t="s">
        <v>36</v>
      </c>
      <c r="C25" s="10">
        <v>0</v>
      </c>
      <c r="D25" s="10">
        <v>278.38099999999997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">
      <c r="A26" s="12" t="s">
        <v>32</v>
      </c>
      <c r="B26" s="11" t="s">
        <v>31</v>
      </c>
      <c r="C26" s="10">
        <v>0</v>
      </c>
      <c r="D26" s="10">
        <v>26471.973000000002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">
      <c r="A27" s="12"/>
      <c r="B27" s="11" t="s">
        <v>30</v>
      </c>
      <c r="C27" s="10">
        <v>0</v>
      </c>
      <c r="D27" s="10">
        <v>857.70799999999997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">
      <c r="A28" s="12"/>
      <c r="B28" s="11" t="s">
        <v>29</v>
      </c>
      <c r="C28" s="10">
        <v>0</v>
      </c>
      <c r="D28" s="10">
        <v>457.99400000000003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 x14ac:dyDescent="0.2">
      <c r="A29" s="12"/>
      <c r="B29" s="11" t="s">
        <v>28</v>
      </c>
      <c r="C29" s="10">
        <v>0</v>
      </c>
      <c r="D29" s="10">
        <v>5300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">
      <c r="A30" s="11" t="s">
        <v>27</v>
      </c>
      <c r="B30" s="11" t="s">
        <v>26</v>
      </c>
      <c r="C30" s="10">
        <v>0</v>
      </c>
      <c r="D30" s="10">
        <v>46768.008000000002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</sheetData>
  <mergeCells count="3">
    <mergeCell ref="A26:A29"/>
    <mergeCell ref="A2:A21"/>
    <mergeCell ref="A23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7524-44BB-5D46-ABB6-165B2900E529}">
  <dimension ref="A1:M33"/>
  <sheetViews>
    <sheetView workbookViewId="0"/>
  </sheetViews>
  <sheetFormatPr baseColWidth="10" defaultColWidth="8.83203125" defaultRowHeight="15" x14ac:dyDescent="0.2"/>
  <cols>
    <col min="1" max="16384" width="8.83203125" style="10"/>
  </cols>
  <sheetData>
    <row r="1" spans="1:13" x14ac:dyDescent="0.2">
      <c r="C1" s="11" t="s">
        <v>74</v>
      </c>
      <c r="D1" s="11" t="s">
        <v>73</v>
      </c>
      <c r="E1" s="11" t="s">
        <v>72</v>
      </c>
      <c r="F1" s="11" t="s">
        <v>71</v>
      </c>
      <c r="G1" s="11" t="s">
        <v>70</v>
      </c>
      <c r="H1" s="11" t="s">
        <v>69</v>
      </c>
      <c r="I1" s="11" t="s">
        <v>68</v>
      </c>
      <c r="J1" s="11" t="s">
        <v>67</v>
      </c>
      <c r="K1" s="11" t="s">
        <v>66</v>
      </c>
      <c r="L1" s="11" t="s">
        <v>65</v>
      </c>
      <c r="M1" s="11" t="s">
        <v>64</v>
      </c>
    </row>
    <row r="2" spans="1:13" x14ac:dyDescent="0.2">
      <c r="A2" s="12" t="s">
        <v>62</v>
      </c>
      <c r="B2" s="11" t="s">
        <v>61</v>
      </c>
      <c r="C2" s="10">
        <v>0</v>
      </c>
      <c r="D2" s="10">
        <v>372.43929000000003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</row>
    <row r="3" spans="1:13" x14ac:dyDescent="0.2">
      <c r="A3" s="12"/>
      <c r="B3" s="11" t="s">
        <v>60</v>
      </c>
      <c r="C3" s="10">
        <v>0</v>
      </c>
      <c r="D3" s="10">
        <v>1642.8915400000001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</row>
    <row r="4" spans="1:13" x14ac:dyDescent="0.2">
      <c r="A4" s="12"/>
      <c r="B4" s="11" t="s">
        <v>59</v>
      </c>
      <c r="C4" s="10">
        <v>0</v>
      </c>
      <c r="D4" s="10">
        <v>9185.8067100000007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</row>
    <row r="5" spans="1:13" x14ac:dyDescent="0.2">
      <c r="A5" s="12"/>
      <c r="B5" s="11" t="s">
        <v>58</v>
      </c>
      <c r="C5" s="10">
        <v>0</v>
      </c>
      <c r="D5" s="10">
        <v>23586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</row>
    <row r="6" spans="1:13" x14ac:dyDescent="0.2">
      <c r="A6" s="12"/>
      <c r="B6" s="11" t="s">
        <v>57</v>
      </c>
      <c r="C6" s="10">
        <v>0</v>
      </c>
      <c r="D6" s="10">
        <v>3534.0360000000001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</row>
    <row r="7" spans="1:13" x14ac:dyDescent="0.2">
      <c r="A7" s="12"/>
      <c r="B7" s="11" t="s">
        <v>56</v>
      </c>
      <c r="C7" s="10">
        <v>0</v>
      </c>
      <c r="D7" s="10">
        <v>13695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 spans="1:13" x14ac:dyDescent="0.2">
      <c r="A8" s="12"/>
      <c r="B8" s="11" t="s">
        <v>55</v>
      </c>
      <c r="C8" s="10">
        <v>0</v>
      </c>
      <c r="D8" s="10">
        <v>4067.2939999999999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</row>
    <row r="9" spans="1:13" x14ac:dyDescent="0.2">
      <c r="A9" s="12"/>
      <c r="B9" s="11" t="s">
        <v>54</v>
      </c>
      <c r="C9" s="10">
        <v>0</v>
      </c>
      <c r="D9" s="10">
        <v>11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 spans="1:13" x14ac:dyDescent="0.2">
      <c r="A10" s="12"/>
      <c r="B10" s="11" t="s">
        <v>53</v>
      </c>
      <c r="C10" s="10">
        <v>0</v>
      </c>
      <c r="D10" s="10">
        <v>834.51107000000002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</row>
    <row r="11" spans="1:13" x14ac:dyDescent="0.2">
      <c r="A11" s="12"/>
      <c r="B11" s="11" t="s">
        <v>52</v>
      </c>
      <c r="C11" s="10">
        <v>0</v>
      </c>
      <c r="D11" s="10">
        <v>1897.296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">
      <c r="A12" s="12"/>
      <c r="B12" s="11" t="s">
        <v>51</v>
      </c>
      <c r="C12" s="10">
        <v>0</v>
      </c>
      <c r="D12" s="10">
        <v>48629.190949999997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">
      <c r="A13" s="12"/>
      <c r="B13" s="11" t="s">
        <v>50</v>
      </c>
      <c r="C13" s="10">
        <v>0</v>
      </c>
      <c r="D13" s="10">
        <v>254.358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">
      <c r="A14" s="12"/>
      <c r="B14" s="11" t="s">
        <v>49</v>
      </c>
      <c r="C14" s="10">
        <v>0</v>
      </c>
      <c r="D14" s="10">
        <v>4570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">
      <c r="A15" s="12"/>
      <c r="B15" s="11" t="s">
        <v>48</v>
      </c>
      <c r="C15" s="10">
        <v>0</v>
      </c>
      <c r="D15" s="10">
        <v>53544.201999999997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 spans="1:13" x14ac:dyDescent="0.2">
      <c r="A16" s="12"/>
      <c r="B16" s="11" t="s">
        <v>47</v>
      </c>
      <c r="C16" s="10">
        <v>0</v>
      </c>
      <c r="D16" s="10">
        <v>78.5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">
      <c r="A17" s="12"/>
      <c r="B17" s="11" t="s">
        <v>46</v>
      </c>
      <c r="C17" s="10">
        <v>0</v>
      </c>
      <c r="D17" s="10">
        <v>27270.741000000002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">
      <c r="A18" s="12"/>
      <c r="B18" s="11" t="s">
        <v>45</v>
      </c>
      <c r="C18" s="10">
        <v>0</v>
      </c>
      <c r="D18" s="10">
        <v>3662.89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</row>
    <row r="19" spans="1:13" x14ac:dyDescent="0.2">
      <c r="A19" s="12"/>
      <c r="B19" s="11" t="s">
        <v>44</v>
      </c>
      <c r="C19" s="10">
        <v>0</v>
      </c>
      <c r="D19" s="10">
        <v>55.819389999999999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">
      <c r="A20" s="12"/>
      <c r="B20" s="11" t="s">
        <v>43</v>
      </c>
      <c r="C20" s="10">
        <v>0</v>
      </c>
      <c r="D20" s="10">
        <v>40470.421999999999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">
      <c r="A21" s="12"/>
      <c r="B21" s="11" t="s">
        <v>42</v>
      </c>
      <c r="C21" s="10">
        <v>0</v>
      </c>
      <c r="D21" s="10">
        <v>4643.1779999999999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 spans="1:13" x14ac:dyDescent="0.2">
      <c r="A22" s="11" t="s">
        <v>41</v>
      </c>
      <c r="B22" s="11" t="s">
        <v>40</v>
      </c>
      <c r="C22" s="10">
        <v>0</v>
      </c>
      <c r="D22" s="10">
        <v>230800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</row>
    <row r="23" spans="1:13" x14ac:dyDescent="0.2">
      <c r="A23" s="12" t="s">
        <v>39</v>
      </c>
      <c r="B23" s="11" t="s">
        <v>38</v>
      </c>
      <c r="C23" s="10">
        <v>0</v>
      </c>
      <c r="D23" s="10">
        <v>12450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">
      <c r="A24" s="12"/>
      <c r="B24" s="11" t="s">
        <v>75</v>
      </c>
      <c r="C24" s="10">
        <v>0</v>
      </c>
      <c r="D24" s="10">
        <v>20000000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</row>
    <row r="25" spans="1:13" x14ac:dyDescent="0.2">
      <c r="A25" s="12"/>
      <c r="B25" s="11" t="s">
        <v>37</v>
      </c>
      <c r="C25" s="10">
        <v>0</v>
      </c>
      <c r="D25" s="10">
        <v>3653.0947500000002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">
      <c r="A26" s="12"/>
      <c r="B26" s="11" t="s">
        <v>36</v>
      </c>
      <c r="C26" s="10">
        <v>0</v>
      </c>
      <c r="D26" s="10">
        <v>278.38099999999997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">
      <c r="A27" s="12"/>
      <c r="B27" s="11" t="s">
        <v>76</v>
      </c>
      <c r="C27" s="10">
        <v>0</v>
      </c>
      <c r="D27" s="10">
        <v>90000000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">
      <c r="A28" s="12" t="s">
        <v>32</v>
      </c>
      <c r="B28" s="11" t="s">
        <v>31</v>
      </c>
      <c r="C28" s="10">
        <v>0</v>
      </c>
      <c r="D28" s="10">
        <v>26471.973000000002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</row>
    <row r="29" spans="1:13" x14ac:dyDescent="0.2">
      <c r="A29" s="12"/>
      <c r="B29" s="11" t="s">
        <v>30</v>
      </c>
      <c r="C29" s="10">
        <v>0</v>
      </c>
      <c r="D29" s="10">
        <v>857.70799999999997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">
      <c r="A30" s="12"/>
      <c r="B30" s="11" t="s">
        <v>29</v>
      </c>
      <c r="C30" s="10">
        <v>0</v>
      </c>
      <c r="D30" s="10">
        <v>457.99400000000003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  <row r="31" spans="1:13" x14ac:dyDescent="0.2">
      <c r="A31" s="12"/>
      <c r="B31" s="11" t="s">
        <v>28</v>
      </c>
      <c r="C31" s="10">
        <v>0</v>
      </c>
      <c r="D31" s="10">
        <v>5300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 spans="1:13" x14ac:dyDescent="0.2">
      <c r="A32" s="12" t="s">
        <v>27</v>
      </c>
      <c r="B32" s="11" t="s">
        <v>75</v>
      </c>
      <c r="C32" s="10">
        <v>0</v>
      </c>
      <c r="D32" s="10">
        <v>10000000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</row>
    <row r="33" spans="1:13" x14ac:dyDescent="0.2">
      <c r="A33" s="12"/>
      <c r="B33" s="11" t="s">
        <v>26</v>
      </c>
      <c r="C33" s="10">
        <v>0</v>
      </c>
      <c r="D33" s="10">
        <v>46768.008000000002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</sheetData>
  <mergeCells count="4">
    <mergeCell ref="A32:A33"/>
    <mergeCell ref="A23:A27"/>
    <mergeCell ref="A2:A21"/>
    <mergeCell ref="A2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Inflexible</vt:lpstr>
      <vt:lpstr>Temporal</vt:lpstr>
      <vt:lpstr>Spatial</vt:lpstr>
      <vt:lpstr>Both</vt:lpstr>
      <vt:lpstr>CFE</vt:lpstr>
      <vt:lpstr>CFE_both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Górecka</dc:creator>
  <cp:lastModifiedBy>Marta Górecka</cp:lastModifiedBy>
  <dcterms:created xsi:type="dcterms:W3CDTF">2026-08-14T09:11:44Z</dcterms:created>
  <dcterms:modified xsi:type="dcterms:W3CDTF">2026-08-20T12:35:01Z</dcterms:modified>
</cp:coreProperties>
</file>