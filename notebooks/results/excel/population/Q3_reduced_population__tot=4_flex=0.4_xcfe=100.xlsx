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population/"/>
    </mc:Choice>
  </mc:AlternateContent>
  <xr:revisionPtr revIDLastSave="0" documentId="13_ncr:1_{27882E54-3CCC-6544-8657-1BFA503075F8}" xr6:coauthVersionLast="47" xr6:coauthVersionMax="47" xr10:uidLastSave="{00000000-0000-0000-0000-000000000000}"/>
  <bookViews>
    <workbookView xWindow="0" yWindow="660" windowWidth="3024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B11" i="8"/>
  <c r="G12" i="8"/>
  <c r="B14" i="8"/>
  <c r="F14" i="8"/>
  <c r="C15" i="8"/>
  <c r="E13" i="8"/>
  <c r="D12" i="8"/>
  <c r="F13" i="8"/>
  <c r="B13" i="8"/>
  <c r="E14" i="8"/>
  <c r="C13" i="8"/>
  <c r="B7" i="8"/>
  <c r="G11" i="8"/>
  <c r="G13" i="8"/>
  <c r="E15" i="8"/>
  <c r="D14" i="8"/>
  <c r="E12" i="8"/>
  <c r="E11" i="8"/>
  <c r="C14" i="8"/>
  <c r="D11" i="8"/>
  <c r="D13" i="8"/>
  <c r="G14" i="8"/>
  <c r="B8" i="8"/>
  <c r="B12" i="8"/>
  <c r="F15" i="8"/>
  <c r="C12" i="8"/>
  <c r="F11" i="8"/>
  <c r="C11" i="8"/>
  <c r="D15" i="8"/>
  <c r="F12" i="8"/>
  <c r="G15" i="8"/>
  <c r="B15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<sst xmlns="http://schemas.openxmlformats.org/spreadsheetml/2006/main" count="426" uniqueCount="78">
  <si>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</si>
  <si>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</si>
  <si>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</si>
  <si>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</si>
  <si>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</si>
  <si>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</si>
  <si>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</si>
  <si>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</si>
  <si>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</si>
  <si>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</si>
  <si>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</si>
  <si>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</si>
  <si>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</si>
  <si>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</si>
  <si>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</si>
  <si>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</si>
  <si>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</si>
  <si>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</si>
  <si>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</si>
  <si>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</si>
  <si>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</si>
  <si>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</si>
  <si>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</si>
  <si>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</si>
  <si>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</si>
  <si>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Population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</si>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</sst>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1" fontId="7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topLeftCell="A2" zoomScale="135" workbookViewId="0">
      <selection activeCell="K13" sqref="K13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25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1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11415903.559999999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11409645.039999999</v>
      </c>
      <c r="D11" s="3">
        <f t="shared" ca="1" si="0"/>
        <v>11707618.069999998</v>
      </c>
      <c r="E11" s="3">
        <f t="shared" ca="1" si="0"/>
        <v>11507278.139999999</v>
      </c>
      <c r="F11" s="3">
        <f t="shared" ca="1" si="0"/>
        <v>12108762.58</v>
      </c>
      <c r="G11" s="3">
        <f t="shared" ca="1" si="0"/>
        <v>11946626.27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6619733</v>
      </c>
      <c r="C12" s="3">
        <f t="shared" ref="C12:G12" ca="1" si="1">SUMIFS(INDIRECT(C$10&amp;"!$J$2:$J$35"), INDIRECT(C$10&amp;"!$B$2:$B$35"), "Offshore Wind")</f>
        <v>6527355</v>
      </c>
      <c r="D12" s="3">
        <f t="shared" ca="1" si="1"/>
        <v>6680651</v>
      </c>
      <c r="E12" s="3">
        <f t="shared" ca="1" si="1"/>
        <v>6548418</v>
      </c>
      <c r="F12" s="3">
        <f t="shared" ca="1" si="1"/>
        <v>7138085</v>
      </c>
      <c r="G12" s="3">
        <f t="shared" ca="1" si="1"/>
        <v>7230193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3108024</v>
      </c>
      <c r="C13" s="5">
        <f t="shared" ref="C13:G13" ca="1" si="2">SUMIFS(INDIRECT(C$10&amp;"!$J$2:$J$35"), INDIRECT(C$10&amp;"!$B$2:$B$35"), "Onshore Wind")</f>
        <v>3162884</v>
      </c>
      <c r="D13" s="5">
        <f t="shared" ca="1" si="2"/>
        <v>3326338</v>
      </c>
      <c r="E13" s="5">
        <f t="shared" ca="1" si="2"/>
        <v>3276661</v>
      </c>
      <c r="F13" s="5">
        <f t="shared" ca="1" si="2"/>
        <v>3448608</v>
      </c>
      <c r="G13" s="5">
        <f t="shared" ca="1" si="2"/>
        <v>3256150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1380085</v>
      </c>
      <c r="C14" s="5">
        <f t="shared" ref="C14:G14" ca="1" si="3">SUMIFS(INDIRECT(C$10&amp;"!$J$2:$J$35"), INDIRECT(C$10&amp;"!$B$2:$B$35"), "Solar PV")</f>
        <v>1409771</v>
      </c>
      <c r="D14" s="5">
        <f t="shared" ca="1" si="3"/>
        <v>1369434</v>
      </c>
      <c r="E14" s="5">
        <f t="shared" ca="1" si="3"/>
        <v>1351085</v>
      </c>
      <c r="F14" s="5">
        <f t="shared" ca="1" si="3"/>
        <v>1178857</v>
      </c>
      <c r="G14" s="5">
        <f t="shared" ca="1" si="3"/>
        <v>1133989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15237430</v>
      </c>
      <c r="C15" s="3">
        <f t="shared" ref="C15:G15" ca="1" si="4">-SUMIFS(INDIRECT(C$10&amp;"!$M$2:$M$35"), INDIRECT(C$10&amp;"!$B$2:$B$35"), "Data Centre")</f>
        <v>15040120</v>
      </c>
      <c r="D15" s="3">
        <f t="shared" ca="1" si="4"/>
        <v>15237610</v>
      </c>
      <c r="E15" s="3">
        <f t="shared" ca="1" si="4"/>
        <v>14777410</v>
      </c>
      <c r="F15" s="3">
        <f t="shared" ca="1" si="4"/>
        <v>15255380</v>
      </c>
      <c r="G15" s="3">
        <f t="shared" ca="1" si="4"/>
        <v>14746680</v>
      </c>
    </row>
    <row r="16" spans="1:7" x14ac:dyDescent="0.2">
      <c r="A16" s="4" t="s">
        <v>10</v>
      </c>
      <c r="B16" s="3">
        <v>83006417.422615305</v>
      </c>
      <c r="C16" s="3">
        <v>81454380.756495595</v>
      </c>
      <c r="D16" s="3">
        <v>83005919.864785105</v>
      </c>
      <c r="E16" s="3">
        <v>77624801.069336206</v>
      </c>
      <c r="F16" s="3">
        <v>83697462.617461696</v>
      </c>
      <c r="G16" s="3">
        <v>78284433.475324601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5.4822817721833506E-4</v>
      </c>
      <c r="D18" s="9">
        <f t="shared" ref="D18:G18" ca="1" si="5">1-D$11/$B$11</f>
        <v>-2.5553343935221573E-2</v>
      </c>
      <c r="E18" s="9">
        <f t="shared" ca="1" si="5"/>
        <v>-8.0041478556429624E-3</v>
      </c>
      <c r="F18" s="9">
        <f t="shared" ca="1" si="5"/>
        <v>-6.0692438085032441E-2</v>
      </c>
      <c r="G18" s="9">
        <f t="shared" ca="1" si="5"/>
        <v>-4.6489768173900048E-2</v>
      </c>
    </row>
    <row r="19" spans="1:7" x14ac:dyDescent="0.2">
      <c r="A19" s="8" t="s">
        <v>22</v>
      </c>
      <c r="C19" s="9">
        <f ca="1">1-C$12/$B$12</f>
        <v>1.3954943499987049E-2</v>
      </c>
      <c r="D19" s="9">
        <f t="shared" ref="D19:G19" ca="1" si="6">1-D$12/$B$12</f>
        <v>-9.2024859612918064E-3</v>
      </c>
      <c r="E19" s="9">
        <f t="shared" ca="1" si="6"/>
        <v>1.0773093114178511E-2</v>
      </c>
      <c r="F19" s="9">
        <f t="shared" ca="1" si="6"/>
        <v>-7.8304064529490791E-2</v>
      </c>
      <c r="G19" s="9">
        <f t="shared" ca="1" si="6"/>
        <v>-9.221822088594811E-2</v>
      </c>
    </row>
    <row r="20" spans="1:7" x14ac:dyDescent="0.2">
      <c r="A20" s="8" t="s">
        <v>23</v>
      </c>
      <c r="C20" s="9">
        <f ca="1">1-C$13/$B$13</f>
        <v>-1.7651086349397493E-2</v>
      </c>
      <c r="D20" s="9">
        <f t="shared" ref="D20:G20" ca="1" si="7">1-D$13/$B$13</f>
        <v>-7.0242057332890573E-2</v>
      </c>
      <c r="E20" s="9">
        <f t="shared" ca="1" si="7"/>
        <v>-5.4258590023757769E-2</v>
      </c>
      <c r="F20" s="9">
        <f t="shared" ca="1" si="7"/>
        <v>-0.10958216538868415</v>
      </c>
      <c r="G20" s="9">
        <f t="shared" ca="1" si="7"/>
        <v>-4.7659220134722347E-2</v>
      </c>
    </row>
    <row r="21" spans="1:7" x14ac:dyDescent="0.2">
      <c r="A21" s="8" t="s">
        <v>24</v>
      </c>
      <c r="C21" s="9">
        <f ca="1">1-C$14/$B$14</f>
        <v>-2.1510269295007101E-2</v>
      </c>
      <c r="D21" s="9">
        <f t="shared" ref="D21:G21" ca="1" si="8">1-D$14/$B$14</f>
        <v>7.717640580109153E-3</v>
      </c>
      <c r="E21" s="9">
        <f t="shared" ca="1" si="8"/>
        <v>2.1013198462413563E-2</v>
      </c>
      <c r="F21" s="9">
        <f t="shared" ca="1" si="8"/>
        <v>0.14580841035153635</v>
      </c>
      <c r="G21" s="9">
        <f t="shared" ca="1" si="8"/>
        <v>0.1783194513381422</v>
      </c>
    </row>
    <row r="22" spans="1:7" x14ac:dyDescent="0.2">
      <c r="A22" s="8" t="s">
        <v>20</v>
      </c>
      <c r="C22" s="9">
        <f ca="1">1-C$15/$B$15</f>
        <v>1.2949034056268016E-2</v>
      </c>
      <c r="D22" s="9">
        <f t="shared" ref="D22:G22" ca="1" si="9">1-D$15/$B$15</f>
        <v>-1.1813015712069941E-5</v>
      </c>
      <c r="E22" s="9">
        <f t="shared" ca="1" si="9"/>
        <v>3.0190130487884104E-2</v>
      </c>
      <c r="F22" s="9">
        <f t="shared" ca="1" si="9"/>
        <v>-1.1780201779434396E-3</v>
      </c>
      <c r="G22" s="9">
        <f t="shared" ca="1" si="9"/>
        <v>3.2206874781377182E-2</v>
      </c>
    </row>
    <row r="23" spans="1:7" x14ac:dyDescent="0.2">
      <c r="A23" s="8" t="s">
        <v>19</v>
      </c>
      <c r="C23" s="9">
        <f>1-C$16/$B$16</f>
        <v>1.8697791258930452E-2</v>
      </c>
      <c r="D23" s="9">
        <f t="shared" ref="D23:G23" si="10">1-D$16/$B$16</f>
        <v>5.9942091906739492E-6</v>
      </c>
      <c r="E23" s="9">
        <f t="shared" si="10"/>
        <v>6.483373840698814E-2</v>
      </c>
      <c r="F23" s="9">
        <f t="shared" si="10"/>
        <v>-8.3252020302000407E-3</v>
      </c>
      <c r="G23" s="9">
        <f t="shared" si="10"/>
        <v>5.6886974452220906E-2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78CC-CDA6-3445-A76E-3C022F9C9D8A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2">
        <v>372.43929000000003</v>
      </c>
      <c r="D2" s="12">
        <v>372.43929000000003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2">
        <v>1642.8915400000001</v>
      </c>
      <c r="D3" s="12">
        <v>1642.8915400000001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2">
        <v>9185.8067100000007</v>
      </c>
      <c r="D4" s="12">
        <v>9185.8067100000007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2">
        <v>23586</v>
      </c>
      <c r="D5" s="12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2">
        <v>3534.0360000000001</v>
      </c>
      <c r="D6" s="12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2">
        <v>13695</v>
      </c>
      <c r="D7" s="12">
        <v>13695</v>
      </c>
      <c r="E7" s="13">
        <v>3619678</v>
      </c>
      <c r="F7" s="13">
        <v>0</v>
      </c>
      <c r="G7" s="13">
        <v>3619678</v>
      </c>
      <c r="H7" s="13">
        <v>0</v>
      </c>
      <c r="I7" s="12">
        <v>0.120964</v>
      </c>
      <c r="J7" s="13">
        <v>26303900</v>
      </c>
      <c r="K7" s="12">
        <v>0</v>
      </c>
      <c r="L7" s="13">
        <v>41523690</v>
      </c>
      <c r="M7" s="13">
        <v>41523690</v>
      </c>
      <c r="N7" s="12">
        <v>11.471653</v>
      </c>
    </row>
    <row r="8" spans="1:14" x14ac:dyDescent="0.2">
      <c r="A8" s="15"/>
      <c r="B8" s="11" t="s">
        <v>55</v>
      </c>
      <c r="C8" s="12">
        <v>4067.2939999999999</v>
      </c>
      <c r="D8" s="12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2">
        <v>11</v>
      </c>
      <c r="D9" s="12">
        <v>11</v>
      </c>
      <c r="E9" s="13">
        <v>4626.7979999999998</v>
      </c>
      <c r="F9" s="13">
        <v>0</v>
      </c>
      <c r="G9" s="13">
        <v>4626.7979999999998</v>
      </c>
      <c r="H9" s="13">
        <v>0</v>
      </c>
      <c r="I9" s="12">
        <v>0.19250300000000001</v>
      </c>
      <c r="J9" s="13">
        <v>19408.2</v>
      </c>
      <c r="K9" s="12">
        <v>0</v>
      </c>
      <c r="L9" s="13">
        <v>57649.9</v>
      </c>
      <c r="M9" s="13">
        <v>97520.61</v>
      </c>
      <c r="N9" s="12">
        <v>21.077321000000001</v>
      </c>
    </row>
    <row r="10" spans="1:14" ht="30" x14ac:dyDescent="0.2">
      <c r="A10" s="15"/>
      <c r="B10" s="11" t="s">
        <v>53</v>
      </c>
      <c r="C10" s="12">
        <v>834.51107000000002</v>
      </c>
      <c r="D10" s="12">
        <v>834.51107000000002</v>
      </c>
      <c r="E10" s="13">
        <v>484.79500000000002</v>
      </c>
      <c r="F10" s="13">
        <v>0</v>
      </c>
      <c r="G10" s="13">
        <v>484.79500000000002</v>
      </c>
      <c r="H10" s="13">
        <v>0</v>
      </c>
      <c r="I10" s="12">
        <v>2.6600000000000001E-4</v>
      </c>
      <c r="J10" s="13">
        <v>1822922</v>
      </c>
      <c r="K10" s="12">
        <v>0</v>
      </c>
      <c r="L10" s="13">
        <v>26178.93</v>
      </c>
      <c r="M10" s="13">
        <v>26314.7</v>
      </c>
      <c r="N10" s="12">
        <v>54.281064999999998</v>
      </c>
    </row>
    <row r="11" spans="1:14" ht="30" x14ac:dyDescent="0.2">
      <c r="A11" s="15"/>
      <c r="B11" s="11" t="s">
        <v>52</v>
      </c>
      <c r="C11" s="12">
        <v>1897.296</v>
      </c>
      <c r="D11" s="12">
        <v>1897.296</v>
      </c>
      <c r="E11" s="13">
        <v>1384267</v>
      </c>
      <c r="F11" s="13">
        <v>0</v>
      </c>
      <c r="G11" s="13">
        <v>1384267</v>
      </c>
      <c r="H11" s="13">
        <v>0</v>
      </c>
      <c r="I11" s="12">
        <v>0.33391300000000002</v>
      </c>
      <c r="J11" s="13">
        <v>273970.2</v>
      </c>
      <c r="K11" s="12">
        <v>0</v>
      </c>
      <c r="L11" s="13">
        <v>0</v>
      </c>
      <c r="M11" s="13">
        <v>8653087</v>
      </c>
      <c r="N11" s="12">
        <v>6.2510269999999997</v>
      </c>
    </row>
    <row r="12" spans="1:14" ht="30" x14ac:dyDescent="0.2">
      <c r="A12" s="15"/>
      <c r="B12" s="11" t="s">
        <v>51</v>
      </c>
      <c r="C12" s="12">
        <v>48629.190949999997</v>
      </c>
      <c r="D12" s="12">
        <v>48629.190949999997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2">
        <v>254.358</v>
      </c>
      <c r="D13" s="12">
        <v>254.358</v>
      </c>
      <c r="E13" s="13">
        <v>239678.2</v>
      </c>
      <c r="F13" s="13">
        <v>0</v>
      </c>
      <c r="G13" s="13">
        <v>239678.2</v>
      </c>
      <c r="H13" s="13">
        <v>0</v>
      </c>
      <c r="I13" s="12">
        <v>0.431253</v>
      </c>
      <c r="J13" s="13">
        <v>34091.360000000001</v>
      </c>
      <c r="K13" s="12">
        <v>0</v>
      </c>
      <c r="L13" s="13">
        <v>0</v>
      </c>
      <c r="M13" s="13">
        <v>1937849</v>
      </c>
      <c r="N13" s="12">
        <v>8.0852129999999995</v>
      </c>
    </row>
    <row r="14" spans="1:14" x14ac:dyDescent="0.2">
      <c r="A14" s="15"/>
      <c r="B14" s="11" t="s">
        <v>49</v>
      </c>
      <c r="C14" s="12">
        <v>4570</v>
      </c>
      <c r="D14" s="12">
        <v>4570</v>
      </c>
      <c r="E14" s="13">
        <v>4104895</v>
      </c>
      <c r="F14" s="13">
        <v>0</v>
      </c>
      <c r="G14" s="13">
        <v>4104895</v>
      </c>
      <c r="H14" s="13">
        <v>0</v>
      </c>
      <c r="I14" s="12">
        <v>0.41108800000000001</v>
      </c>
      <c r="J14" s="13">
        <v>5880555</v>
      </c>
      <c r="K14" s="12">
        <v>0</v>
      </c>
      <c r="L14" s="13">
        <v>41048950</v>
      </c>
      <c r="M14" s="13">
        <v>68828320</v>
      </c>
      <c r="N14" s="12">
        <v>16.767374</v>
      </c>
    </row>
    <row r="15" spans="1:14" ht="30" x14ac:dyDescent="0.2">
      <c r="A15" s="15"/>
      <c r="B15" s="11" t="s">
        <v>48</v>
      </c>
      <c r="C15" s="12">
        <v>53544.201999999997</v>
      </c>
      <c r="D15" s="12">
        <v>53544.201999999997</v>
      </c>
      <c r="E15" s="13">
        <v>25495110</v>
      </c>
      <c r="F15" s="13">
        <v>0</v>
      </c>
      <c r="G15" s="13">
        <v>25495110</v>
      </c>
      <c r="H15" s="13">
        <v>0</v>
      </c>
      <c r="I15" s="12">
        <v>0.217918</v>
      </c>
      <c r="J15" s="13">
        <v>6619733</v>
      </c>
      <c r="K15" s="12">
        <v>0</v>
      </c>
      <c r="L15" s="13">
        <v>0</v>
      </c>
      <c r="M15" s="13">
        <v>101617700</v>
      </c>
      <c r="N15" s="12">
        <v>3.98577</v>
      </c>
    </row>
    <row r="16" spans="1:14" x14ac:dyDescent="0.2">
      <c r="A16" s="15"/>
      <c r="B16" s="11" t="s">
        <v>47</v>
      </c>
      <c r="C16" s="12">
        <v>78.5</v>
      </c>
      <c r="D16" s="12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2">
        <v>27270.741000000002</v>
      </c>
      <c r="D17" s="12">
        <v>27270.741000000002</v>
      </c>
      <c r="E17" s="13">
        <v>11227110</v>
      </c>
      <c r="F17" s="13">
        <v>0</v>
      </c>
      <c r="G17" s="13">
        <v>11227110</v>
      </c>
      <c r="H17" s="13">
        <v>0</v>
      </c>
      <c r="I17" s="12">
        <v>0.188417</v>
      </c>
      <c r="J17" s="13">
        <v>3108024</v>
      </c>
      <c r="K17" s="12">
        <v>0</v>
      </c>
      <c r="L17" s="13">
        <v>0</v>
      </c>
      <c r="M17" s="13">
        <v>41099210</v>
      </c>
      <c r="N17" s="12">
        <v>3.660711</v>
      </c>
    </row>
    <row r="18" spans="1:14" ht="45" x14ac:dyDescent="0.2">
      <c r="A18" s="15"/>
      <c r="B18" s="11" t="s">
        <v>45</v>
      </c>
      <c r="C18" s="12">
        <v>3662.89</v>
      </c>
      <c r="D18" s="12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2">
        <v>55.819389999999999</v>
      </c>
      <c r="D19" s="12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2">
        <v>40470.421999999999</v>
      </c>
      <c r="D20" s="12">
        <v>40470.421999999999</v>
      </c>
      <c r="E20" s="13">
        <v>13185460</v>
      </c>
      <c r="F20" s="13">
        <v>0</v>
      </c>
      <c r="G20" s="13">
        <v>13185460</v>
      </c>
      <c r="H20" s="13">
        <v>0</v>
      </c>
      <c r="I20" s="12">
        <v>0.14910999999999999</v>
      </c>
      <c r="J20" s="13">
        <v>1380085</v>
      </c>
      <c r="K20" s="12">
        <v>0</v>
      </c>
      <c r="L20" s="13">
        <v>0</v>
      </c>
      <c r="M20" s="13">
        <v>90581600</v>
      </c>
      <c r="N20" s="12">
        <v>6.8698119999999996</v>
      </c>
    </row>
    <row r="21" spans="1:14" ht="30" x14ac:dyDescent="0.2">
      <c r="A21" s="16"/>
      <c r="B21" s="11" t="s">
        <v>42</v>
      </c>
      <c r="C21" s="12">
        <v>4643.1779999999999</v>
      </c>
      <c r="D21" s="12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2">
        <v>230800</v>
      </c>
      <c r="D22" s="12">
        <v>230800</v>
      </c>
      <c r="E22" s="13">
        <v>32758860</v>
      </c>
      <c r="F22" s="13">
        <v>23130650</v>
      </c>
      <c r="G22" s="13">
        <v>9628212</v>
      </c>
      <c r="H22" s="13">
        <v>-9628212</v>
      </c>
      <c r="I22" s="12">
        <v>0.11082599999999999</v>
      </c>
      <c r="J22" s="13">
        <v>0</v>
      </c>
      <c r="K22" s="12">
        <v>0</v>
      </c>
      <c r="L22" s="13">
        <v>0</v>
      </c>
      <c r="M22" s="13">
        <v>99938350</v>
      </c>
      <c r="N22" s="12">
        <v>1.788141</v>
      </c>
    </row>
    <row r="23" spans="1:14" x14ac:dyDescent="0.2">
      <c r="A23" s="14" t="s">
        <v>39</v>
      </c>
      <c r="B23" s="11" t="s">
        <v>38</v>
      </c>
      <c r="C23" s="12">
        <v>12450</v>
      </c>
      <c r="D23" s="12">
        <v>12450</v>
      </c>
      <c r="E23" s="13">
        <v>9583407</v>
      </c>
      <c r="F23" s="13">
        <v>5870916</v>
      </c>
      <c r="G23" s="13">
        <v>3712490</v>
      </c>
      <c r="H23" s="13">
        <v>-3712490</v>
      </c>
      <c r="I23" s="12">
        <v>0.568106</v>
      </c>
      <c r="J23" s="13">
        <v>30915740</v>
      </c>
      <c r="K23" s="12">
        <v>0</v>
      </c>
      <c r="L23" s="13">
        <v>0</v>
      </c>
      <c r="M23" s="13">
        <v>71862790</v>
      </c>
      <c r="N23" s="12">
        <v>4.6500120000000003</v>
      </c>
    </row>
    <row r="24" spans="1:14" ht="30" x14ac:dyDescent="0.2">
      <c r="A24" s="15"/>
      <c r="B24" s="11" t="s">
        <v>37</v>
      </c>
      <c r="C24" s="12">
        <v>3653.0947500000002</v>
      </c>
      <c r="D24" s="12">
        <v>3653.0947500000002</v>
      </c>
      <c r="E24" s="13">
        <v>0</v>
      </c>
      <c r="F24" s="13">
        <v>110821.2</v>
      </c>
      <c r="G24" s="13">
        <v>-110821.2</v>
      </c>
      <c r="H24" s="13">
        <v>0</v>
      </c>
      <c r="I24" s="12">
        <v>1.3884000000000001E-2</v>
      </c>
      <c r="J24" s="13">
        <v>7871191</v>
      </c>
      <c r="K24" s="12">
        <v>0</v>
      </c>
      <c r="L24" s="13">
        <v>0</v>
      </c>
      <c r="M24" s="13">
        <v>0</v>
      </c>
      <c r="N24" s="12" t="s">
        <v>77</v>
      </c>
    </row>
    <row r="25" spans="1:14" ht="30" x14ac:dyDescent="0.2">
      <c r="A25" s="16"/>
      <c r="B25" s="11" t="s">
        <v>36</v>
      </c>
      <c r="C25" s="12">
        <v>278.38099999999997</v>
      </c>
      <c r="D25" s="12">
        <v>278.38099999999997</v>
      </c>
      <c r="E25" s="13">
        <v>0</v>
      </c>
      <c r="F25" s="13">
        <v>69988.72</v>
      </c>
      <c r="G25" s="13">
        <v>-69988.72</v>
      </c>
      <c r="H25" s="13">
        <v>0</v>
      </c>
      <c r="I25" s="12">
        <v>0.115063</v>
      </c>
      <c r="J25" s="13">
        <v>538273.80000000005</v>
      </c>
      <c r="K25" s="12">
        <v>0</v>
      </c>
      <c r="L25" s="13">
        <v>349943.6</v>
      </c>
      <c r="M25" s="13">
        <v>0</v>
      </c>
      <c r="N25" s="12" t="s">
        <v>77</v>
      </c>
    </row>
    <row r="26" spans="1:14" ht="30" x14ac:dyDescent="0.2">
      <c r="A26" s="14" t="s">
        <v>35</v>
      </c>
      <c r="B26" s="11" t="s">
        <v>34</v>
      </c>
      <c r="C26" s="12">
        <v>0</v>
      </c>
      <c r="D26" s="12">
        <v>0</v>
      </c>
      <c r="E26" s="13">
        <v>0</v>
      </c>
      <c r="F26" s="13">
        <v>1877543</v>
      </c>
      <c r="G26" s="13">
        <v>-1877543</v>
      </c>
      <c r="H26" s="13">
        <v>0</v>
      </c>
      <c r="I26" s="12" t="s">
        <v>77</v>
      </c>
      <c r="J26" s="13">
        <v>0</v>
      </c>
      <c r="K26" s="12">
        <v>0</v>
      </c>
      <c r="L26" s="13">
        <v>0</v>
      </c>
      <c r="M26" s="13">
        <v>-15237430</v>
      </c>
      <c r="N26" s="12">
        <v>-8.1156229999999994</v>
      </c>
    </row>
    <row r="27" spans="1:14" x14ac:dyDescent="0.2">
      <c r="A27" s="16"/>
      <c r="B27" s="11" t="s">
        <v>33</v>
      </c>
      <c r="C27" s="12">
        <v>0</v>
      </c>
      <c r="D27" s="12">
        <v>0</v>
      </c>
      <c r="E27" s="13">
        <v>0</v>
      </c>
      <c r="F27" s="13">
        <v>52178340</v>
      </c>
      <c r="G27" s="13">
        <v>-52178340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-411597700</v>
      </c>
      <c r="N27" s="12">
        <v>-7.8882880000000002</v>
      </c>
    </row>
    <row r="28" spans="1:14" ht="30" x14ac:dyDescent="0.2">
      <c r="A28" s="14" t="s">
        <v>32</v>
      </c>
      <c r="B28" s="11" t="s">
        <v>31</v>
      </c>
      <c r="C28" s="12">
        <v>26471.973000000002</v>
      </c>
      <c r="D28" s="12">
        <v>26471.973000000002</v>
      </c>
      <c r="E28" s="13">
        <v>2524615</v>
      </c>
      <c r="F28" s="13">
        <v>5964329</v>
      </c>
      <c r="G28" s="13">
        <v>-3439714</v>
      </c>
      <c r="H28" s="13">
        <v>0</v>
      </c>
      <c r="I28" s="12">
        <v>0.146763</v>
      </c>
      <c r="J28" s="13">
        <v>61280980</v>
      </c>
      <c r="K28" s="12">
        <v>0</v>
      </c>
      <c r="L28" s="13">
        <v>0</v>
      </c>
      <c r="M28" s="13">
        <v>16733880</v>
      </c>
      <c r="N28" s="12">
        <v>1.9712559999999999</v>
      </c>
    </row>
    <row r="29" spans="1:14" ht="45" x14ac:dyDescent="0.2">
      <c r="A29" s="15"/>
      <c r="B29" s="11" t="s">
        <v>30</v>
      </c>
      <c r="C29" s="12">
        <v>857.70799999999997</v>
      </c>
      <c r="D29" s="12">
        <v>857.70799999999997</v>
      </c>
      <c r="E29" s="13">
        <v>137074.70000000001</v>
      </c>
      <c r="F29" s="13">
        <v>270045.7</v>
      </c>
      <c r="G29" s="13">
        <v>-132971</v>
      </c>
      <c r="H29" s="13">
        <v>0</v>
      </c>
      <c r="I29" s="12">
        <v>0.21723600000000001</v>
      </c>
      <c r="J29" s="13">
        <v>2007063</v>
      </c>
      <c r="K29" s="12">
        <v>0</v>
      </c>
      <c r="L29" s="13">
        <v>0</v>
      </c>
      <c r="M29" s="13">
        <v>550607</v>
      </c>
      <c r="N29" s="12">
        <v>1.3524430000000001</v>
      </c>
    </row>
    <row r="30" spans="1:14" ht="45" x14ac:dyDescent="0.2">
      <c r="A30" s="15"/>
      <c r="B30" s="11" t="s">
        <v>29</v>
      </c>
      <c r="C30" s="12">
        <v>457.99400000000003</v>
      </c>
      <c r="D30" s="12">
        <v>457.99400000000003</v>
      </c>
      <c r="E30" s="13">
        <v>31118.31</v>
      </c>
      <c r="F30" s="13">
        <v>249096.9</v>
      </c>
      <c r="G30" s="13">
        <v>-217978.6</v>
      </c>
      <c r="H30" s="13">
        <v>0</v>
      </c>
      <c r="I30" s="12">
        <v>0.28001399999999999</v>
      </c>
      <c r="J30" s="13">
        <v>1218696</v>
      </c>
      <c r="K30" s="12">
        <v>0</v>
      </c>
      <c r="L30" s="13">
        <v>0</v>
      </c>
      <c r="M30" s="13">
        <v>557677.19999999995</v>
      </c>
      <c r="N30" s="12">
        <v>1.9901740000000001</v>
      </c>
    </row>
    <row r="31" spans="1:14" ht="60" x14ac:dyDescent="0.2">
      <c r="A31" s="16"/>
      <c r="B31" s="11" t="s">
        <v>28</v>
      </c>
      <c r="C31" s="12">
        <v>5300</v>
      </c>
      <c r="D31" s="12">
        <v>5300</v>
      </c>
      <c r="E31" s="13">
        <v>806127.5</v>
      </c>
      <c r="F31" s="13">
        <v>2237880</v>
      </c>
      <c r="G31" s="13">
        <v>-1431752</v>
      </c>
      <c r="H31" s="13">
        <v>0</v>
      </c>
      <c r="I31" s="12">
        <v>0.26285599999999998</v>
      </c>
      <c r="J31" s="13">
        <v>13012250</v>
      </c>
      <c r="K31" s="12">
        <v>0</v>
      </c>
      <c r="L31" s="13">
        <v>0</v>
      </c>
      <c r="M31" s="13">
        <v>9938024</v>
      </c>
      <c r="N31" s="12">
        <v>3.264783</v>
      </c>
    </row>
    <row r="32" spans="1:14" ht="30" x14ac:dyDescent="0.2">
      <c r="A32" s="11" t="s">
        <v>27</v>
      </c>
      <c r="B32" s="11" t="s">
        <v>26</v>
      </c>
      <c r="C32" s="12">
        <v>46768.008000000002</v>
      </c>
      <c r="D32" s="12">
        <v>46768.008000000002</v>
      </c>
      <c r="E32" s="13">
        <v>68900.539999999994</v>
      </c>
      <c r="F32" s="13">
        <v>76486.64</v>
      </c>
      <c r="G32" s="13">
        <v>-7586.1</v>
      </c>
      <c r="H32" s="13">
        <v>0</v>
      </c>
      <c r="I32" s="12">
        <v>0.74236599999999997</v>
      </c>
      <c r="J32" s="13">
        <v>0</v>
      </c>
      <c r="K32" s="12">
        <v>0</v>
      </c>
      <c r="L32" s="13">
        <v>0</v>
      </c>
      <c r="M32" s="13">
        <v>0</v>
      </c>
      <c r="N32" s="12" t="s">
        <v>77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78D1-4DE2-E044-8F70-16C59AF98653}">
  <dimension ref="A1:N34"/>
  <sheetViews>
    <sheetView workbookViewId="0">
      <selection sqref="A1:N34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3">
        <v>13695</v>
      </c>
      <c r="D7" s="13">
        <v>13695</v>
      </c>
      <c r="E7" s="13">
        <v>3557334</v>
      </c>
      <c r="F7" s="13">
        <v>0</v>
      </c>
      <c r="G7" s="13">
        <v>3557334</v>
      </c>
      <c r="H7" s="13">
        <v>0</v>
      </c>
      <c r="I7" s="12">
        <v>0.118881</v>
      </c>
      <c r="J7" s="13">
        <v>26366240</v>
      </c>
      <c r="K7" s="12">
        <v>0</v>
      </c>
      <c r="L7" s="13">
        <v>40065930</v>
      </c>
      <c r="M7" s="13">
        <v>40065930</v>
      </c>
      <c r="N7" s="12">
        <v>11.26291</v>
      </c>
    </row>
    <row r="8" spans="1:14" x14ac:dyDescent="0.2">
      <c r="A8" s="15"/>
      <c r="B8" s="11" t="s">
        <v>55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3">
        <v>11</v>
      </c>
      <c r="D9" s="13">
        <v>11</v>
      </c>
      <c r="E9" s="13">
        <v>4216.8819999999996</v>
      </c>
      <c r="F9" s="13">
        <v>0</v>
      </c>
      <c r="G9" s="13">
        <v>4216.8819999999996</v>
      </c>
      <c r="H9" s="13">
        <v>0</v>
      </c>
      <c r="I9" s="12">
        <v>0.17544699999999999</v>
      </c>
      <c r="J9" s="13">
        <v>19818.12</v>
      </c>
      <c r="K9" s="12">
        <v>0</v>
      </c>
      <c r="L9" s="13">
        <v>52542.35</v>
      </c>
      <c r="M9" s="13">
        <v>91061.37</v>
      </c>
      <c r="N9" s="12">
        <v>21.594517</v>
      </c>
    </row>
    <row r="10" spans="1:14" ht="30" x14ac:dyDescent="0.2">
      <c r="A10" s="15"/>
      <c r="B10" s="11" t="s">
        <v>53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2">
        <v>2.0000000000000002E-5</v>
      </c>
      <c r="J10" s="13">
        <v>1823371</v>
      </c>
      <c r="K10" s="12">
        <v>0</v>
      </c>
      <c r="L10" s="13">
        <v>1921.433</v>
      </c>
      <c r="M10" s="13">
        <v>2027.403</v>
      </c>
      <c r="N10" s="12">
        <v>56.994472000000002</v>
      </c>
    </row>
    <row r="11" spans="1:14" ht="30" x14ac:dyDescent="0.2">
      <c r="A11" s="15"/>
      <c r="B11" s="11" t="s">
        <v>52</v>
      </c>
      <c r="C11" s="13">
        <v>1897.296</v>
      </c>
      <c r="D11" s="13">
        <v>1897.296</v>
      </c>
      <c r="E11" s="13">
        <v>1382509</v>
      </c>
      <c r="F11" s="13">
        <v>0</v>
      </c>
      <c r="G11" s="13">
        <v>1382509</v>
      </c>
      <c r="H11" s="13">
        <v>0</v>
      </c>
      <c r="I11" s="12">
        <v>0.33348899999999998</v>
      </c>
      <c r="J11" s="13">
        <v>275728</v>
      </c>
      <c r="K11" s="12">
        <v>0</v>
      </c>
      <c r="L11" s="13">
        <v>0</v>
      </c>
      <c r="M11" s="13">
        <v>8544402</v>
      </c>
      <c r="N11" s="12">
        <v>6.1803600000000003</v>
      </c>
    </row>
    <row r="12" spans="1:14" ht="30" x14ac:dyDescent="0.2">
      <c r="A12" s="15"/>
      <c r="B12" s="11" t="s">
        <v>51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3">
        <v>254.358</v>
      </c>
      <c r="D13" s="13">
        <v>254.358</v>
      </c>
      <c r="E13" s="13">
        <v>239862.5</v>
      </c>
      <c r="F13" s="13">
        <v>0</v>
      </c>
      <c r="G13" s="13">
        <v>239862.5</v>
      </c>
      <c r="H13" s="13">
        <v>0</v>
      </c>
      <c r="I13" s="12">
        <v>0.43158400000000002</v>
      </c>
      <c r="J13" s="13">
        <v>33907.040000000001</v>
      </c>
      <c r="K13" s="12">
        <v>0</v>
      </c>
      <c r="L13" s="13">
        <v>0</v>
      </c>
      <c r="M13" s="13">
        <v>1917216</v>
      </c>
      <c r="N13" s="12">
        <v>7.9929790000000001</v>
      </c>
    </row>
    <row r="14" spans="1:14" x14ac:dyDescent="0.2">
      <c r="A14" s="15"/>
      <c r="B14" s="11" t="s">
        <v>49</v>
      </c>
      <c r="C14" s="13">
        <v>4570</v>
      </c>
      <c r="D14" s="13">
        <v>4570</v>
      </c>
      <c r="E14" s="13">
        <v>4098671</v>
      </c>
      <c r="F14" s="13">
        <v>0</v>
      </c>
      <c r="G14" s="13">
        <v>4098671</v>
      </c>
      <c r="H14" s="13">
        <v>0</v>
      </c>
      <c r="I14" s="12">
        <v>0.410464</v>
      </c>
      <c r="J14" s="13">
        <v>5886779</v>
      </c>
      <c r="K14" s="12">
        <v>0</v>
      </c>
      <c r="L14" s="13">
        <v>40986710</v>
      </c>
      <c r="M14" s="13">
        <v>67674200</v>
      </c>
      <c r="N14" s="12">
        <v>16.511255999999999</v>
      </c>
    </row>
    <row r="15" spans="1:14" ht="30" x14ac:dyDescent="0.2">
      <c r="A15" s="15"/>
      <c r="B15" s="11" t="s">
        <v>48</v>
      </c>
      <c r="C15" s="13">
        <v>53544.2</v>
      </c>
      <c r="D15" s="13">
        <v>53544.2</v>
      </c>
      <c r="E15" s="13">
        <v>25587490</v>
      </c>
      <c r="F15" s="13">
        <v>0</v>
      </c>
      <c r="G15" s="13">
        <v>25587490</v>
      </c>
      <c r="H15" s="13">
        <v>0</v>
      </c>
      <c r="I15" s="12">
        <v>0.21870800000000001</v>
      </c>
      <c r="J15" s="13">
        <v>6527355</v>
      </c>
      <c r="K15" s="12">
        <v>0</v>
      </c>
      <c r="L15" s="13">
        <v>0</v>
      </c>
      <c r="M15" s="13">
        <v>100501500</v>
      </c>
      <c r="N15" s="12">
        <v>3.9277600000000001</v>
      </c>
    </row>
    <row r="16" spans="1:14" x14ac:dyDescent="0.2">
      <c r="A16" s="15"/>
      <c r="B16" s="11" t="s">
        <v>47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3">
        <v>27270.74</v>
      </c>
      <c r="D17" s="13">
        <v>27270.74</v>
      </c>
      <c r="E17" s="13">
        <v>11172250</v>
      </c>
      <c r="F17" s="13">
        <v>0</v>
      </c>
      <c r="G17" s="13">
        <v>11172250</v>
      </c>
      <c r="H17" s="13">
        <v>0</v>
      </c>
      <c r="I17" s="12">
        <v>0.187496</v>
      </c>
      <c r="J17" s="13">
        <v>3162884</v>
      </c>
      <c r="K17" s="12">
        <v>0</v>
      </c>
      <c r="L17" s="13">
        <v>0</v>
      </c>
      <c r="M17" s="13">
        <v>40533540</v>
      </c>
      <c r="N17" s="12">
        <v>3.6280549999999998</v>
      </c>
    </row>
    <row r="18" spans="1:14" ht="45" x14ac:dyDescent="0.2">
      <c r="A18" s="15"/>
      <c r="B18" s="11" t="s">
        <v>45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3">
        <v>40470.42</v>
      </c>
      <c r="D20" s="13">
        <v>40470.42</v>
      </c>
      <c r="E20" s="13">
        <v>13155770</v>
      </c>
      <c r="F20" s="13">
        <v>0</v>
      </c>
      <c r="G20" s="13">
        <v>13155770</v>
      </c>
      <c r="H20" s="13">
        <v>0</v>
      </c>
      <c r="I20" s="12">
        <v>0.14877399999999999</v>
      </c>
      <c r="J20" s="13">
        <v>1409771</v>
      </c>
      <c r="K20" s="12">
        <v>0</v>
      </c>
      <c r="L20" s="13">
        <v>0</v>
      </c>
      <c r="M20" s="13">
        <v>90148750</v>
      </c>
      <c r="N20" s="12">
        <v>6.852411</v>
      </c>
    </row>
    <row r="21" spans="1:14" ht="30" x14ac:dyDescent="0.2">
      <c r="A21" s="16"/>
      <c r="B21" s="11" t="s">
        <v>42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3">
        <v>230800</v>
      </c>
      <c r="D22" s="13">
        <v>230800</v>
      </c>
      <c r="E22" s="13">
        <v>32630140</v>
      </c>
      <c r="F22" s="13">
        <v>23189870</v>
      </c>
      <c r="G22" s="13">
        <v>9440272</v>
      </c>
      <c r="H22" s="13">
        <v>-9440272</v>
      </c>
      <c r="I22" s="12">
        <v>0.110689</v>
      </c>
      <c r="J22" s="13">
        <v>0</v>
      </c>
      <c r="K22" s="12">
        <v>0</v>
      </c>
      <c r="L22" s="13">
        <v>0</v>
      </c>
      <c r="M22" s="13">
        <v>98449590</v>
      </c>
      <c r="N22" s="12">
        <v>1.7636970000000001</v>
      </c>
    </row>
    <row r="23" spans="1:14" x14ac:dyDescent="0.2">
      <c r="A23" s="14" t="s">
        <v>39</v>
      </c>
      <c r="B23" s="11" t="s">
        <v>38</v>
      </c>
      <c r="C23" s="13">
        <v>12450</v>
      </c>
      <c r="D23" s="13">
        <v>12450</v>
      </c>
      <c r="E23" s="13">
        <v>9572364</v>
      </c>
      <c r="F23" s="13">
        <v>5923816</v>
      </c>
      <c r="G23" s="13">
        <v>3648547</v>
      </c>
      <c r="H23" s="13">
        <v>-3648547</v>
      </c>
      <c r="I23" s="12">
        <v>0.56964400000000004</v>
      </c>
      <c r="J23" s="13">
        <v>30851800</v>
      </c>
      <c r="K23" s="12">
        <v>0</v>
      </c>
      <c r="L23" s="13">
        <v>0</v>
      </c>
      <c r="M23" s="13">
        <v>69731800</v>
      </c>
      <c r="N23" s="12">
        <v>4.4999349999999998</v>
      </c>
    </row>
    <row r="24" spans="1:14" x14ac:dyDescent="0.2">
      <c r="A24" s="15"/>
      <c r="B24" s="11" t="s">
        <v>75</v>
      </c>
      <c r="C24" s="13">
        <v>26000000</v>
      </c>
      <c r="D24" s="13">
        <v>26000000</v>
      </c>
      <c r="E24" s="13">
        <v>0</v>
      </c>
      <c r="F24" s="13">
        <v>460620</v>
      </c>
      <c r="G24" s="13">
        <v>-460620</v>
      </c>
      <c r="H24" s="13">
        <v>0</v>
      </c>
      <c r="I24" s="12">
        <v>7.9999999999999996E-6</v>
      </c>
      <c r="J24" s="13">
        <v>56809540000</v>
      </c>
      <c r="K24" s="12">
        <v>0</v>
      </c>
      <c r="L24" s="13">
        <v>4.6062000000000003</v>
      </c>
      <c r="M24" s="13">
        <v>-4096772</v>
      </c>
      <c r="N24" s="12">
        <v>-8.8940380000000001</v>
      </c>
    </row>
    <row r="25" spans="1:14" ht="30" x14ac:dyDescent="0.2">
      <c r="A25" s="15"/>
      <c r="B25" s="11" t="s">
        <v>37</v>
      </c>
      <c r="C25" s="13">
        <v>3653.0949999999998</v>
      </c>
      <c r="D25" s="13">
        <v>3653.0949999999998</v>
      </c>
      <c r="E25" s="13">
        <v>0</v>
      </c>
      <c r="F25" s="13">
        <v>106390.3</v>
      </c>
      <c r="G25" s="13">
        <v>-106390.3</v>
      </c>
      <c r="H25" s="13">
        <v>0</v>
      </c>
      <c r="I25" s="12">
        <v>1.3329000000000001E-2</v>
      </c>
      <c r="J25" s="13">
        <v>7875622</v>
      </c>
      <c r="K25" s="12">
        <v>0</v>
      </c>
      <c r="L25" s="13">
        <v>0</v>
      </c>
      <c r="M25" s="13">
        <v>0</v>
      </c>
      <c r="N25" s="12" t="s">
        <v>77</v>
      </c>
    </row>
    <row r="26" spans="1:14" ht="30" x14ac:dyDescent="0.2">
      <c r="A26" s="16"/>
      <c r="B26" s="11" t="s">
        <v>36</v>
      </c>
      <c r="C26" s="13">
        <v>278.38099999999997</v>
      </c>
      <c r="D26" s="13">
        <v>278.38099999999997</v>
      </c>
      <c r="E26" s="13">
        <v>0</v>
      </c>
      <c r="F26" s="13">
        <v>69455.179999999993</v>
      </c>
      <c r="G26" s="13">
        <v>-69455.179999999993</v>
      </c>
      <c r="H26" s="13">
        <v>0</v>
      </c>
      <c r="I26" s="12">
        <v>0.114186</v>
      </c>
      <c r="J26" s="13">
        <v>538807.30000000005</v>
      </c>
      <c r="K26" s="12">
        <v>0</v>
      </c>
      <c r="L26" s="13">
        <v>347275.9</v>
      </c>
      <c r="M26" s="13">
        <v>0</v>
      </c>
      <c r="N26" s="12" t="s">
        <v>77</v>
      </c>
    </row>
    <row r="27" spans="1:14" ht="30" x14ac:dyDescent="0.2">
      <c r="A27" s="14" t="s">
        <v>35</v>
      </c>
      <c r="B27" s="11" t="s">
        <v>34</v>
      </c>
      <c r="C27" s="13">
        <v>0</v>
      </c>
      <c r="D27" s="13">
        <v>0</v>
      </c>
      <c r="E27" s="13">
        <v>0</v>
      </c>
      <c r="F27" s="13">
        <v>1877543</v>
      </c>
      <c r="G27" s="13">
        <v>-1877543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-15040120</v>
      </c>
      <c r="N27" s="12">
        <v>-8.0105319999999995</v>
      </c>
    </row>
    <row r="28" spans="1:14" x14ac:dyDescent="0.2">
      <c r="A28" s="16"/>
      <c r="B28" s="11" t="s">
        <v>33</v>
      </c>
      <c r="C28" s="13">
        <v>0</v>
      </c>
      <c r="D28" s="13">
        <v>0</v>
      </c>
      <c r="E28" s="13">
        <v>0</v>
      </c>
      <c r="F28" s="13">
        <v>52178340</v>
      </c>
      <c r="G28" s="13">
        <v>-52178340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-406241600</v>
      </c>
      <c r="N28" s="12">
        <v>-7.7856370000000004</v>
      </c>
    </row>
    <row r="29" spans="1:14" ht="30" x14ac:dyDescent="0.2">
      <c r="A29" s="14" t="s">
        <v>32</v>
      </c>
      <c r="B29" s="11" t="s">
        <v>31</v>
      </c>
      <c r="C29" s="13">
        <v>26471.97</v>
      </c>
      <c r="D29" s="13">
        <v>26471.97</v>
      </c>
      <c r="E29" s="13">
        <v>2589519</v>
      </c>
      <c r="F29" s="13">
        <v>5996822</v>
      </c>
      <c r="G29" s="13">
        <v>-3407303</v>
      </c>
      <c r="H29" s="13">
        <v>0</v>
      </c>
      <c r="I29" s="12">
        <v>0.148447</v>
      </c>
      <c r="J29" s="13">
        <v>61248560</v>
      </c>
      <c r="K29" s="12">
        <v>0</v>
      </c>
      <c r="L29" s="13">
        <v>0</v>
      </c>
      <c r="M29" s="13">
        <v>15954740</v>
      </c>
      <c r="N29" s="12">
        <v>1.8581529999999999</v>
      </c>
    </row>
    <row r="30" spans="1:14" ht="45" x14ac:dyDescent="0.2">
      <c r="A30" s="15"/>
      <c r="B30" s="11" t="s">
        <v>30</v>
      </c>
      <c r="C30" s="13">
        <v>857.70799999999997</v>
      </c>
      <c r="D30" s="13">
        <v>857.70799999999997</v>
      </c>
      <c r="E30" s="13">
        <v>138969.1</v>
      </c>
      <c r="F30" s="13">
        <v>267994.8</v>
      </c>
      <c r="G30" s="13">
        <v>-129025.7</v>
      </c>
      <c r="H30" s="13">
        <v>0</v>
      </c>
      <c r="I30" s="12">
        <v>0.21715300000000001</v>
      </c>
      <c r="J30" s="13">
        <v>2003118</v>
      </c>
      <c r="K30" s="12">
        <v>0</v>
      </c>
      <c r="L30" s="13">
        <v>0</v>
      </c>
      <c r="M30" s="13">
        <v>524495.6</v>
      </c>
      <c r="N30" s="12">
        <v>1.2888010000000001</v>
      </c>
    </row>
    <row r="31" spans="1:14" ht="45" x14ac:dyDescent="0.2">
      <c r="A31" s="15"/>
      <c r="B31" s="11" t="s">
        <v>29</v>
      </c>
      <c r="C31" s="13">
        <v>457.99400000000003</v>
      </c>
      <c r="D31" s="13">
        <v>457.99400000000003</v>
      </c>
      <c r="E31" s="13">
        <v>30994.32</v>
      </c>
      <c r="F31" s="13">
        <v>251031.4</v>
      </c>
      <c r="G31" s="13">
        <v>-220037.1</v>
      </c>
      <c r="H31" s="13">
        <v>0</v>
      </c>
      <c r="I31" s="12">
        <v>0.28182400000000002</v>
      </c>
      <c r="J31" s="13">
        <v>1220754</v>
      </c>
      <c r="K31" s="12">
        <v>0</v>
      </c>
      <c r="L31" s="13">
        <v>0</v>
      </c>
      <c r="M31" s="13">
        <v>535039.5</v>
      </c>
      <c r="N31" s="12">
        <v>1.89713</v>
      </c>
    </row>
    <row r="32" spans="1:14" ht="60" x14ac:dyDescent="0.2">
      <c r="A32" s="16"/>
      <c r="B32" s="11" t="s">
        <v>28</v>
      </c>
      <c r="C32" s="13">
        <v>5300</v>
      </c>
      <c r="D32" s="13">
        <v>5300</v>
      </c>
      <c r="E32" s="13">
        <v>815599.9</v>
      </c>
      <c r="F32" s="13">
        <v>2221046</v>
      </c>
      <c r="G32" s="13">
        <v>-1405446</v>
      </c>
      <c r="H32" s="13">
        <v>0</v>
      </c>
      <c r="I32" s="12">
        <v>0.26222099999999998</v>
      </c>
      <c r="J32" s="13">
        <v>12985950</v>
      </c>
      <c r="K32" s="12">
        <v>0</v>
      </c>
      <c r="L32" s="13">
        <v>0</v>
      </c>
      <c r="M32" s="13">
        <v>9562929</v>
      </c>
      <c r="N32" s="12">
        <v>3.1491750000000001</v>
      </c>
    </row>
    <row r="33" spans="1:14" x14ac:dyDescent="0.2">
      <c r="A33" s="14" t="s">
        <v>27</v>
      </c>
      <c r="B33" s="11" t="s">
        <v>75</v>
      </c>
      <c r="C33" s="13">
        <v>13000000</v>
      </c>
      <c r="D33" s="13">
        <v>13000000</v>
      </c>
      <c r="E33" s="13">
        <v>230310</v>
      </c>
      <c r="F33" s="13">
        <v>230310</v>
      </c>
      <c r="G33" s="13">
        <v>0</v>
      </c>
      <c r="H33" s="13">
        <v>0</v>
      </c>
      <c r="I33" s="12">
        <v>0.99970700000000001</v>
      </c>
      <c r="J33" s="13">
        <v>0</v>
      </c>
      <c r="K33" s="12">
        <v>0</v>
      </c>
      <c r="L33" s="13">
        <v>0</v>
      </c>
      <c r="M33" s="13">
        <v>0</v>
      </c>
      <c r="N33" s="12" t="s">
        <v>77</v>
      </c>
    </row>
    <row r="34" spans="1:14" ht="30" x14ac:dyDescent="0.2">
      <c r="A34" s="16"/>
      <c r="B34" s="11" t="s">
        <v>26</v>
      </c>
      <c r="C34" s="13">
        <v>46768.01</v>
      </c>
      <c r="D34" s="13">
        <v>46768.01</v>
      </c>
      <c r="E34" s="13">
        <v>68424.08</v>
      </c>
      <c r="F34" s="13">
        <v>73442.11</v>
      </c>
      <c r="G34" s="13">
        <v>-5018.0290000000005</v>
      </c>
      <c r="H34" s="13">
        <v>0</v>
      </c>
      <c r="I34" s="12">
        <v>0.49105799999999999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9560-5567-A244-8BF9-67DB9C05F398}">
  <dimension ref="A1:N33"/>
  <sheetViews>
    <sheetView workbookViewId="0">
      <selection sqref="A1:N33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3">
        <v>13695</v>
      </c>
      <c r="D7" s="13">
        <v>13695</v>
      </c>
      <c r="E7" s="13">
        <v>3607473</v>
      </c>
      <c r="F7" s="13">
        <v>0</v>
      </c>
      <c r="G7" s="13">
        <v>3607473</v>
      </c>
      <c r="H7" s="13">
        <v>0</v>
      </c>
      <c r="I7" s="13">
        <v>0.1205562</v>
      </c>
      <c r="J7" s="13">
        <v>26316100</v>
      </c>
      <c r="K7" s="12">
        <v>0</v>
      </c>
      <c r="L7" s="13">
        <v>41523480</v>
      </c>
      <c r="M7" s="13">
        <v>41523480</v>
      </c>
      <c r="N7" s="12">
        <v>11.510408</v>
      </c>
    </row>
    <row r="8" spans="1:14" x14ac:dyDescent="0.2">
      <c r="A8" s="15"/>
      <c r="B8" s="11" t="s">
        <v>55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3">
        <v>11</v>
      </c>
      <c r="D9" s="13">
        <v>11</v>
      </c>
      <c r="E9" s="13">
        <v>4626.7979999999998</v>
      </c>
      <c r="F9" s="13">
        <v>0</v>
      </c>
      <c r="G9" s="13">
        <v>4626.7979999999998</v>
      </c>
      <c r="H9" s="13">
        <v>0</v>
      </c>
      <c r="I9" s="13">
        <v>0.1925027</v>
      </c>
      <c r="J9" s="13">
        <v>19408.2</v>
      </c>
      <c r="K9" s="12">
        <v>0</v>
      </c>
      <c r="L9" s="13">
        <v>57649.9</v>
      </c>
      <c r="M9" s="13">
        <v>97520.62</v>
      </c>
      <c r="N9" s="12">
        <v>21.077321000000001</v>
      </c>
    </row>
    <row r="10" spans="1:14" ht="30" x14ac:dyDescent="0.2">
      <c r="A10" s="15"/>
      <c r="B10" s="11" t="s">
        <v>53</v>
      </c>
      <c r="C10" s="13">
        <v>834.51110000000006</v>
      </c>
      <c r="D10" s="13">
        <v>834.51110000000006</v>
      </c>
      <c r="E10" s="13">
        <v>484.79500000000002</v>
      </c>
      <c r="F10" s="13">
        <v>0</v>
      </c>
      <c r="G10" s="13">
        <v>484.79500000000002</v>
      </c>
      <c r="H10" s="13">
        <v>0</v>
      </c>
      <c r="I10" s="13">
        <v>2.6586829999999999E-4</v>
      </c>
      <c r="J10" s="13">
        <v>1822922</v>
      </c>
      <c r="K10" s="12">
        <v>0</v>
      </c>
      <c r="L10" s="13">
        <v>26178.93</v>
      </c>
      <c r="M10" s="13">
        <v>26314.7</v>
      </c>
      <c r="N10" s="12">
        <v>54.281064999999998</v>
      </c>
    </row>
    <row r="11" spans="1:14" ht="30" x14ac:dyDescent="0.2">
      <c r="A11" s="15"/>
      <c r="B11" s="11" t="s">
        <v>52</v>
      </c>
      <c r="C11" s="13">
        <v>1897.296</v>
      </c>
      <c r="D11" s="13">
        <v>1897.296</v>
      </c>
      <c r="E11" s="13">
        <v>1361064</v>
      </c>
      <c r="F11" s="13">
        <v>0</v>
      </c>
      <c r="G11" s="13">
        <v>1361064</v>
      </c>
      <c r="H11" s="13">
        <v>0</v>
      </c>
      <c r="I11" s="13">
        <v>0.3283161</v>
      </c>
      <c r="J11" s="13">
        <v>297172.2</v>
      </c>
      <c r="K11" s="12">
        <v>0</v>
      </c>
      <c r="L11" s="13">
        <v>0</v>
      </c>
      <c r="M11" s="13">
        <v>8652598</v>
      </c>
      <c r="N11" s="12">
        <v>6.3572280000000001</v>
      </c>
    </row>
    <row r="12" spans="1:14" ht="30" x14ac:dyDescent="0.2">
      <c r="A12" s="15"/>
      <c r="B12" s="11" t="s">
        <v>51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3">
        <v>254.358</v>
      </c>
      <c r="D13" s="13">
        <v>254.358</v>
      </c>
      <c r="E13" s="13">
        <v>239746.7</v>
      </c>
      <c r="F13" s="13">
        <v>0</v>
      </c>
      <c r="G13" s="13">
        <v>239746.7</v>
      </c>
      <c r="H13" s="13">
        <v>0</v>
      </c>
      <c r="I13" s="13">
        <v>0.43137579999999998</v>
      </c>
      <c r="J13" s="13">
        <v>34022.870000000003</v>
      </c>
      <c r="K13" s="12">
        <v>0</v>
      </c>
      <c r="L13" s="13">
        <v>0</v>
      </c>
      <c r="M13" s="13">
        <v>1937828</v>
      </c>
      <c r="N13" s="12">
        <v>8.0828140000000008</v>
      </c>
    </row>
    <row r="14" spans="1:14" x14ac:dyDescent="0.2">
      <c r="A14" s="15"/>
      <c r="B14" s="11" t="s">
        <v>49</v>
      </c>
      <c r="C14" s="13">
        <v>4570</v>
      </c>
      <c r="D14" s="13">
        <v>4570</v>
      </c>
      <c r="E14" s="13">
        <v>4105115</v>
      </c>
      <c r="F14" s="13">
        <v>0</v>
      </c>
      <c r="G14" s="13">
        <v>4105115</v>
      </c>
      <c r="H14" s="13">
        <v>0</v>
      </c>
      <c r="I14" s="13">
        <v>0.41110970000000002</v>
      </c>
      <c r="J14" s="13">
        <v>5880335</v>
      </c>
      <c r="K14" s="12">
        <v>0</v>
      </c>
      <c r="L14" s="13">
        <v>41051150</v>
      </c>
      <c r="M14" s="13">
        <v>68830400</v>
      </c>
      <c r="N14" s="12">
        <v>16.766981999999999</v>
      </c>
    </row>
    <row r="15" spans="1:14" ht="30" x14ac:dyDescent="0.2">
      <c r="A15" s="15"/>
      <c r="B15" s="11" t="s">
        <v>48</v>
      </c>
      <c r="C15" s="13">
        <v>53544.2</v>
      </c>
      <c r="D15" s="13">
        <v>53544.2</v>
      </c>
      <c r="E15" s="13">
        <v>25434190</v>
      </c>
      <c r="F15" s="13">
        <v>0</v>
      </c>
      <c r="G15" s="13">
        <v>25434190</v>
      </c>
      <c r="H15" s="13">
        <v>0</v>
      </c>
      <c r="I15" s="13">
        <v>0.21739729999999999</v>
      </c>
      <c r="J15" s="13">
        <v>6680651</v>
      </c>
      <c r="K15" s="12">
        <v>0</v>
      </c>
      <c r="L15" s="13">
        <v>0</v>
      </c>
      <c r="M15" s="13">
        <v>101620600</v>
      </c>
      <c r="N15" s="12">
        <v>3.9954329999999998</v>
      </c>
    </row>
    <row r="16" spans="1:14" x14ac:dyDescent="0.2">
      <c r="A16" s="15"/>
      <c r="B16" s="11" t="s">
        <v>47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3">
        <v>27270.74</v>
      </c>
      <c r="D17" s="13">
        <v>27270.74</v>
      </c>
      <c r="E17" s="13">
        <v>11008800</v>
      </c>
      <c r="F17" s="13">
        <v>0</v>
      </c>
      <c r="G17" s="13">
        <v>11008800</v>
      </c>
      <c r="H17" s="13">
        <v>0</v>
      </c>
      <c r="I17" s="13">
        <v>0.184753</v>
      </c>
      <c r="J17" s="13">
        <v>3326338</v>
      </c>
      <c r="K17" s="12">
        <v>0</v>
      </c>
      <c r="L17" s="13">
        <v>0</v>
      </c>
      <c r="M17" s="13">
        <v>41099210</v>
      </c>
      <c r="N17" s="12">
        <v>3.7333059999999998</v>
      </c>
    </row>
    <row r="18" spans="1:14" ht="45" x14ac:dyDescent="0.2">
      <c r="A18" s="15"/>
      <c r="B18" s="11" t="s">
        <v>45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3">
        <v>40470.42</v>
      </c>
      <c r="D20" s="13">
        <v>40470.42</v>
      </c>
      <c r="E20" s="13">
        <v>13196110</v>
      </c>
      <c r="F20" s="13">
        <v>0</v>
      </c>
      <c r="G20" s="13">
        <v>13196110</v>
      </c>
      <c r="H20" s="13">
        <v>0</v>
      </c>
      <c r="I20" s="13">
        <v>0.14923020000000001</v>
      </c>
      <c r="J20" s="13">
        <v>1369434</v>
      </c>
      <c r="K20" s="12">
        <v>0</v>
      </c>
      <c r="L20" s="13">
        <v>0</v>
      </c>
      <c r="M20" s="13">
        <v>90582810</v>
      </c>
      <c r="N20" s="12">
        <v>6.8643590000000003</v>
      </c>
    </row>
    <row r="21" spans="1:14" ht="30" x14ac:dyDescent="0.2">
      <c r="A21" s="16"/>
      <c r="B21" s="11" t="s">
        <v>42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3">
        <v>230800</v>
      </c>
      <c r="D22" s="13">
        <v>230800</v>
      </c>
      <c r="E22" s="13">
        <v>32038120</v>
      </c>
      <c r="F22" s="13">
        <v>23489910</v>
      </c>
      <c r="G22" s="13">
        <v>8548214</v>
      </c>
      <c r="H22" s="13">
        <v>-8548214</v>
      </c>
      <c r="I22" s="13">
        <v>0.1101096</v>
      </c>
      <c r="J22" s="13">
        <v>0</v>
      </c>
      <c r="K22" s="12">
        <v>0</v>
      </c>
      <c r="L22" s="13">
        <v>0</v>
      </c>
      <c r="M22" s="13">
        <v>100397100</v>
      </c>
      <c r="N22" s="12">
        <v>1.808044</v>
      </c>
    </row>
    <row r="23" spans="1:14" x14ac:dyDescent="0.2">
      <c r="A23" s="14" t="s">
        <v>39</v>
      </c>
      <c r="B23" s="11" t="s">
        <v>38</v>
      </c>
      <c r="C23" s="13">
        <v>12450</v>
      </c>
      <c r="D23" s="13">
        <v>12450</v>
      </c>
      <c r="E23" s="13">
        <v>9600557</v>
      </c>
      <c r="F23" s="13">
        <v>5900584</v>
      </c>
      <c r="G23" s="13">
        <v>3699972</v>
      </c>
      <c r="H23" s="13">
        <v>-3699972</v>
      </c>
      <c r="I23" s="13">
        <v>0.56982679999999997</v>
      </c>
      <c r="J23" s="13">
        <v>30903220</v>
      </c>
      <c r="K23" s="12">
        <v>0</v>
      </c>
      <c r="L23" s="13">
        <v>0</v>
      </c>
      <c r="M23" s="13">
        <v>71862750</v>
      </c>
      <c r="N23" s="12">
        <v>4.6359649999999997</v>
      </c>
    </row>
    <row r="24" spans="1:14" ht="30" x14ac:dyDescent="0.2">
      <c r="A24" s="15"/>
      <c r="B24" s="11" t="s">
        <v>37</v>
      </c>
      <c r="C24" s="13">
        <v>3653.0949999999998</v>
      </c>
      <c r="D24" s="13">
        <v>3653.0949999999998</v>
      </c>
      <c r="E24" s="13">
        <v>0</v>
      </c>
      <c r="F24" s="13">
        <v>102270.6</v>
      </c>
      <c r="G24" s="13">
        <v>-102270.6</v>
      </c>
      <c r="H24" s="13">
        <v>0</v>
      </c>
      <c r="I24" s="13">
        <v>1.281263E-2</v>
      </c>
      <c r="J24" s="13">
        <v>7879741</v>
      </c>
      <c r="K24" s="12">
        <v>0</v>
      </c>
      <c r="L24" s="13">
        <v>0</v>
      </c>
      <c r="M24" s="13">
        <v>0</v>
      </c>
      <c r="N24" s="12" t="s">
        <v>77</v>
      </c>
    </row>
    <row r="25" spans="1:14" ht="30" x14ac:dyDescent="0.2">
      <c r="A25" s="15"/>
      <c r="B25" s="11" t="s">
        <v>36</v>
      </c>
      <c r="C25" s="13">
        <v>278.38099999999997</v>
      </c>
      <c r="D25" s="13">
        <v>278.38099999999997</v>
      </c>
      <c r="E25" s="13">
        <v>0</v>
      </c>
      <c r="F25" s="13">
        <v>69490.83</v>
      </c>
      <c r="G25" s="13">
        <v>-69490.83</v>
      </c>
      <c r="H25" s="13">
        <v>0</v>
      </c>
      <c r="I25" s="13">
        <v>0.11424479999999999</v>
      </c>
      <c r="J25" s="13">
        <v>538771.69999999995</v>
      </c>
      <c r="K25" s="12">
        <v>0</v>
      </c>
      <c r="L25" s="13">
        <v>347454.1</v>
      </c>
      <c r="M25" s="13">
        <v>0</v>
      </c>
      <c r="N25" s="12" t="s">
        <v>77</v>
      </c>
    </row>
    <row r="26" spans="1:14" ht="30" x14ac:dyDescent="0.2">
      <c r="A26" s="16"/>
      <c r="B26" s="11" t="s">
        <v>76</v>
      </c>
      <c r="C26" s="13">
        <v>156000000</v>
      </c>
      <c r="D26" s="13">
        <v>156000000</v>
      </c>
      <c r="E26" s="13">
        <v>0</v>
      </c>
      <c r="F26" s="13">
        <v>2532.12</v>
      </c>
      <c r="G26" s="13">
        <v>-2532.12</v>
      </c>
      <c r="H26" s="13">
        <v>2532.12</v>
      </c>
      <c r="I26" s="13">
        <v>7.4286539999999996E-9</v>
      </c>
      <c r="J26" s="13">
        <v>340860000000</v>
      </c>
      <c r="K26" s="12">
        <v>0</v>
      </c>
      <c r="L26" s="13">
        <v>2.5319999999999999E-2</v>
      </c>
      <c r="M26" s="13">
        <v>-23368.58</v>
      </c>
      <c r="N26" s="12">
        <v>-9.2288180000000004</v>
      </c>
    </row>
    <row r="27" spans="1:14" ht="30" x14ac:dyDescent="0.2">
      <c r="A27" s="14" t="s">
        <v>35</v>
      </c>
      <c r="B27" s="11" t="s">
        <v>34</v>
      </c>
      <c r="C27" s="13">
        <v>0</v>
      </c>
      <c r="D27" s="13">
        <v>0</v>
      </c>
      <c r="E27" s="13">
        <v>0</v>
      </c>
      <c r="F27" s="13">
        <v>1877543</v>
      </c>
      <c r="G27" s="13">
        <v>-1877543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-15237610</v>
      </c>
      <c r="N27" s="12">
        <v>-8.1157199999999996</v>
      </c>
    </row>
    <row r="28" spans="1:14" x14ac:dyDescent="0.2">
      <c r="A28" s="16"/>
      <c r="B28" s="11" t="s">
        <v>33</v>
      </c>
      <c r="C28" s="13">
        <v>0</v>
      </c>
      <c r="D28" s="13">
        <v>0</v>
      </c>
      <c r="E28" s="13">
        <v>0</v>
      </c>
      <c r="F28" s="13">
        <v>52178340</v>
      </c>
      <c r="G28" s="13">
        <v>-52178340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-411600400</v>
      </c>
      <c r="N28" s="12">
        <v>-7.8883380000000001</v>
      </c>
    </row>
    <row r="29" spans="1:14" ht="30" x14ac:dyDescent="0.2">
      <c r="A29" s="14" t="s">
        <v>32</v>
      </c>
      <c r="B29" s="11" t="s">
        <v>31</v>
      </c>
      <c r="C29" s="13">
        <v>26471.97</v>
      </c>
      <c r="D29" s="13">
        <v>26471.97</v>
      </c>
      <c r="E29" s="13">
        <v>3439369</v>
      </c>
      <c r="F29" s="13">
        <v>6700199</v>
      </c>
      <c r="G29" s="13">
        <v>-3260830</v>
      </c>
      <c r="H29" s="13">
        <v>0</v>
      </c>
      <c r="I29" s="13">
        <v>0.17529990000000001</v>
      </c>
      <c r="J29" s="13">
        <v>61102090</v>
      </c>
      <c r="K29" s="12">
        <v>0</v>
      </c>
      <c r="L29" s="13">
        <v>0</v>
      </c>
      <c r="M29" s="13">
        <v>16733250</v>
      </c>
      <c r="N29" s="12">
        <v>1.6502920000000001</v>
      </c>
    </row>
    <row r="30" spans="1:14" ht="45" x14ac:dyDescent="0.2">
      <c r="A30" s="15"/>
      <c r="B30" s="11" t="s">
        <v>30</v>
      </c>
      <c r="C30" s="13">
        <v>857.70799999999997</v>
      </c>
      <c r="D30" s="13">
        <v>857.70799999999997</v>
      </c>
      <c r="E30" s="13">
        <v>181985.7</v>
      </c>
      <c r="F30" s="13">
        <v>301849</v>
      </c>
      <c r="G30" s="13">
        <v>-119863.3</v>
      </c>
      <c r="H30" s="13">
        <v>0</v>
      </c>
      <c r="I30" s="13">
        <v>0.25817020000000002</v>
      </c>
      <c r="J30" s="13">
        <v>1993955</v>
      </c>
      <c r="K30" s="12">
        <v>0</v>
      </c>
      <c r="L30" s="13">
        <v>0</v>
      </c>
      <c r="M30" s="13">
        <v>550584.9</v>
      </c>
      <c r="N30" s="12">
        <v>1.137961</v>
      </c>
    </row>
    <row r="31" spans="1:14" ht="45" x14ac:dyDescent="0.2">
      <c r="A31" s="15"/>
      <c r="B31" s="11" t="s">
        <v>29</v>
      </c>
      <c r="C31" s="13">
        <v>457.99400000000003</v>
      </c>
      <c r="D31" s="13">
        <v>457.99400000000003</v>
      </c>
      <c r="E31" s="13">
        <v>33469.49</v>
      </c>
      <c r="F31" s="13">
        <v>248634.8</v>
      </c>
      <c r="G31" s="13">
        <v>-215165.3</v>
      </c>
      <c r="H31" s="13">
        <v>0</v>
      </c>
      <c r="I31" s="13">
        <v>0.28190219999999999</v>
      </c>
      <c r="J31" s="13">
        <v>1215882</v>
      </c>
      <c r="K31" s="12">
        <v>0</v>
      </c>
      <c r="L31" s="13">
        <v>0</v>
      </c>
      <c r="M31" s="13">
        <v>557677.19999999995</v>
      </c>
      <c r="N31" s="12">
        <v>1.9768479999999999</v>
      </c>
    </row>
    <row r="32" spans="1:14" ht="60" x14ac:dyDescent="0.2">
      <c r="A32" s="16"/>
      <c r="B32" s="11" t="s">
        <v>28</v>
      </c>
      <c r="C32" s="13">
        <v>5300</v>
      </c>
      <c r="D32" s="13">
        <v>5300</v>
      </c>
      <c r="E32" s="13">
        <v>972066.2</v>
      </c>
      <c r="F32" s="13">
        <v>2302912</v>
      </c>
      <c r="G32" s="13">
        <v>-1330846</v>
      </c>
      <c r="H32" s="13">
        <v>0</v>
      </c>
      <c r="I32" s="13">
        <v>0.28280110000000003</v>
      </c>
      <c r="J32" s="13">
        <v>12911350</v>
      </c>
      <c r="K32" s="12">
        <v>0</v>
      </c>
      <c r="L32" s="13">
        <v>0</v>
      </c>
      <c r="M32" s="13">
        <v>9936947</v>
      </c>
      <c r="N32" s="12">
        <v>3.0342020000000001</v>
      </c>
    </row>
    <row r="33" spans="1:14" ht="30" x14ac:dyDescent="0.2">
      <c r="A33" s="11" t="s">
        <v>27</v>
      </c>
      <c r="B33" s="11" t="s">
        <v>26</v>
      </c>
      <c r="C33" s="13">
        <v>46768.01</v>
      </c>
      <c r="D33" s="13">
        <v>46768.01</v>
      </c>
      <c r="E33" s="13">
        <v>68399.41</v>
      </c>
      <c r="F33" s="13">
        <v>70498</v>
      </c>
      <c r="G33" s="13">
        <v>-2098.5889999999999</v>
      </c>
      <c r="H33" s="13">
        <v>0</v>
      </c>
      <c r="I33" s="13">
        <v>0.2053653</v>
      </c>
      <c r="J33" s="13">
        <v>0</v>
      </c>
      <c r="K33" s="12">
        <v>0</v>
      </c>
      <c r="L33" s="13">
        <v>0</v>
      </c>
      <c r="M33" s="13">
        <v>0</v>
      </c>
      <c r="N33" s="12" t="s">
        <v>77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8063-90BA-6748-BE7A-99BA88B74C21}">
  <dimension ref="A1:N35"/>
  <sheetViews>
    <sheetView workbookViewId="0">
      <selection sqref="A1:N3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3">
        <v>13695</v>
      </c>
      <c r="D7" s="13">
        <v>13695</v>
      </c>
      <c r="E7" s="13">
        <v>3402878</v>
      </c>
      <c r="F7" s="13">
        <v>0</v>
      </c>
      <c r="G7" s="13">
        <v>3402878</v>
      </c>
      <c r="H7" s="13">
        <v>0</v>
      </c>
      <c r="I7" s="13">
        <v>0.113719</v>
      </c>
      <c r="J7" s="13">
        <v>26520700</v>
      </c>
      <c r="K7" s="12">
        <v>0</v>
      </c>
      <c r="L7" s="13">
        <v>37407720</v>
      </c>
      <c r="M7" s="13">
        <v>37407720</v>
      </c>
      <c r="N7" s="12">
        <v>10.992965999999999</v>
      </c>
    </row>
    <row r="8" spans="1:14" x14ac:dyDescent="0.2">
      <c r="A8" s="15"/>
      <c r="B8" s="11" t="s">
        <v>55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3">
        <v>11</v>
      </c>
      <c r="D9" s="13">
        <v>11</v>
      </c>
      <c r="E9" s="13">
        <v>4153.8180000000002</v>
      </c>
      <c r="F9" s="13">
        <v>0</v>
      </c>
      <c r="G9" s="13">
        <v>4153.8180000000002</v>
      </c>
      <c r="H9" s="13">
        <v>0</v>
      </c>
      <c r="I9" s="13">
        <v>0.17282359999999999</v>
      </c>
      <c r="J9" s="13">
        <v>19881.18</v>
      </c>
      <c r="K9" s="12">
        <v>0</v>
      </c>
      <c r="L9" s="13">
        <v>51756.57</v>
      </c>
      <c r="M9" s="13">
        <v>87927.41</v>
      </c>
      <c r="N9" s="12">
        <v>21.167864000000002</v>
      </c>
    </row>
    <row r="10" spans="1:14" ht="30" x14ac:dyDescent="0.2">
      <c r="A10" s="15"/>
      <c r="B10" s="11" t="s">
        <v>53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3">
        <v>1.950843E-5</v>
      </c>
      <c r="J10" s="13">
        <v>1823371</v>
      </c>
      <c r="K10" s="12">
        <v>0</v>
      </c>
      <c r="L10" s="13">
        <v>1921.433</v>
      </c>
      <c r="M10" s="13">
        <v>1969.3720000000001</v>
      </c>
      <c r="N10" s="12">
        <v>55.363022000000001</v>
      </c>
    </row>
    <row r="11" spans="1:14" ht="30" x14ac:dyDescent="0.2">
      <c r="A11" s="15"/>
      <c r="B11" s="11" t="s">
        <v>52</v>
      </c>
      <c r="C11" s="13">
        <v>1897.296</v>
      </c>
      <c r="D11" s="13">
        <v>1897.296</v>
      </c>
      <c r="E11" s="13">
        <v>1361794</v>
      </c>
      <c r="F11" s="13">
        <v>0</v>
      </c>
      <c r="G11" s="13">
        <v>1361794</v>
      </c>
      <c r="H11" s="13">
        <v>0</v>
      </c>
      <c r="I11" s="13">
        <v>0.3284919</v>
      </c>
      <c r="J11" s="13">
        <v>296443.2</v>
      </c>
      <c r="K11" s="12">
        <v>0</v>
      </c>
      <c r="L11" s="13">
        <v>0</v>
      </c>
      <c r="M11" s="13">
        <v>8398480</v>
      </c>
      <c r="N11" s="12">
        <v>6.1672200000000004</v>
      </c>
    </row>
    <row r="12" spans="1:14" ht="30" x14ac:dyDescent="0.2">
      <c r="A12" s="15"/>
      <c r="B12" s="11" t="s">
        <v>51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3">
        <v>254.358</v>
      </c>
      <c r="D13" s="13">
        <v>254.358</v>
      </c>
      <c r="E13" s="13">
        <v>239098.6</v>
      </c>
      <c r="F13" s="13">
        <v>0</v>
      </c>
      <c r="G13" s="13">
        <v>239098.6</v>
      </c>
      <c r="H13" s="13">
        <v>0</v>
      </c>
      <c r="I13" s="13">
        <v>0.43020969999999997</v>
      </c>
      <c r="J13" s="13">
        <v>34670.94</v>
      </c>
      <c r="K13" s="12">
        <v>0</v>
      </c>
      <c r="L13" s="13">
        <v>0</v>
      </c>
      <c r="M13" s="13">
        <v>1881463</v>
      </c>
      <c r="N13" s="12">
        <v>7.8689819999999999</v>
      </c>
    </row>
    <row r="14" spans="1:14" x14ac:dyDescent="0.2">
      <c r="A14" s="15"/>
      <c r="B14" s="11" t="s">
        <v>49</v>
      </c>
      <c r="C14" s="13">
        <v>4570</v>
      </c>
      <c r="D14" s="13">
        <v>4570</v>
      </c>
      <c r="E14" s="13">
        <v>3982504</v>
      </c>
      <c r="F14" s="13">
        <v>0</v>
      </c>
      <c r="G14" s="13">
        <v>3982504</v>
      </c>
      <c r="H14" s="13">
        <v>0</v>
      </c>
      <c r="I14" s="13">
        <v>0.39883069999999998</v>
      </c>
      <c r="J14" s="13">
        <v>6002946</v>
      </c>
      <c r="K14" s="12">
        <v>0</v>
      </c>
      <c r="L14" s="13">
        <v>39825040</v>
      </c>
      <c r="M14" s="13">
        <v>64984490</v>
      </c>
      <c r="N14" s="12">
        <v>16.317494</v>
      </c>
    </row>
    <row r="15" spans="1:14" ht="30" x14ac:dyDescent="0.2">
      <c r="A15" s="15"/>
      <c r="B15" s="11" t="s">
        <v>48</v>
      </c>
      <c r="C15" s="13">
        <v>53544.2</v>
      </c>
      <c r="D15" s="13">
        <v>53544.2</v>
      </c>
      <c r="E15" s="13">
        <v>25566430</v>
      </c>
      <c r="F15" s="13">
        <v>0</v>
      </c>
      <c r="G15" s="13">
        <v>25566430</v>
      </c>
      <c r="H15" s="13">
        <v>0</v>
      </c>
      <c r="I15" s="13">
        <v>0.21852750000000001</v>
      </c>
      <c r="J15" s="13">
        <v>6548418</v>
      </c>
      <c r="K15" s="12">
        <v>0</v>
      </c>
      <c r="L15" s="13">
        <v>0</v>
      </c>
      <c r="M15" s="13">
        <v>99173280</v>
      </c>
      <c r="N15" s="12">
        <v>3.8790429999999998</v>
      </c>
    </row>
    <row r="16" spans="1:14" x14ac:dyDescent="0.2">
      <c r="A16" s="15"/>
      <c r="B16" s="11" t="s">
        <v>47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3">
        <v>27270.74</v>
      </c>
      <c r="D17" s="13">
        <v>27270.74</v>
      </c>
      <c r="E17" s="13">
        <v>11058470</v>
      </c>
      <c r="F17" s="13">
        <v>0</v>
      </c>
      <c r="G17" s="13">
        <v>11058470</v>
      </c>
      <c r="H17" s="13">
        <v>0</v>
      </c>
      <c r="I17" s="13">
        <v>0.18558669999999999</v>
      </c>
      <c r="J17" s="13">
        <v>3276661</v>
      </c>
      <c r="K17" s="12">
        <v>0</v>
      </c>
      <c r="L17" s="13">
        <v>0</v>
      </c>
      <c r="M17" s="13">
        <v>39947720</v>
      </c>
      <c r="N17" s="12">
        <v>3.6124079999999998</v>
      </c>
    </row>
    <row r="18" spans="1:14" ht="45" x14ac:dyDescent="0.2">
      <c r="A18" s="15"/>
      <c r="B18" s="11" t="s">
        <v>45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3">
        <v>40470.42</v>
      </c>
      <c r="D20" s="13">
        <v>40470.42</v>
      </c>
      <c r="E20" s="13">
        <v>13214460</v>
      </c>
      <c r="F20" s="13">
        <v>0</v>
      </c>
      <c r="G20" s="13">
        <v>13214460</v>
      </c>
      <c r="H20" s="13">
        <v>0</v>
      </c>
      <c r="I20" s="13">
        <v>0.14943770000000001</v>
      </c>
      <c r="J20" s="13">
        <v>1351085</v>
      </c>
      <c r="K20" s="12">
        <v>0</v>
      </c>
      <c r="L20" s="13">
        <v>0</v>
      </c>
      <c r="M20" s="13">
        <v>88280270</v>
      </c>
      <c r="N20" s="12">
        <v>6.6805830000000004</v>
      </c>
    </row>
    <row r="21" spans="1:14" ht="30" x14ac:dyDescent="0.2">
      <c r="A21" s="16"/>
      <c r="B21" s="11" t="s">
        <v>42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3">
        <v>230800</v>
      </c>
      <c r="D22" s="13">
        <v>230800</v>
      </c>
      <c r="E22" s="13">
        <v>32357760</v>
      </c>
      <c r="F22" s="13">
        <v>23246250</v>
      </c>
      <c r="G22" s="13">
        <v>9111517</v>
      </c>
      <c r="H22" s="13">
        <v>-9111517</v>
      </c>
      <c r="I22" s="13">
        <v>0.1102602</v>
      </c>
      <c r="J22" s="13">
        <v>0</v>
      </c>
      <c r="K22" s="12">
        <v>0</v>
      </c>
      <c r="L22" s="13">
        <v>0</v>
      </c>
      <c r="M22" s="13">
        <v>92462310</v>
      </c>
      <c r="N22" s="12">
        <v>1.662871</v>
      </c>
    </row>
    <row r="23" spans="1:14" x14ac:dyDescent="0.2">
      <c r="A23" s="14" t="s">
        <v>39</v>
      </c>
      <c r="B23" s="11" t="s">
        <v>38</v>
      </c>
      <c r="C23" s="13">
        <v>12450</v>
      </c>
      <c r="D23" s="13">
        <v>12450</v>
      </c>
      <c r="E23" s="13">
        <v>9439363</v>
      </c>
      <c r="F23" s="13">
        <v>5949232</v>
      </c>
      <c r="G23" s="13">
        <v>3490131</v>
      </c>
      <c r="H23" s="13">
        <v>-3490131</v>
      </c>
      <c r="I23" s="13">
        <v>0.56568960000000001</v>
      </c>
      <c r="J23" s="13">
        <v>30693380</v>
      </c>
      <c r="K23" s="12">
        <v>0</v>
      </c>
      <c r="L23" s="13">
        <v>0</v>
      </c>
      <c r="M23" s="13">
        <v>65539730</v>
      </c>
      <c r="N23" s="12">
        <v>4.2589810000000003</v>
      </c>
    </row>
    <row r="24" spans="1:14" x14ac:dyDescent="0.2">
      <c r="A24" s="15"/>
      <c r="B24" s="11" t="s">
        <v>75</v>
      </c>
      <c r="C24" s="13">
        <v>26000000</v>
      </c>
      <c r="D24" s="13">
        <v>26000000</v>
      </c>
      <c r="E24" s="13">
        <v>0</v>
      </c>
      <c r="F24" s="13">
        <v>744704.1</v>
      </c>
      <c r="G24" s="13">
        <v>-744704.1</v>
      </c>
      <c r="H24" s="13">
        <v>0</v>
      </c>
      <c r="I24" s="13">
        <v>1.3108680000000001E-5</v>
      </c>
      <c r="J24" s="13">
        <v>56809260000</v>
      </c>
      <c r="K24" s="12">
        <v>0</v>
      </c>
      <c r="L24" s="13">
        <v>7.4470400000000003</v>
      </c>
      <c r="M24" s="13">
        <v>-3433983</v>
      </c>
      <c r="N24" s="12">
        <v>-4.611205</v>
      </c>
    </row>
    <row r="25" spans="1:14" ht="30" x14ac:dyDescent="0.2">
      <c r="A25" s="15"/>
      <c r="B25" s="11" t="s">
        <v>37</v>
      </c>
      <c r="C25" s="13">
        <v>3653.0949999999998</v>
      </c>
      <c r="D25" s="13">
        <v>3653.0949999999998</v>
      </c>
      <c r="E25" s="13">
        <v>0</v>
      </c>
      <c r="F25" s="13">
        <v>99929.64</v>
      </c>
      <c r="G25" s="13">
        <v>-99929.64</v>
      </c>
      <c r="H25" s="13">
        <v>0</v>
      </c>
      <c r="I25" s="13">
        <v>1.251935E-2</v>
      </c>
      <c r="J25" s="13">
        <v>7882082</v>
      </c>
      <c r="K25" s="12">
        <v>0</v>
      </c>
      <c r="L25" s="13">
        <v>0</v>
      </c>
      <c r="M25" s="13">
        <v>0</v>
      </c>
      <c r="N25" s="12" t="s">
        <v>77</v>
      </c>
    </row>
    <row r="26" spans="1:14" ht="30" x14ac:dyDescent="0.2">
      <c r="A26" s="15"/>
      <c r="B26" s="11" t="s">
        <v>36</v>
      </c>
      <c r="C26" s="13">
        <v>278.38099999999997</v>
      </c>
      <c r="D26" s="13">
        <v>278.38099999999997</v>
      </c>
      <c r="E26" s="13">
        <v>0</v>
      </c>
      <c r="F26" s="13">
        <v>67671.240000000005</v>
      </c>
      <c r="G26" s="13">
        <v>-67671.240000000005</v>
      </c>
      <c r="H26" s="13">
        <v>0</v>
      </c>
      <c r="I26" s="13">
        <v>0.1112534</v>
      </c>
      <c r="J26" s="13">
        <v>540591.19999999995</v>
      </c>
      <c r="K26" s="12">
        <v>0</v>
      </c>
      <c r="L26" s="13">
        <v>338356.2</v>
      </c>
      <c r="M26" s="13">
        <v>0</v>
      </c>
      <c r="N26" s="12" t="s">
        <v>77</v>
      </c>
    </row>
    <row r="27" spans="1:14" ht="30" x14ac:dyDescent="0.2">
      <c r="A27" s="16"/>
      <c r="B27" s="11" t="s">
        <v>76</v>
      </c>
      <c r="C27" s="13">
        <v>156000000</v>
      </c>
      <c r="D27" s="13">
        <v>156000000</v>
      </c>
      <c r="E27" s="13">
        <v>0</v>
      </c>
      <c r="F27" s="13">
        <v>340.05279999999999</v>
      </c>
      <c r="G27" s="13">
        <v>-340.05279999999999</v>
      </c>
      <c r="H27" s="13">
        <v>340.05279999999999</v>
      </c>
      <c r="I27" s="13">
        <v>9.9762820000000004E-10</v>
      </c>
      <c r="J27" s="13">
        <v>340860000000</v>
      </c>
      <c r="K27" s="12">
        <v>0</v>
      </c>
      <c r="L27" s="13">
        <v>3.3999999999999998E-3</v>
      </c>
      <c r="M27" s="13">
        <v>-2859.7869999999998</v>
      </c>
      <c r="N27" s="12">
        <v>-8.4098819999999996</v>
      </c>
    </row>
    <row r="28" spans="1:14" ht="30" x14ac:dyDescent="0.2">
      <c r="A28" s="14" t="s">
        <v>35</v>
      </c>
      <c r="B28" s="11" t="s">
        <v>34</v>
      </c>
      <c r="C28" s="13">
        <v>0</v>
      </c>
      <c r="D28" s="13">
        <v>0</v>
      </c>
      <c r="E28" s="13">
        <v>0</v>
      </c>
      <c r="F28" s="13">
        <v>1877543</v>
      </c>
      <c r="G28" s="13">
        <v>-1877543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-14777410</v>
      </c>
      <c r="N28" s="12">
        <v>-7.870609</v>
      </c>
    </row>
    <row r="29" spans="1:14" x14ac:dyDescent="0.2">
      <c r="A29" s="16"/>
      <c r="B29" s="11" t="s">
        <v>33</v>
      </c>
      <c r="C29" s="13">
        <v>0</v>
      </c>
      <c r="D29" s="13">
        <v>0</v>
      </c>
      <c r="E29" s="13">
        <v>0</v>
      </c>
      <c r="F29" s="13">
        <v>52178340</v>
      </c>
      <c r="G29" s="13">
        <v>-52178340</v>
      </c>
      <c r="H29" s="13">
        <v>0</v>
      </c>
      <c r="I29" s="12" t="s">
        <v>77</v>
      </c>
      <c r="J29" s="13">
        <v>0</v>
      </c>
      <c r="K29" s="12">
        <v>0</v>
      </c>
      <c r="L29" s="13">
        <v>0</v>
      </c>
      <c r="M29" s="13">
        <v>-399116200</v>
      </c>
      <c r="N29" s="12">
        <v>-7.6490790000000004</v>
      </c>
    </row>
    <row r="30" spans="1:14" ht="30" x14ac:dyDescent="0.2">
      <c r="A30" s="14" t="s">
        <v>32</v>
      </c>
      <c r="B30" s="11" t="s">
        <v>31</v>
      </c>
      <c r="C30" s="13">
        <v>26471.97</v>
      </c>
      <c r="D30" s="13">
        <v>26471.97</v>
      </c>
      <c r="E30" s="13">
        <v>3627976</v>
      </c>
      <c r="F30" s="13">
        <v>6801034</v>
      </c>
      <c r="G30" s="13">
        <v>-3173059</v>
      </c>
      <c r="H30" s="13">
        <v>0</v>
      </c>
      <c r="I30" s="13">
        <v>0.18030399999999999</v>
      </c>
      <c r="J30" s="13">
        <v>61014320</v>
      </c>
      <c r="K30" s="12">
        <v>0</v>
      </c>
      <c r="L30" s="13">
        <v>0</v>
      </c>
      <c r="M30" s="13">
        <v>15890950</v>
      </c>
      <c r="N30" s="12">
        <v>1.5237259999999999</v>
      </c>
    </row>
    <row r="31" spans="1:14" ht="45" x14ac:dyDescent="0.2">
      <c r="A31" s="15"/>
      <c r="B31" s="11" t="s">
        <v>30</v>
      </c>
      <c r="C31" s="13">
        <v>857.70799999999997</v>
      </c>
      <c r="D31" s="13">
        <v>857.70799999999997</v>
      </c>
      <c r="E31" s="13">
        <v>187741.1</v>
      </c>
      <c r="F31" s="13">
        <v>304792</v>
      </c>
      <c r="G31" s="13">
        <v>-117050.9</v>
      </c>
      <c r="H31" s="13">
        <v>0</v>
      </c>
      <c r="I31" s="13">
        <v>0.26281159999999998</v>
      </c>
      <c r="J31" s="13">
        <v>1991143</v>
      </c>
      <c r="K31" s="12">
        <v>0</v>
      </c>
      <c r="L31" s="13">
        <v>0</v>
      </c>
      <c r="M31" s="13">
        <v>522656.8</v>
      </c>
      <c r="N31" s="12">
        <v>1.061161</v>
      </c>
    </row>
    <row r="32" spans="1:14" ht="45" x14ac:dyDescent="0.2">
      <c r="A32" s="15"/>
      <c r="B32" s="11" t="s">
        <v>29</v>
      </c>
      <c r="C32" s="13">
        <v>457.99400000000003</v>
      </c>
      <c r="D32" s="13">
        <v>457.99400000000003</v>
      </c>
      <c r="E32" s="13">
        <v>32632.14</v>
      </c>
      <c r="F32" s="13">
        <v>241615.3</v>
      </c>
      <c r="G32" s="13">
        <v>-208983.1</v>
      </c>
      <c r="H32" s="13">
        <v>0</v>
      </c>
      <c r="I32" s="13">
        <v>0.27405089999999999</v>
      </c>
      <c r="J32" s="13">
        <v>1209700</v>
      </c>
      <c r="K32" s="12">
        <v>0</v>
      </c>
      <c r="L32" s="13">
        <v>0</v>
      </c>
      <c r="M32" s="13">
        <v>526730.5</v>
      </c>
      <c r="N32" s="12">
        <v>1.9206399999999999</v>
      </c>
    </row>
    <row r="33" spans="1:14" ht="60" x14ac:dyDescent="0.2">
      <c r="A33" s="16"/>
      <c r="B33" s="11" t="s">
        <v>28</v>
      </c>
      <c r="C33" s="13">
        <v>5300</v>
      </c>
      <c r="D33" s="13">
        <v>5300</v>
      </c>
      <c r="E33" s="13">
        <v>1026914</v>
      </c>
      <c r="F33" s="13">
        <v>2322923</v>
      </c>
      <c r="G33" s="13">
        <v>-1296009</v>
      </c>
      <c r="H33" s="13">
        <v>0</v>
      </c>
      <c r="I33" s="13">
        <v>0.2892653</v>
      </c>
      <c r="J33" s="13">
        <v>12876510</v>
      </c>
      <c r="K33" s="12">
        <v>0</v>
      </c>
      <c r="L33" s="13">
        <v>0</v>
      </c>
      <c r="M33" s="13">
        <v>9464833</v>
      </c>
      <c r="N33" s="12">
        <v>2.8254609999999998</v>
      </c>
    </row>
    <row r="34" spans="1:14" x14ac:dyDescent="0.2">
      <c r="A34" s="14" t="s">
        <v>27</v>
      </c>
      <c r="B34" s="11" t="s">
        <v>75</v>
      </c>
      <c r="C34" s="13">
        <v>13000000</v>
      </c>
      <c r="D34" s="13">
        <v>13000000</v>
      </c>
      <c r="E34" s="13">
        <v>372352.1</v>
      </c>
      <c r="F34" s="13">
        <v>372352.1</v>
      </c>
      <c r="G34" s="13">
        <v>0</v>
      </c>
      <c r="H34" s="13">
        <v>0</v>
      </c>
      <c r="I34" s="13">
        <v>0.9966334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  <row r="35" spans="1:14" ht="30" x14ac:dyDescent="0.2">
      <c r="A35" s="16"/>
      <c r="B35" s="11" t="s">
        <v>26</v>
      </c>
      <c r="C35" s="13">
        <v>46768.01</v>
      </c>
      <c r="D35" s="13">
        <v>46768.01</v>
      </c>
      <c r="E35" s="13">
        <v>66938.570000000007</v>
      </c>
      <c r="F35" s="13">
        <v>69218.080000000002</v>
      </c>
      <c r="G35" s="13">
        <v>-2279.5100000000002</v>
      </c>
      <c r="H35" s="13">
        <v>0</v>
      </c>
      <c r="I35" s="13">
        <v>0.22306999999999999</v>
      </c>
      <c r="J35" s="13">
        <v>0</v>
      </c>
      <c r="K35" s="12">
        <v>0</v>
      </c>
      <c r="L35" s="13">
        <v>0</v>
      </c>
      <c r="M35" s="13">
        <v>0</v>
      </c>
      <c r="N35" s="12" t="s">
        <v>77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28A6-0516-D147-9B05-718DC2BA6DE9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2">
        <v>372.43929000000003</v>
      </c>
      <c r="D2" s="12">
        <v>372.43929000000003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2">
        <v>1642.8915400000001</v>
      </c>
      <c r="D3" s="12">
        <v>1642.8915400000001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2">
        <v>9185.8067100000007</v>
      </c>
      <c r="D4" s="12">
        <v>9185.8067100000007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2">
        <v>23586</v>
      </c>
      <c r="D5" s="12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2">
        <v>3534.0360000000001</v>
      </c>
      <c r="D6" s="12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2">
        <v>13695</v>
      </c>
      <c r="D7" s="12">
        <v>13695</v>
      </c>
      <c r="E7" s="13">
        <v>3597931</v>
      </c>
      <c r="F7" s="13">
        <v>0</v>
      </c>
      <c r="G7" s="13">
        <v>3597931</v>
      </c>
      <c r="H7" s="13">
        <v>0</v>
      </c>
      <c r="I7" s="12">
        <v>0.120237</v>
      </c>
      <c r="J7" s="13">
        <v>26325640</v>
      </c>
      <c r="K7" s="12">
        <v>0</v>
      </c>
      <c r="L7" s="13">
        <v>42060820</v>
      </c>
      <c r="M7" s="13">
        <v>42060820</v>
      </c>
      <c r="N7" s="12">
        <v>11.690281000000001</v>
      </c>
    </row>
    <row r="8" spans="1:14" x14ac:dyDescent="0.2">
      <c r="A8" s="15"/>
      <c r="B8" s="11" t="s">
        <v>55</v>
      </c>
      <c r="C8" s="12">
        <v>4067.2939999999999</v>
      </c>
      <c r="D8" s="12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2">
        <v>11</v>
      </c>
      <c r="D9" s="12">
        <v>11</v>
      </c>
      <c r="E9" s="13">
        <v>4576.3829999999998</v>
      </c>
      <c r="F9" s="13">
        <v>0</v>
      </c>
      <c r="G9" s="13">
        <v>4576.3829999999998</v>
      </c>
      <c r="H9" s="13">
        <v>0</v>
      </c>
      <c r="I9" s="12">
        <v>0.19040499999999999</v>
      </c>
      <c r="J9" s="13">
        <v>19458.62</v>
      </c>
      <c r="K9" s="12">
        <v>0</v>
      </c>
      <c r="L9" s="13">
        <v>57021.73</v>
      </c>
      <c r="M9" s="13">
        <v>97548.01</v>
      </c>
      <c r="N9" s="12">
        <v>21.315572</v>
      </c>
    </row>
    <row r="10" spans="1:14" ht="30" x14ac:dyDescent="0.2">
      <c r="A10" s="15"/>
      <c r="B10" s="11" t="s">
        <v>53</v>
      </c>
      <c r="C10" s="12">
        <v>834.51107000000002</v>
      </c>
      <c r="D10" s="12">
        <v>834.51107000000002</v>
      </c>
      <c r="E10" s="13">
        <v>645.11300000000006</v>
      </c>
      <c r="F10" s="13">
        <v>0</v>
      </c>
      <c r="G10" s="13">
        <v>645.11300000000006</v>
      </c>
      <c r="H10" s="13">
        <v>0</v>
      </c>
      <c r="I10" s="12">
        <v>3.5399999999999999E-4</v>
      </c>
      <c r="J10" s="13">
        <v>1822762</v>
      </c>
      <c r="K10" s="12">
        <v>0</v>
      </c>
      <c r="L10" s="13">
        <v>34836.1</v>
      </c>
      <c r="M10" s="13">
        <v>34967.69</v>
      </c>
      <c r="N10" s="12">
        <v>54.203285000000001</v>
      </c>
    </row>
    <row r="11" spans="1:14" ht="30" x14ac:dyDescent="0.2">
      <c r="A11" s="15"/>
      <c r="B11" s="11" t="s">
        <v>52</v>
      </c>
      <c r="C11" s="12">
        <v>1897.296</v>
      </c>
      <c r="D11" s="12">
        <v>1897.296</v>
      </c>
      <c r="E11" s="13">
        <v>1354074</v>
      </c>
      <c r="F11" s="13">
        <v>0</v>
      </c>
      <c r="G11" s="13">
        <v>1354074</v>
      </c>
      <c r="H11" s="13">
        <v>0</v>
      </c>
      <c r="I11" s="12">
        <v>0.32662999999999998</v>
      </c>
      <c r="J11" s="13">
        <v>304162.3</v>
      </c>
      <c r="K11" s="12">
        <v>0</v>
      </c>
      <c r="L11" s="13">
        <v>0</v>
      </c>
      <c r="M11" s="13">
        <v>8668030</v>
      </c>
      <c r="N11" s="12">
        <v>6.4014430000000004</v>
      </c>
    </row>
    <row r="12" spans="1:14" ht="30" x14ac:dyDescent="0.2">
      <c r="A12" s="15"/>
      <c r="B12" s="11" t="s">
        <v>51</v>
      </c>
      <c r="C12" s="12">
        <v>48629.190949999997</v>
      </c>
      <c r="D12" s="12">
        <v>48629.190949999997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2">
        <v>254.358</v>
      </c>
      <c r="D13" s="12">
        <v>254.358</v>
      </c>
      <c r="E13" s="13">
        <v>234719.3</v>
      </c>
      <c r="F13" s="13">
        <v>0</v>
      </c>
      <c r="G13" s="13">
        <v>234719.3</v>
      </c>
      <c r="H13" s="13">
        <v>0</v>
      </c>
      <c r="I13" s="12">
        <v>0.42232999999999998</v>
      </c>
      <c r="J13" s="13">
        <v>39050.28</v>
      </c>
      <c r="K13" s="12">
        <v>0</v>
      </c>
      <c r="L13" s="13">
        <v>0</v>
      </c>
      <c r="M13" s="13">
        <v>1942952</v>
      </c>
      <c r="N13" s="12">
        <v>8.2777700000000003</v>
      </c>
    </row>
    <row r="14" spans="1:14" x14ac:dyDescent="0.2">
      <c r="A14" s="15"/>
      <c r="B14" s="11" t="s">
        <v>49</v>
      </c>
      <c r="C14" s="12">
        <v>4570</v>
      </c>
      <c r="D14" s="12">
        <v>4570</v>
      </c>
      <c r="E14" s="13">
        <v>4119444</v>
      </c>
      <c r="F14" s="13">
        <v>0</v>
      </c>
      <c r="G14" s="13">
        <v>4119444</v>
      </c>
      <c r="H14" s="13">
        <v>0</v>
      </c>
      <c r="I14" s="12">
        <v>0.412545</v>
      </c>
      <c r="J14" s="13">
        <v>5866006</v>
      </c>
      <c r="K14" s="12">
        <v>0</v>
      </c>
      <c r="L14" s="13">
        <v>41194440</v>
      </c>
      <c r="M14" s="13">
        <v>69485510</v>
      </c>
      <c r="N14" s="12">
        <v>16.867692999999999</v>
      </c>
    </row>
    <row r="15" spans="1:14" ht="30" x14ac:dyDescent="0.2">
      <c r="A15" s="15"/>
      <c r="B15" s="11" t="s">
        <v>48</v>
      </c>
      <c r="C15" s="12">
        <v>53544.201999999997</v>
      </c>
      <c r="D15" s="12">
        <v>53544.201999999997</v>
      </c>
      <c r="E15" s="13">
        <v>24976760</v>
      </c>
      <c r="F15" s="13">
        <v>0</v>
      </c>
      <c r="G15" s="13">
        <v>24976760</v>
      </c>
      <c r="H15" s="13">
        <v>0</v>
      </c>
      <c r="I15" s="12">
        <v>0.21348700000000001</v>
      </c>
      <c r="J15" s="13">
        <v>7138085</v>
      </c>
      <c r="K15" s="12">
        <v>0</v>
      </c>
      <c r="L15" s="13">
        <v>0</v>
      </c>
      <c r="M15" s="13">
        <v>100114400</v>
      </c>
      <c r="N15" s="12">
        <v>4.0083010000000003</v>
      </c>
    </row>
    <row r="16" spans="1:14" x14ac:dyDescent="0.2">
      <c r="A16" s="15"/>
      <c r="B16" s="11" t="s">
        <v>47</v>
      </c>
      <c r="C16" s="12">
        <v>78.5</v>
      </c>
      <c r="D16" s="12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2">
        <v>27270.741000000002</v>
      </c>
      <c r="D17" s="12">
        <v>27270.741000000002</v>
      </c>
      <c r="E17" s="13">
        <v>10886530</v>
      </c>
      <c r="F17" s="13">
        <v>0</v>
      </c>
      <c r="G17" s="13">
        <v>10886530</v>
      </c>
      <c r="H17" s="13">
        <v>0</v>
      </c>
      <c r="I17" s="12">
        <v>0.182701</v>
      </c>
      <c r="J17" s="13">
        <v>3448608</v>
      </c>
      <c r="K17" s="12">
        <v>0</v>
      </c>
      <c r="L17" s="13">
        <v>0</v>
      </c>
      <c r="M17" s="13">
        <v>41126430</v>
      </c>
      <c r="N17" s="12">
        <v>3.7777370000000001</v>
      </c>
    </row>
    <row r="18" spans="1:14" ht="45" x14ac:dyDescent="0.2">
      <c r="A18" s="15"/>
      <c r="B18" s="11" t="s">
        <v>45</v>
      </c>
      <c r="C18" s="12">
        <v>3662.89</v>
      </c>
      <c r="D18" s="12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2">
        <v>55.819389999999999</v>
      </c>
      <c r="D19" s="12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2">
        <v>40470.421999999999</v>
      </c>
      <c r="D20" s="12">
        <v>40470.421999999999</v>
      </c>
      <c r="E20" s="13">
        <v>13386680</v>
      </c>
      <c r="F20" s="13">
        <v>0</v>
      </c>
      <c r="G20" s="13">
        <v>13386680</v>
      </c>
      <c r="H20" s="13">
        <v>0</v>
      </c>
      <c r="I20" s="12">
        <v>0.15138499999999999</v>
      </c>
      <c r="J20" s="13">
        <v>1178857</v>
      </c>
      <c r="K20" s="12">
        <v>0</v>
      </c>
      <c r="L20" s="13">
        <v>0</v>
      </c>
      <c r="M20" s="13">
        <v>91522970</v>
      </c>
      <c r="N20" s="12">
        <v>6.8368659999999997</v>
      </c>
    </row>
    <row r="21" spans="1:14" ht="30" x14ac:dyDescent="0.2">
      <c r="A21" s="16"/>
      <c r="B21" s="11" t="s">
        <v>42</v>
      </c>
      <c r="C21" s="12">
        <v>4643.1779999999999</v>
      </c>
      <c r="D21" s="12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2">
        <v>230800</v>
      </c>
      <c r="D22" s="12">
        <v>230800</v>
      </c>
      <c r="E22" s="13">
        <v>32103970</v>
      </c>
      <c r="F22" s="13">
        <v>22909530</v>
      </c>
      <c r="G22" s="13">
        <v>9194436</v>
      </c>
      <c r="H22" s="13">
        <v>-9194436</v>
      </c>
      <c r="I22" s="12">
        <v>0.10908900000000001</v>
      </c>
      <c r="J22" s="13">
        <v>0</v>
      </c>
      <c r="K22" s="12">
        <v>0</v>
      </c>
      <c r="L22" s="13">
        <v>0</v>
      </c>
      <c r="M22" s="13">
        <v>98683680</v>
      </c>
      <c r="N22" s="12">
        <v>1.793809</v>
      </c>
    </row>
    <row r="23" spans="1:14" x14ac:dyDescent="0.2">
      <c r="A23" s="14" t="s">
        <v>39</v>
      </c>
      <c r="B23" s="11" t="s">
        <v>38</v>
      </c>
      <c r="C23" s="12">
        <v>12450</v>
      </c>
      <c r="D23" s="12">
        <v>12450</v>
      </c>
      <c r="E23" s="13">
        <v>9530884</v>
      </c>
      <c r="F23" s="13">
        <v>5840698</v>
      </c>
      <c r="G23" s="13">
        <v>3690186</v>
      </c>
      <c r="H23" s="13">
        <v>-3690186</v>
      </c>
      <c r="I23" s="12">
        <v>0.56506400000000001</v>
      </c>
      <c r="J23" s="13">
        <v>30893440</v>
      </c>
      <c r="K23" s="12">
        <v>0</v>
      </c>
      <c r="L23" s="13">
        <v>0</v>
      </c>
      <c r="M23" s="13">
        <v>72674280</v>
      </c>
      <c r="N23" s="12">
        <v>4.7278330000000004</v>
      </c>
    </row>
    <row r="24" spans="1:14" ht="30" x14ac:dyDescent="0.2">
      <c r="A24" s="15"/>
      <c r="B24" s="11" t="s">
        <v>37</v>
      </c>
      <c r="C24" s="12">
        <v>3653.0947500000002</v>
      </c>
      <c r="D24" s="12">
        <v>3653.0947500000002</v>
      </c>
      <c r="E24" s="13">
        <v>0</v>
      </c>
      <c r="F24" s="13">
        <v>111056.3</v>
      </c>
      <c r="G24" s="13">
        <v>-111056.3</v>
      </c>
      <c r="H24" s="13">
        <v>0</v>
      </c>
      <c r="I24" s="12">
        <v>1.3913E-2</v>
      </c>
      <c r="J24" s="13">
        <v>7870956</v>
      </c>
      <c r="K24" s="12">
        <v>0</v>
      </c>
      <c r="L24" s="13">
        <v>0</v>
      </c>
      <c r="M24" s="13">
        <v>36.724939999999997</v>
      </c>
      <c r="N24" s="12">
        <v>3.3100000000000002E-4</v>
      </c>
    </row>
    <row r="25" spans="1:14" ht="30" x14ac:dyDescent="0.2">
      <c r="A25" s="16"/>
      <c r="B25" s="11" t="s">
        <v>36</v>
      </c>
      <c r="C25" s="12">
        <v>278.38099999999997</v>
      </c>
      <c r="D25" s="12">
        <v>278.38099999999997</v>
      </c>
      <c r="E25" s="13">
        <v>0</v>
      </c>
      <c r="F25" s="13">
        <v>70068.67</v>
      </c>
      <c r="G25" s="13">
        <v>-70068.67</v>
      </c>
      <c r="H25" s="13">
        <v>0</v>
      </c>
      <c r="I25" s="12">
        <v>0.11519500000000001</v>
      </c>
      <c r="J25" s="13">
        <v>538193.80000000005</v>
      </c>
      <c r="K25" s="12">
        <v>0</v>
      </c>
      <c r="L25" s="13">
        <v>350343.3</v>
      </c>
      <c r="M25" s="13">
        <v>0</v>
      </c>
      <c r="N25" s="12" t="s">
        <v>77</v>
      </c>
    </row>
    <row r="26" spans="1:14" ht="30" x14ac:dyDescent="0.2">
      <c r="A26" s="14" t="s">
        <v>35</v>
      </c>
      <c r="B26" s="11" t="s">
        <v>34</v>
      </c>
      <c r="C26" s="12">
        <v>0</v>
      </c>
      <c r="D26" s="12">
        <v>0</v>
      </c>
      <c r="E26" s="13">
        <v>0</v>
      </c>
      <c r="F26" s="13">
        <v>1877543</v>
      </c>
      <c r="G26" s="13">
        <v>-1877543</v>
      </c>
      <c r="H26" s="13">
        <v>0</v>
      </c>
      <c r="I26" s="12" t="s">
        <v>77</v>
      </c>
      <c r="J26" s="13">
        <v>0</v>
      </c>
      <c r="K26" s="12">
        <v>0</v>
      </c>
      <c r="L26" s="13">
        <v>0</v>
      </c>
      <c r="M26" s="13">
        <v>-15255380</v>
      </c>
      <c r="N26" s="12">
        <v>-8.1251850000000001</v>
      </c>
    </row>
    <row r="27" spans="1:14" x14ac:dyDescent="0.2">
      <c r="A27" s="16"/>
      <c r="B27" s="11" t="s">
        <v>33</v>
      </c>
      <c r="C27" s="12">
        <v>0</v>
      </c>
      <c r="D27" s="12">
        <v>0</v>
      </c>
      <c r="E27" s="13">
        <v>0</v>
      </c>
      <c r="F27" s="13">
        <v>52178340</v>
      </c>
      <c r="G27" s="13">
        <v>-52178340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-412799100</v>
      </c>
      <c r="N27" s="12">
        <v>-7.9113129999999998</v>
      </c>
    </row>
    <row r="28" spans="1:14" ht="30" x14ac:dyDescent="0.2">
      <c r="A28" s="14" t="s">
        <v>32</v>
      </c>
      <c r="B28" s="11" t="s">
        <v>31</v>
      </c>
      <c r="C28" s="12">
        <v>26471.973000000002</v>
      </c>
      <c r="D28" s="12">
        <v>26471.973000000002</v>
      </c>
      <c r="E28" s="13">
        <v>4237642</v>
      </c>
      <c r="F28" s="13">
        <v>7187049</v>
      </c>
      <c r="G28" s="13">
        <v>-2949407</v>
      </c>
      <c r="H28" s="13">
        <v>0</v>
      </c>
      <c r="I28" s="12">
        <v>0.197518</v>
      </c>
      <c r="J28" s="13">
        <v>60790670</v>
      </c>
      <c r="K28" s="12">
        <v>0</v>
      </c>
      <c r="L28" s="13">
        <v>0</v>
      </c>
      <c r="M28" s="13">
        <v>16848870</v>
      </c>
      <c r="N28" s="12">
        <v>1.474777</v>
      </c>
    </row>
    <row r="29" spans="1:14" ht="45" x14ac:dyDescent="0.2">
      <c r="A29" s="15"/>
      <c r="B29" s="11" t="s">
        <v>30</v>
      </c>
      <c r="C29" s="12">
        <v>857.70799999999997</v>
      </c>
      <c r="D29" s="12">
        <v>857.70799999999997</v>
      </c>
      <c r="E29" s="13">
        <v>189229.8</v>
      </c>
      <c r="F29" s="13">
        <v>304145.90000000002</v>
      </c>
      <c r="G29" s="13">
        <v>-114916.1</v>
      </c>
      <c r="H29" s="13">
        <v>0</v>
      </c>
      <c r="I29" s="12">
        <v>0.26326100000000002</v>
      </c>
      <c r="J29" s="13">
        <v>1989008</v>
      </c>
      <c r="K29" s="12">
        <v>0</v>
      </c>
      <c r="L29" s="13">
        <v>0</v>
      </c>
      <c r="M29" s="13">
        <v>526097.69999999995</v>
      </c>
      <c r="N29" s="12">
        <v>1.066322</v>
      </c>
    </row>
    <row r="30" spans="1:14" ht="45" x14ac:dyDescent="0.2">
      <c r="A30" s="15"/>
      <c r="B30" s="11" t="s">
        <v>29</v>
      </c>
      <c r="C30" s="12">
        <v>457.99400000000003</v>
      </c>
      <c r="D30" s="12">
        <v>457.99400000000003</v>
      </c>
      <c r="E30" s="13">
        <v>34904.660000000003</v>
      </c>
      <c r="F30" s="13">
        <v>221274</v>
      </c>
      <c r="G30" s="13">
        <v>-186369.3</v>
      </c>
      <c r="H30" s="13">
        <v>0</v>
      </c>
      <c r="I30" s="12">
        <v>0.25599499999999997</v>
      </c>
      <c r="J30" s="13">
        <v>1187086</v>
      </c>
      <c r="K30" s="12">
        <v>0</v>
      </c>
      <c r="L30" s="13">
        <v>0</v>
      </c>
      <c r="M30" s="13">
        <v>568388.6</v>
      </c>
      <c r="N30" s="12">
        <v>2.2187199999999998</v>
      </c>
    </row>
    <row r="31" spans="1:14" ht="60" x14ac:dyDescent="0.2">
      <c r="A31" s="16"/>
      <c r="B31" s="11" t="s">
        <v>28</v>
      </c>
      <c r="C31" s="12">
        <v>5300</v>
      </c>
      <c r="D31" s="12">
        <v>5300</v>
      </c>
      <c r="E31" s="13">
        <v>1102541</v>
      </c>
      <c r="F31" s="13">
        <v>2373565</v>
      </c>
      <c r="G31" s="13">
        <v>-1271024</v>
      </c>
      <c r="H31" s="13">
        <v>0</v>
      </c>
      <c r="I31" s="12">
        <v>0.30016900000000002</v>
      </c>
      <c r="J31" s="13">
        <v>12851520</v>
      </c>
      <c r="K31" s="12">
        <v>0</v>
      </c>
      <c r="L31" s="13">
        <v>0</v>
      </c>
      <c r="M31" s="13">
        <v>9905804</v>
      </c>
      <c r="N31" s="12">
        <v>2.8496839999999999</v>
      </c>
    </row>
    <row r="32" spans="1:14" ht="30" x14ac:dyDescent="0.2">
      <c r="A32" s="11" t="s">
        <v>27</v>
      </c>
      <c r="B32" s="11" t="s">
        <v>26</v>
      </c>
      <c r="C32" s="12">
        <v>46768.008000000002</v>
      </c>
      <c r="D32" s="12">
        <v>46768.008000000002</v>
      </c>
      <c r="E32" s="13">
        <v>69028.42</v>
      </c>
      <c r="F32" s="13">
        <v>76699.13</v>
      </c>
      <c r="G32" s="13">
        <v>-7670.7169999999996</v>
      </c>
      <c r="H32" s="13">
        <v>0</v>
      </c>
      <c r="I32" s="12">
        <v>0.75064699999999995</v>
      </c>
      <c r="J32" s="13">
        <v>0</v>
      </c>
      <c r="K32" s="12">
        <v>0</v>
      </c>
      <c r="L32" s="13">
        <v>0</v>
      </c>
      <c r="M32" s="13">
        <v>0</v>
      </c>
      <c r="N32" s="12" t="s">
        <v>77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7524-44BB-5D46-ABB6-165B2900E529}">
  <dimension ref="A1:N35"/>
  <sheetViews>
    <sheetView workbookViewId="0">
      <selection sqref="A1:N3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ht="30" x14ac:dyDescent="0.2">
      <c r="A2" s="14" t="s">
        <v>62</v>
      </c>
      <c r="B2" s="11" t="s">
        <v>61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60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59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58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57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56</v>
      </c>
      <c r="C7" s="13">
        <v>13695</v>
      </c>
      <c r="D7" s="13">
        <v>13695</v>
      </c>
      <c r="E7" s="13">
        <v>3411074</v>
      </c>
      <c r="F7" s="13">
        <v>0</v>
      </c>
      <c r="G7" s="13">
        <v>3411074</v>
      </c>
      <c r="H7" s="13">
        <v>0</v>
      </c>
      <c r="I7" s="13">
        <v>0.11399280000000001</v>
      </c>
      <c r="J7" s="13">
        <v>26512500</v>
      </c>
      <c r="K7" s="12">
        <v>0</v>
      </c>
      <c r="L7" s="13">
        <v>37902320</v>
      </c>
      <c r="M7" s="13">
        <v>37902320</v>
      </c>
      <c r="N7" s="12">
        <v>11.111551</v>
      </c>
    </row>
    <row r="8" spans="1:14" x14ac:dyDescent="0.2">
      <c r="A8" s="15"/>
      <c r="B8" s="11" t="s">
        <v>55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54</v>
      </c>
      <c r="C9" s="13">
        <v>11</v>
      </c>
      <c r="D9" s="13">
        <v>11</v>
      </c>
      <c r="E9" s="13">
        <v>4074.9879999999998</v>
      </c>
      <c r="F9" s="13">
        <v>0</v>
      </c>
      <c r="G9" s="13">
        <v>4074.9879999999998</v>
      </c>
      <c r="H9" s="13">
        <v>0</v>
      </c>
      <c r="I9" s="13">
        <v>0.16954359999999999</v>
      </c>
      <c r="J9" s="13">
        <v>19960.009999999998</v>
      </c>
      <c r="K9" s="12">
        <v>0</v>
      </c>
      <c r="L9" s="13">
        <v>50774.35</v>
      </c>
      <c r="M9" s="13">
        <v>86593.95</v>
      </c>
      <c r="N9" s="12">
        <v>21.250146999999998</v>
      </c>
    </row>
    <row r="10" spans="1:14" ht="30" x14ac:dyDescent="0.2">
      <c r="A10" s="15"/>
      <c r="B10" s="11" t="s">
        <v>53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3">
        <v>1.950843E-5</v>
      </c>
      <c r="J10" s="13">
        <v>1823371</v>
      </c>
      <c r="K10" s="12">
        <v>0</v>
      </c>
      <c r="L10" s="13">
        <v>1921.433</v>
      </c>
      <c r="M10" s="13">
        <v>1983.2239999999999</v>
      </c>
      <c r="N10" s="12">
        <v>55.752457</v>
      </c>
    </row>
    <row r="11" spans="1:14" ht="30" x14ac:dyDescent="0.2">
      <c r="A11" s="15"/>
      <c r="B11" s="11" t="s">
        <v>52</v>
      </c>
      <c r="C11" s="13">
        <v>1897.296</v>
      </c>
      <c r="D11" s="13">
        <v>1897.296</v>
      </c>
      <c r="E11" s="13">
        <v>1371387</v>
      </c>
      <c r="F11" s="13">
        <v>0</v>
      </c>
      <c r="G11" s="13">
        <v>1371387</v>
      </c>
      <c r="H11" s="13">
        <v>0</v>
      </c>
      <c r="I11" s="13">
        <v>0.33080619999999999</v>
      </c>
      <c r="J11" s="13">
        <v>286849.40000000002</v>
      </c>
      <c r="K11" s="12">
        <v>0</v>
      </c>
      <c r="L11" s="13">
        <v>0</v>
      </c>
      <c r="M11" s="13">
        <v>8353828</v>
      </c>
      <c r="N11" s="12">
        <v>6.0915160000000004</v>
      </c>
    </row>
    <row r="12" spans="1:14" ht="30" x14ac:dyDescent="0.2">
      <c r="A12" s="15"/>
      <c r="B12" s="11" t="s">
        <v>51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50</v>
      </c>
      <c r="C13" s="13">
        <v>254.358</v>
      </c>
      <c r="D13" s="13">
        <v>254.358</v>
      </c>
      <c r="E13" s="13">
        <v>234324.7</v>
      </c>
      <c r="F13" s="13">
        <v>0</v>
      </c>
      <c r="G13" s="13">
        <v>234324.7</v>
      </c>
      <c r="H13" s="13">
        <v>0</v>
      </c>
      <c r="I13" s="13">
        <v>0.42161999999999999</v>
      </c>
      <c r="J13" s="13">
        <v>39444.870000000003</v>
      </c>
      <c r="K13" s="12">
        <v>0</v>
      </c>
      <c r="L13" s="13">
        <v>0</v>
      </c>
      <c r="M13" s="13">
        <v>1874566</v>
      </c>
      <c r="N13" s="12">
        <v>7.9998649999999998</v>
      </c>
    </row>
    <row r="14" spans="1:14" x14ac:dyDescent="0.2">
      <c r="A14" s="15"/>
      <c r="B14" s="11" t="s">
        <v>49</v>
      </c>
      <c r="C14" s="13">
        <v>4570</v>
      </c>
      <c r="D14" s="13">
        <v>4570</v>
      </c>
      <c r="E14" s="13">
        <v>3998908</v>
      </c>
      <c r="F14" s="13">
        <v>0</v>
      </c>
      <c r="G14" s="13">
        <v>3998908</v>
      </c>
      <c r="H14" s="13">
        <v>0</v>
      </c>
      <c r="I14" s="13">
        <v>0.40047349999999998</v>
      </c>
      <c r="J14" s="13">
        <v>5986542</v>
      </c>
      <c r="K14" s="12">
        <v>0</v>
      </c>
      <c r="L14" s="13">
        <v>39989080</v>
      </c>
      <c r="M14" s="13">
        <v>65123720</v>
      </c>
      <c r="N14" s="12">
        <v>16.285375999999999</v>
      </c>
    </row>
    <row r="15" spans="1:14" ht="30" x14ac:dyDescent="0.2">
      <c r="A15" s="15"/>
      <c r="B15" s="11" t="s">
        <v>48</v>
      </c>
      <c r="C15" s="13">
        <v>53544.2</v>
      </c>
      <c r="D15" s="13">
        <v>53544.2</v>
      </c>
      <c r="E15" s="13">
        <v>24884650</v>
      </c>
      <c r="F15" s="13">
        <v>0</v>
      </c>
      <c r="G15" s="13">
        <v>24884650</v>
      </c>
      <c r="H15" s="13">
        <v>0</v>
      </c>
      <c r="I15" s="13">
        <v>0.2127001</v>
      </c>
      <c r="J15" s="13">
        <v>7230193</v>
      </c>
      <c r="K15" s="12">
        <v>0</v>
      </c>
      <c r="L15" s="13">
        <v>0</v>
      </c>
      <c r="M15" s="13">
        <v>98070140</v>
      </c>
      <c r="N15" s="12">
        <v>3.9409890000000001</v>
      </c>
    </row>
    <row r="16" spans="1:14" x14ac:dyDescent="0.2">
      <c r="A16" s="15"/>
      <c r="B16" s="11" t="s">
        <v>47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46</v>
      </c>
      <c r="C17" s="13">
        <v>27270.74</v>
      </c>
      <c r="D17" s="13">
        <v>27270.74</v>
      </c>
      <c r="E17" s="13">
        <v>11078980</v>
      </c>
      <c r="F17" s="13">
        <v>0</v>
      </c>
      <c r="G17" s="13">
        <v>11078980</v>
      </c>
      <c r="H17" s="13">
        <v>0</v>
      </c>
      <c r="I17" s="13">
        <v>0.18593090000000001</v>
      </c>
      <c r="J17" s="13">
        <v>3256150</v>
      </c>
      <c r="K17" s="12">
        <v>0</v>
      </c>
      <c r="L17" s="13">
        <v>0</v>
      </c>
      <c r="M17" s="13">
        <v>39677120</v>
      </c>
      <c r="N17" s="12">
        <v>3.5812949999999999</v>
      </c>
    </row>
    <row r="18" spans="1:14" ht="45" x14ac:dyDescent="0.2">
      <c r="A18" s="15"/>
      <c r="B18" s="11" t="s">
        <v>45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44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43</v>
      </c>
      <c r="C20" s="13">
        <v>40470.42</v>
      </c>
      <c r="D20" s="13">
        <v>40470.42</v>
      </c>
      <c r="E20" s="13">
        <v>13431550</v>
      </c>
      <c r="F20" s="13">
        <v>0</v>
      </c>
      <c r="G20" s="13">
        <v>13431550</v>
      </c>
      <c r="H20" s="13">
        <v>0</v>
      </c>
      <c r="I20" s="13">
        <v>0.15189269999999999</v>
      </c>
      <c r="J20" s="13">
        <v>1133989</v>
      </c>
      <c r="K20" s="12">
        <v>0</v>
      </c>
      <c r="L20" s="13">
        <v>0</v>
      </c>
      <c r="M20" s="13">
        <v>88790630</v>
      </c>
      <c r="N20" s="12">
        <v>6.6106009999999999</v>
      </c>
    </row>
    <row r="21" spans="1:14" ht="30" x14ac:dyDescent="0.2">
      <c r="A21" s="16"/>
      <c r="B21" s="11" t="s">
        <v>42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41</v>
      </c>
      <c r="B22" s="11" t="s">
        <v>40</v>
      </c>
      <c r="C22" s="13">
        <v>230800</v>
      </c>
      <c r="D22" s="13">
        <v>230800</v>
      </c>
      <c r="E22" s="13">
        <v>31793510</v>
      </c>
      <c r="F22" s="13">
        <v>23126120</v>
      </c>
      <c r="G22" s="13">
        <v>8667390</v>
      </c>
      <c r="H22" s="13">
        <v>-8667390</v>
      </c>
      <c r="I22" s="13">
        <v>0.1089031</v>
      </c>
      <c r="J22" s="13">
        <v>0</v>
      </c>
      <c r="K22" s="12">
        <v>0</v>
      </c>
      <c r="L22" s="13">
        <v>0</v>
      </c>
      <c r="M22" s="13">
        <v>92022220</v>
      </c>
      <c r="N22" s="12">
        <v>1.6755800000000001</v>
      </c>
    </row>
    <row r="23" spans="1:14" x14ac:dyDescent="0.2">
      <c r="A23" s="14" t="s">
        <v>39</v>
      </c>
      <c r="B23" s="11" t="s">
        <v>38</v>
      </c>
      <c r="C23" s="13">
        <v>12450</v>
      </c>
      <c r="D23" s="13">
        <v>12450</v>
      </c>
      <c r="E23" s="13">
        <v>9425826</v>
      </c>
      <c r="F23" s="13">
        <v>5927289</v>
      </c>
      <c r="G23" s="13">
        <v>3498537</v>
      </c>
      <c r="H23" s="13">
        <v>-3498537</v>
      </c>
      <c r="I23" s="13">
        <v>0.56438529999999998</v>
      </c>
      <c r="J23" s="13">
        <v>30701790</v>
      </c>
      <c r="K23" s="12">
        <v>0</v>
      </c>
      <c r="L23" s="13">
        <v>0</v>
      </c>
      <c r="M23" s="13">
        <v>65736290</v>
      </c>
      <c r="N23" s="12">
        <v>4.281625</v>
      </c>
    </row>
    <row r="24" spans="1:14" x14ac:dyDescent="0.2">
      <c r="A24" s="15"/>
      <c r="B24" s="11" t="s">
        <v>75</v>
      </c>
      <c r="C24" s="13">
        <v>26000000</v>
      </c>
      <c r="D24" s="13">
        <v>26000000</v>
      </c>
      <c r="E24" s="13">
        <v>0</v>
      </c>
      <c r="F24" s="13">
        <v>746156.9</v>
      </c>
      <c r="G24" s="13">
        <v>-746156.9</v>
      </c>
      <c r="H24" s="13">
        <v>0</v>
      </c>
      <c r="I24" s="13">
        <v>1.313425E-5</v>
      </c>
      <c r="J24" s="13">
        <v>56809250000</v>
      </c>
      <c r="K24" s="12">
        <v>0</v>
      </c>
      <c r="L24" s="13">
        <v>7.46157</v>
      </c>
      <c r="M24" s="13">
        <v>-3436997</v>
      </c>
      <c r="N24" s="12">
        <v>-4.6062659999999997</v>
      </c>
    </row>
    <row r="25" spans="1:14" ht="30" x14ac:dyDescent="0.2">
      <c r="A25" s="15"/>
      <c r="B25" s="11" t="s">
        <v>37</v>
      </c>
      <c r="C25" s="13">
        <v>3653.0949999999998</v>
      </c>
      <c r="D25" s="13">
        <v>3653.0949999999998</v>
      </c>
      <c r="E25" s="13">
        <v>0</v>
      </c>
      <c r="F25" s="13">
        <v>104206.1</v>
      </c>
      <c r="G25" s="13">
        <v>-104206.1</v>
      </c>
      <c r="H25" s="13">
        <v>0</v>
      </c>
      <c r="I25" s="13">
        <v>1.305512E-2</v>
      </c>
      <c r="J25" s="13">
        <v>7877806</v>
      </c>
      <c r="K25" s="12">
        <v>0</v>
      </c>
      <c r="L25" s="13">
        <v>0</v>
      </c>
      <c r="M25" s="13">
        <v>37.614910000000002</v>
      </c>
      <c r="N25" s="12">
        <v>3.6099999999999999E-4</v>
      </c>
    </row>
    <row r="26" spans="1:14" ht="30" x14ac:dyDescent="0.2">
      <c r="A26" s="15"/>
      <c r="B26" s="11" t="s">
        <v>36</v>
      </c>
      <c r="C26" s="13">
        <v>278.38099999999997</v>
      </c>
      <c r="D26" s="13">
        <v>278.38099999999997</v>
      </c>
      <c r="E26" s="13">
        <v>0</v>
      </c>
      <c r="F26" s="13">
        <v>68066.460000000006</v>
      </c>
      <c r="G26" s="13">
        <v>-68066.460000000006</v>
      </c>
      <c r="H26" s="13">
        <v>0</v>
      </c>
      <c r="I26" s="13">
        <v>0.11190310000000001</v>
      </c>
      <c r="J26" s="13">
        <v>540196</v>
      </c>
      <c r="K26" s="12">
        <v>0</v>
      </c>
      <c r="L26" s="13">
        <v>340332.3</v>
      </c>
      <c r="M26" s="13">
        <v>0</v>
      </c>
      <c r="N26" s="12" t="s">
        <v>77</v>
      </c>
    </row>
    <row r="27" spans="1:14" ht="30" x14ac:dyDescent="0.2">
      <c r="A27" s="16"/>
      <c r="B27" s="11" t="s">
        <v>76</v>
      </c>
      <c r="C27" s="13">
        <v>156000000</v>
      </c>
      <c r="D27" s="13">
        <v>156000000</v>
      </c>
      <c r="E27" s="13">
        <v>0</v>
      </c>
      <c r="F27" s="13">
        <v>400.0453</v>
      </c>
      <c r="G27" s="13">
        <v>-400.0453</v>
      </c>
      <c r="H27" s="13">
        <v>400.0453</v>
      </c>
      <c r="I27" s="13">
        <v>1.173654E-9</v>
      </c>
      <c r="J27" s="13">
        <v>340860000000</v>
      </c>
      <c r="K27" s="12">
        <v>0</v>
      </c>
      <c r="L27" s="13">
        <v>4.0000000000000001E-3</v>
      </c>
      <c r="M27" s="13">
        <v>-3364.6489999999999</v>
      </c>
      <c r="N27" s="12">
        <v>-8.4105629999999998</v>
      </c>
    </row>
    <row r="28" spans="1:14" ht="30" x14ac:dyDescent="0.2">
      <c r="A28" s="14" t="s">
        <v>35</v>
      </c>
      <c r="B28" s="11" t="s">
        <v>34</v>
      </c>
      <c r="C28" s="13">
        <v>0</v>
      </c>
      <c r="D28" s="13">
        <v>0</v>
      </c>
      <c r="E28" s="13">
        <v>0</v>
      </c>
      <c r="F28" s="13">
        <v>1877543</v>
      </c>
      <c r="G28" s="13">
        <v>-1877543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-14746680</v>
      </c>
      <c r="N28" s="12">
        <v>-7.8542459999999998</v>
      </c>
    </row>
    <row r="29" spans="1:14" x14ac:dyDescent="0.2">
      <c r="A29" s="16"/>
      <c r="B29" s="11" t="s">
        <v>33</v>
      </c>
      <c r="C29" s="13">
        <v>0</v>
      </c>
      <c r="D29" s="13">
        <v>0</v>
      </c>
      <c r="E29" s="13">
        <v>0</v>
      </c>
      <c r="F29" s="13">
        <v>52178340</v>
      </c>
      <c r="G29" s="13">
        <v>-52178340</v>
      </c>
      <c r="H29" s="13">
        <v>0</v>
      </c>
      <c r="I29" s="12" t="s">
        <v>77</v>
      </c>
      <c r="J29" s="13">
        <v>0</v>
      </c>
      <c r="K29" s="12">
        <v>0</v>
      </c>
      <c r="L29" s="13">
        <v>0</v>
      </c>
      <c r="M29" s="13">
        <v>-398605600</v>
      </c>
      <c r="N29" s="12">
        <v>-7.6392920000000002</v>
      </c>
    </row>
    <row r="30" spans="1:14" ht="30" x14ac:dyDescent="0.2">
      <c r="A30" s="14" t="s">
        <v>32</v>
      </c>
      <c r="B30" s="11" t="s">
        <v>31</v>
      </c>
      <c r="C30" s="13">
        <v>26471.97</v>
      </c>
      <c r="D30" s="13">
        <v>26471.97</v>
      </c>
      <c r="E30" s="13">
        <v>4340403</v>
      </c>
      <c r="F30" s="13">
        <v>7190680</v>
      </c>
      <c r="G30" s="13">
        <v>-2850277</v>
      </c>
      <c r="H30" s="13">
        <v>0</v>
      </c>
      <c r="I30" s="13">
        <v>0.19935739999999999</v>
      </c>
      <c r="J30" s="13">
        <v>60691540</v>
      </c>
      <c r="K30" s="12">
        <v>0</v>
      </c>
      <c r="L30" s="13">
        <v>0</v>
      </c>
      <c r="M30" s="13">
        <v>15815520</v>
      </c>
      <c r="N30" s="12">
        <v>1.371556</v>
      </c>
    </row>
    <row r="31" spans="1:14" ht="45" x14ac:dyDescent="0.2">
      <c r="A31" s="15"/>
      <c r="B31" s="11" t="s">
        <v>30</v>
      </c>
      <c r="C31" s="13">
        <v>857.70799999999997</v>
      </c>
      <c r="D31" s="13">
        <v>857.70799999999997</v>
      </c>
      <c r="E31" s="13">
        <v>212299.4</v>
      </c>
      <c r="F31" s="13">
        <v>319310.3</v>
      </c>
      <c r="G31" s="13">
        <v>-107010.8</v>
      </c>
      <c r="H31" s="13">
        <v>0</v>
      </c>
      <c r="I31" s="13">
        <v>0.28366259999999999</v>
      </c>
      <c r="J31" s="13">
        <v>1981103</v>
      </c>
      <c r="K31" s="12">
        <v>0</v>
      </c>
      <c r="L31" s="13">
        <v>0</v>
      </c>
      <c r="M31" s="13">
        <v>495733.1</v>
      </c>
      <c r="N31" s="12">
        <v>0.93251300000000004</v>
      </c>
    </row>
    <row r="32" spans="1:14" ht="45" x14ac:dyDescent="0.2">
      <c r="A32" s="15"/>
      <c r="B32" s="11" t="s">
        <v>29</v>
      </c>
      <c r="C32" s="13">
        <v>457.99400000000003</v>
      </c>
      <c r="D32" s="13">
        <v>457.99400000000003</v>
      </c>
      <c r="E32" s="13">
        <v>34084.589999999997</v>
      </c>
      <c r="F32" s="13">
        <v>215676.7</v>
      </c>
      <c r="G32" s="13">
        <v>-181592.1</v>
      </c>
      <c r="H32" s="13">
        <v>0</v>
      </c>
      <c r="I32" s="13">
        <v>0.24958240000000001</v>
      </c>
      <c r="J32" s="13">
        <v>1182309</v>
      </c>
      <c r="K32" s="12">
        <v>0</v>
      </c>
      <c r="L32" s="13">
        <v>0</v>
      </c>
      <c r="M32" s="13">
        <v>528827.30000000005</v>
      </c>
      <c r="N32" s="12">
        <v>2.1173310000000001</v>
      </c>
    </row>
    <row r="33" spans="1:14" ht="60" x14ac:dyDescent="0.2">
      <c r="A33" s="16"/>
      <c r="B33" s="11" t="s">
        <v>28</v>
      </c>
      <c r="C33" s="13">
        <v>5300</v>
      </c>
      <c r="D33" s="13">
        <v>5300</v>
      </c>
      <c r="E33" s="13">
        <v>1116940</v>
      </c>
      <c r="F33" s="13">
        <v>2354467</v>
      </c>
      <c r="G33" s="13">
        <v>-1237527</v>
      </c>
      <c r="H33" s="13">
        <v>0</v>
      </c>
      <c r="I33" s="13">
        <v>0.2997631</v>
      </c>
      <c r="J33" s="13">
        <v>12818030</v>
      </c>
      <c r="K33" s="12">
        <v>0</v>
      </c>
      <c r="L33" s="13">
        <v>0</v>
      </c>
      <c r="M33" s="13">
        <v>9304492</v>
      </c>
      <c r="N33" s="12">
        <v>2.680323</v>
      </c>
    </row>
    <row r="34" spans="1:14" x14ac:dyDescent="0.2">
      <c r="A34" s="14" t="s">
        <v>27</v>
      </c>
      <c r="B34" s="11" t="s">
        <v>75</v>
      </c>
      <c r="C34" s="13">
        <v>13000000</v>
      </c>
      <c r="D34" s="13">
        <v>13000000</v>
      </c>
      <c r="E34" s="13">
        <v>373078.5</v>
      </c>
      <c r="F34" s="13">
        <v>373078.5</v>
      </c>
      <c r="G34" s="13">
        <v>0</v>
      </c>
      <c r="H34" s="13">
        <v>0</v>
      </c>
      <c r="I34" s="13">
        <v>0.92019550000000006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  <row r="35" spans="1:14" ht="30" x14ac:dyDescent="0.2">
      <c r="A35" s="16"/>
      <c r="B35" s="11" t="s">
        <v>26</v>
      </c>
      <c r="C35" s="13">
        <v>46768.01</v>
      </c>
      <c r="D35" s="13">
        <v>46768.01</v>
      </c>
      <c r="E35" s="13">
        <v>67024.539999999994</v>
      </c>
      <c r="F35" s="13">
        <v>71902.37</v>
      </c>
      <c r="G35" s="13">
        <v>-4877.8270000000002</v>
      </c>
      <c r="H35" s="13">
        <v>0</v>
      </c>
      <c r="I35" s="13">
        <v>0.47733809999999999</v>
      </c>
      <c r="J35" s="13">
        <v>0</v>
      </c>
      <c r="K35" s="12">
        <v>0</v>
      </c>
      <c r="L35" s="13">
        <v>0</v>
      </c>
      <c r="M35" s="13">
        <v>0</v>
      </c>
      <c r="N35" s="12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2026-08-20T17:23:30Z</dcterms:modified>
</cp:coreProperties>
</file>