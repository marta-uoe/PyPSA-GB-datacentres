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excel/"/>
    </mc:Choice>
  </mc:AlternateContent>
  <xr:revisionPtr revIDLastSave="0" documentId="13_ncr:1_{8503F30D-2BE5-B340-9637-F62950A161CC}" xr6:coauthVersionLast="47" xr6:coauthVersionMax="47" xr10:uidLastSave="{00000000-0000-0000-0000-000000000000}"/>
  <bookViews>
    <workbookView xWindow="0" yWindow="660" windowWidth="30240" windowHeight="17400" xr2:uid="{D4188A73-9F76-7B43-A2AE-82D891E862BC}"/>
  </bookViews>
  <sheets>
    <sheet name="Summary" sheetId="8" r:id="rId1"/>
    <sheet name="Inflexible" sheetId="15" r:id="rId2"/>
    <sheet name="Temporal" sheetId="16" r:id="rId3"/>
    <sheet name="Spatial" sheetId="17" r:id="rId4"/>
    <sheet name="Both" sheetId="18" r:id="rId5"/>
    <sheet name="CFE" sheetId="19" r:id="rId6"/>
    <sheet name="CFE_both" sheetId="2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3" i="8" l="1"/>
  <c r="F23" i="8"/>
  <c r="E23" i="8"/>
  <c r="D23" i="8"/>
  <c r="C23" i="8"/>
  <c r="G11" i="8"/>
  <c r="G12" i="8"/>
  <c r="C15" i="8"/>
  <c r="B12" i="8"/>
  <c r="G15" i="8"/>
  <c r="B7" i="8"/>
  <c r="G13" i="8"/>
  <c r="C13" i="8"/>
  <c r="F14" i="8"/>
  <c r="D11" i="8"/>
  <c r="B14" i="8"/>
  <c r="E11" i="8"/>
  <c r="E13" i="8"/>
  <c r="E15" i="8"/>
  <c r="C11" i="8"/>
  <c r="F11" i="8"/>
  <c r="B11" i="8"/>
  <c r="G14" i="8"/>
  <c r="D14" i="8"/>
  <c r="E12" i="8"/>
  <c r="E14" i="8"/>
  <c r="D13" i="8"/>
  <c r="F15" i="8"/>
  <c r="F13" i="8"/>
  <c r="D15" i="8"/>
  <c r="B15" i="8"/>
  <c r="C14" i="8"/>
  <c r="B8" i="8"/>
  <c r="F12" i="8"/>
  <c r="D12" i="8"/>
  <c r="C12" i="8"/>
  <c r="B13" i="8"/>
  <c r="F20" i="8" l="1"/>
  <c r="C21" i="8"/>
  <c r="C18" i="8"/>
  <c r="C20" i="8"/>
  <c r="D20" i="8"/>
  <c r="D21" i="8"/>
  <c r="F21" i="8"/>
  <c r="E18" i="8"/>
  <c r="D19" i="8"/>
  <c r="E22" i="8"/>
  <c r="C22" i="8"/>
  <c r="E20" i="8"/>
  <c r="E19" i="8"/>
  <c r="G20" i="8"/>
  <c r="G22" i="8"/>
  <c r="F18" i="8"/>
  <c r="F19" i="8"/>
  <c r="G18" i="8"/>
  <c r="F22" i="8"/>
  <c r="C19" i="8"/>
  <c r="E21" i="8"/>
  <c r="G21" i="8"/>
  <c r="G19" i="8"/>
  <c r="D22" i="8"/>
  <c r="D18" i="8"/>
</calcChain>
</file>

<file path=xl/sharedStrings.xml><?xml version="1.0" encoding="utf-8"?>
<sst xmlns="http://schemas.openxmlformats.org/spreadsheetml/2006/main" count="361" uniqueCount="78">
  <si>
    <t>BIG SUMMARY</t>
  </si>
  <si>
    <t xml:space="preserve">Data Centre Allocation: </t>
  </si>
  <si>
    <t>Flexibility:</t>
  </si>
  <si>
    <t>x_CFE:</t>
  </si>
  <si>
    <t>Total Capacity [GW]:</t>
  </si>
  <si>
    <t>Total Green Energy</t>
  </si>
  <si>
    <t>Total Green Energy Curtailment</t>
  </si>
  <si>
    <t>Total Wind Offshore Curtailment</t>
  </si>
  <si>
    <t>Total Wind Onshore Curtailment</t>
  </si>
  <si>
    <t>Total Solar PV Curtailment</t>
  </si>
  <si>
    <t xml:space="preserve"> Network objective</t>
  </si>
  <si>
    <t>Inflexible</t>
  </si>
  <si>
    <t>Temporal</t>
  </si>
  <si>
    <t>Spatial</t>
  </si>
  <si>
    <t>Both</t>
  </si>
  <si>
    <t>CFE</t>
  </si>
  <si>
    <t>Total Storage</t>
  </si>
  <si>
    <t>DC Cost</t>
  </si>
  <si>
    <t>CFE_both</t>
  </si>
  <si>
    <t>Objective Reduction w.r.t. Inflexible</t>
  </si>
  <si>
    <t>DC Cost Reduction w.r.t. Inflexible</t>
  </si>
  <si>
    <t>Tot Green En Curtailment Reduction w.r.t. Inflexible</t>
  </si>
  <si>
    <t>Total Wind Offshore Curtailment Reduction</t>
  </si>
  <si>
    <t>Total Wind Onshore Curtailment Reduction</t>
  </si>
  <si>
    <t>Total Solar PV Curtailment Reduction</t>
  </si>
  <si>
    <t>Hydrogen Gas</t>
  </si>
  <si>
    <t>Store</t>
  </si>
  <si>
    <t>Pumped Storage Hydroelectricity</t>
  </si>
  <si>
    <t>Liquid Air Energy Storage</t>
  </si>
  <si>
    <t>Domestic Battery Storage</t>
  </si>
  <si>
    <t>Battery Storage</t>
  </si>
  <si>
    <t>StorageUnit</t>
  </si>
  <si>
    <t>Electricity</t>
  </si>
  <si>
    <t>Data Centre</t>
  </si>
  <si>
    <t>Load</t>
  </si>
  <si>
    <t>H2 Power Generation</t>
  </si>
  <si>
    <t>Electrolysis</t>
  </si>
  <si>
    <t>DC</t>
  </si>
  <si>
    <t>Link</t>
  </si>
  <si>
    <t>AC</t>
  </si>
  <si>
    <t>Line</t>
  </si>
  <si>
    <t>Waste to Energy</t>
  </si>
  <si>
    <t>Solar PV</t>
  </si>
  <si>
    <t>Sewage Gas</t>
  </si>
  <si>
    <t>Open Cycle Gas Turbine</t>
  </si>
  <si>
    <t>Onshore Wind</t>
  </si>
  <si>
    <t>Oil</t>
  </si>
  <si>
    <t>Offshore Wind</t>
  </si>
  <si>
    <t>Nuclear</t>
  </si>
  <si>
    <t>Marine Energy</t>
  </si>
  <si>
    <t>Load Shedding</t>
  </si>
  <si>
    <t>Large Hydro</t>
  </si>
  <si>
    <t>Landfill Gas</t>
  </si>
  <si>
    <t>Geothermal</t>
  </si>
  <si>
    <t>Gas Engine</t>
  </si>
  <si>
    <t>European Imports</t>
  </si>
  <si>
    <t>Combined Heat &amp; Power</t>
  </si>
  <si>
    <t>Combined Cycle Gas Turbine</t>
  </si>
  <si>
    <t>Biomass</t>
  </si>
  <si>
    <t>Biogas</t>
  </si>
  <si>
    <t>Advanced Biofuel</t>
  </si>
  <si>
    <t>Generator</t>
  </si>
  <si>
    <t>Market Value</t>
  </si>
  <si>
    <t>Revenue</t>
  </si>
  <si>
    <t>Operational Expenditure</t>
  </si>
  <si>
    <t>Capital Expenditure</t>
  </si>
  <si>
    <t>Curtailment</t>
  </si>
  <si>
    <t>Capacity Factor</t>
  </si>
  <si>
    <t>Transmission</t>
  </si>
  <si>
    <t>Energy Balance</t>
  </si>
  <si>
    <t>Withdrawal</t>
  </si>
  <si>
    <t>Supply</t>
  </si>
  <si>
    <t>Installed Capacity</t>
  </si>
  <si>
    <t>Optimal Capacity</t>
  </si>
  <si>
    <t>DSM</t>
  </si>
  <si>
    <t>Virtual Link</t>
  </si>
  <si>
    <t>NaN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</si>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</sst>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</cellStyleXfs>
  <cellXfs count="19">
    <xf numFmtId="0" fontId="0" fillId="0" borderId="0" xfId="0"/>
    <xf numFmtId="43" fontId="1" fillId="0" borderId="0" xfId="1" applyFont="1" applyBorder="1" applyAlignment="1">
      <alignment horizontal="center" vertical="center" wrapText="1"/>
    </xf>
    <xf numFmtId="0" fontId="2" fillId="0" borderId="0" xfId="2"/>
    <xf numFmtId="43" fontId="2" fillId="0" borderId="0" xfId="2" applyNumberFormat="1"/>
    <xf numFmtId="0" fontId="3" fillId="0" borderId="0" xfId="2" applyFont="1"/>
    <xf numFmtId="43" fontId="0" fillId="0" borderId="0" xfId="3" applyFont="1"/>
    <xf numFmtId="9" fontId="2" fillId="0" borderId="0" xfId="2" applyNumberFormat="1"/>
    <xf numFmtId="0" fontId="4" fillId="0" borderId="0" xfId="2" applyFont="1"/>
    <xf numFmtId="0" fontId="6" fillId="0" borderId="0" xfId="2" applyFont="1"/>
    <xf numFmtId="10" fontId="2" fillId="0" borderId="0" xfId="2" applyNumberFormat="1"/>
    <xf numFmtId="0" fontId="5" fillId="0" borderId="0" xfId="4"/>
    <xf numFmtId="0" fontId="7" fillId="0" borderId="1" xfId="4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11" fontId="8" fillId="0" borderId="2" xfId="0" applyNumberFormat="1" applyFont="1" applyBorder="1" applyAlignment="1">
      <alignment vertical="center" wrapText="1"/>
    </xf>
    <xf numFmtId="0" fontId="7" fillId="0" borderId="1" xfId="4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</cellXfs>
  <cellStyles count="5">
    <cellStyle name="Comma" xfId="1" builtinId="3"/>
    <cellStyle name="Comma 2" xfId="3" xr:uid="{4ECBB75D-054E-8047-9F29-ED070BEE1A4F}"/>
    <cellStyle name="Normal" xfId="0" builtinId="0"/>
    <cellStyle name="Normal 2" xfId="2" xr:uid="{D95309A0-E12C-3645-8A11-EF473EFC6DF8}"/>
    <cellStyle name="Normal 3" xfId="4" xr:uid="{D5582847-43D2-AD43-8DA4-CD8D7BB307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A3D4-8BC0-0947-8077-374B2710F049}">
  <dimension ref="A1:G24"/>
  <sheetViews>
    <sheetView tabSelected="1" workbookViewId="0">
      <selection activeCell="E9" sqref="E9"/>
    </sheetView>
  </sheetViews>
  <sheetFormatPr baseColWidth="10" defaultRowHeight="16" x14ac:dyDescent="0.2"/>
  <cols>
    <col min="1" max="1" width="45.1640625" style="2" customWidth="1"/>
    <col min="2" max="2" width="17.83203125" style="2" customWidth="1"/>
    <col min="3" max="3" width="17" style="2" customWidth="1"/>
    <col min="4" max="4" width="20" style="2" customWidth="1"/>
    <col min="5" max="5" width="17.1640625" style="2" customWidth="1"/>
    <col min="6" max="6" width="16.5" style="2" customWidth="1"/>
    <col min="7" max="7" width="16.6640625" style="2" customWidth="1"/>
    <col min="8" max="16384" width="10.83203125" style="2"/>
  </cols>
  <sheetData>
    <row r="1" spans="1:7" ht="27" x14ac:dyDescent="0.35">
      <c r="A1" s="7" t="s">
        <v>0</v>
      </c>
    </row>
    <row r="3" spans="1:7" x14ac:dyDescent="0.2">
      <c r="A3" s="4" t="s">
        <v>1</v>
      </c>
      <c r="B3" s="2" t="s">
        <v>77</v>
      </c>
    </row>
    <row r="4" spans="1:7" x14ac:dyDescent="0.2">
      <c r="A4" s="4" t="s">
        <v>4</v>
      </c>
      <c r="B4" s="2">
        <v>6</v>
      </c>
      <c r="D4" s="1"/>
    </row>
    <row r="5" spans="1:7" x14ac:dyDescent="0.2">
      <c r="A5" s="4" t="s">
        <v>2</v>
      </c>
      <c r="B5" s="6">
        <v>0.1</v>
      </c>
      <c r="D5" s="1"/>
    </row>
    <row r="6" spans="1:7" x14ac:dyDescent="0.2">
      <c r="A6" s="4" t="s">
        <v>3</v>
      </c>
      <c r="B6" s="6">
        <v>0.6</v>
      </c>
      <c r="D6" s="1"/>
    </row>
    <row r="7" spans="1:7" x14ac:dyDescent="0.2">
      <c r="A7" s="4" t="s">
        <v>5</v>
      </c>
      <c r="B7" s="3">
        <f ca="1">SUMIFS(INDIRECT(B$10&amp;"!$D$2:$D$35"), INDIRECT(B$10&amp;"!$B$2:$B$35"), "Solar PV")
+SUMIFS(INDIRECT(B$10&amp;"!$D$2:$D$35"), INDIRECT(B$10&amp;"!$B$2:$B$35"), "Offshore Wind")
+SUMIFS(INDIRECT(B$10&amp;"!$D$2:$D$35"), INDIRECT(B$10&amp;"!$B$2:$B$35"), "Onshore Wind")
+SUMIFS(INDIRECT(B$10&amp;"!$D$2:$D$35"), INDIRECT(B$10&amp;"!$B$2:$B$35"), "Large Hydro")
+SUMIFS(INDIRECT(B$10&amp;"!$D$2:$D$35"), INDIRECT(B$10&amp;"!$B$2:$B$35"), "Marine Energy")</f>
        <v>123437.01899999999</v>
      </c>
      <c r="D7" s="1"/>
    </row>
    <row r="8" spans="1:7" x14ac:dyDescent="0.2">
      <c r="A8" s="4" t="s">
        <v>16</v>
      </c>
      <c r="B8" s="3">
        <f ca="1">SUMIFS(INDIRECT(B$10&amp;"!$D$2:$D$35"), INDIRECT(B$10&amp;"!$B$2:$B$35"), "Battery Storage")
+SUMIFS(INDIRECT(B$10&amp;"!$D$2:$D$35"), INDIRECT(B$10&amp;"!$B$2:$B$35"), "Domestic Battery Storage")
+SUMIFS(INDIRECT(B$10&amp;"!$D$2:$D$35"), INDIRECT(B$10&amp;"!$B$2:$B$35"), "Liquid Air Energy Storage")
+SUMIFS(INDIRECT(B$10&amp;"!$D$2:$D$35"), INDIRECT(B$10&amp;"!$B$2:$B$35"), "Pumped Storage Hydroelectricity")</f>
        <v>33087.675000000003</v>
      </c>
      <c r="D8" s="1"/>
    </row>
    <row r="10" spans="1:7" x14ac:dyDescent="0.2"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18</v>
      </c>
    </row>
    <row r="11" spans="1:7" x14ac:dyDescent="0.2">
      <c r="A11" s="4" t="s">
        <v>6</v>
      </c>
      <c r="B11" s="3">
        <f ca="1">SUMIFS(INDIRECT(B$10&amp;"!$J$2:$J$35"), INDIRECT(B$10&amp;"!$B$2:$B$35"), "Solar PV")
+SUMIFS(INDIRECT(B$10&amp;"!$J$2:$J$35"), INDIRECT(B$10&amp;"!$B$2:$B$35"), "Offshore Wind")
+SUMIFS(INDIRECT(B$10&amp;"!$J$2:$J$35"), INDIRECT(B$10&amp;"!$B$2:$B$35"), "Onshore Wind")
+SUMIFS(INDIRECT(B$10&amp;"!$J$2:$J$35"), INDIRECT(B$10&amp;"!$B$2:$B$35"), "Large Hydro")
+SUMIFS(INDIRECT(B$10&amp;"!$J$2:$J$35"), INDIRECT(B$10&amp;"!$B$2:$B$35"), "Marine Energy")</f>
        <v>11161304.929069998</v>
      </c>
      <c r="C11" s="3">
        <f t="shared" ref="C11:G11" ca="1" si="0">SUMIFS(INDIRECT(C$10&amp;"!$J$2:$J$35"), INDIRECT(C$10&amp;"!$B$2:$B$35"), "Solar PV")
+SUMIFS(INDIRECT(C$10&amp;"!$J$2:$J$35"), INDIRECT(C$10&amp;"!$B$2:$B$35"), "Offshore Wind")
+SUMIFS(INDIRECT(C$10&amp;"!$J$2:$J$35"), INDIRECT(C$10&amp;"!$B$2:$B$35"), "Onshore Wind")
+SUMIFS(INDIRECT(C$10&amp;"!$J$2:$J$35"), INDIRECT(C$10&amp;"!$B$2:$B$35"), "Large Hydro")
+SUMIFS(INDIRECT(C$10&amp;"!$J$2:$J$35"), INDIRECT(C$10&amp;"!$B$2:$B$35"), "Marine Energy")</f>
        <v>11099208.417169999</v>
      </c>
      <c r="D11" s="3">
        <f t="shared" ca="1" si="0"/>
        <v>11392948.350889999</v>
      </c>
      <c r="E11" s="3">
        <f t="shared" ca="1" si="0"/>
        <v>11264871.294819999</v>
      </c>
      <c r="F11" s="3">
        <f t="shared" ca="1" si="0"/>
        <v>11745301.67</v>
      </c>
      <c r="G11" s="3">
        <f t="shared" ca="1" si="0"/>
        <v>11698948.82</v>
      </c>
    </row>
    <row r="12" spans="1:7" x14ac:dyDescent="0.2">
      <c r="A12" s="4" t="s">
        <v>7</v>
      </c>
      <c r="B12" s="3">
        <f ca="1">SUMIFS(INDIRECT(B$10&amp;"!$J$2:$J$35"), INDIRECT(B$10&amp;"!$B$2:$B$35"), "Offshore Wind")</f>
        <v>6395793.6425999999</v>
      </c>
      <c r="C12" s="3">
        <f t="shared" ref="C12:G12" ca="1" si="1">SUMIFS(INDIRECT(C$10&amp;"!$J$2:$J$35"), INDIRECT(C$10&amp;"!$B$2:$B$35"), "Offshore Wind")</f>
        <v>6331991.6912000002</v>
      </c>
      <c r="D12" s="3">
        <f t="shared" ca="1" si="1"/>
        <v>6377182.9545499999</v>
      </c>
      <c r="E12" s="3">
        <f t="shared" ca="1" si="1"/>
        <v>6370425.1132699996</v>
      </c>
      <c r="F12" s="3">
        <f t="shared" ca="1" si="1"/>
        <v>6895547</v>
      </c>
      <c r="G12" s="3">
        <f t="shared" ca="1" si="1"/>
        <v>6928791</v>
      </c>
    </row>
    <row r="13" spans="1:7" x14ac:dyDescent="0.2">
      <c r="A13" s="4" t="s">
        <v>8</v>
      </c>
      <c r="B13" s="5">
        <f ca="1">SUMIFS(INDIRECT(B$10&amp;"!$J$2:$J$35"), INDIRECT(B$10&amp;"!$B$2:$B$35"), "Onshore Wind")</f>
        <v>3191673.4605899998</v>
      </c>
      <c r="C13" s="5">
        <f t="shared" ref="C13:G13" ca="1" si="2">SUMIFS(INDIRECT(C$10&amp;"!$J$2:$J$35"), INDIRECT(C$10&amp;"!$B$2:$B$35"), "Onshore Wind")</f>
        <v>3097148.4053199999</v>
      </c>
      <c r="D13" s="5">
        <f t="shared" ca="1" si="2"/>
        <v>3356670.1220999998</v>
      </c>
      <c r="E13" s="5">
        <f t="shared" ca="1" si="2"/>
        <v>3187101.9160500001</v>
      </c>
      <c r="F13" s="5">
        <f t="shared" ca="1" si="2"/>
        <v>3361588</v>
      </c>
      <c r="G13" s="5">
        <f t="shared" ca="1" si="2"/>
        <v>3302773</v>
      </c>
    </row>
    <row r="14" spans="1:7" x14ac:dyDescent="0.2">
      <c r="A14" s="4" t="s">
        <v>9</v>
      </c>
      <c r="B14" s="5">
        <f ca="1">SUMIFS(INDIRECT(B$10&amp;"!$J$2:$J$35"), INDIRECT(B$10&amp;"!$B$2:$B$35"), "Solar PV")</f>
        <v>1265445.41346</v>
      </c>
      <c r="C14" s="5">
        <f t="shared" ref="C14:G14" ca="1" si="3">SUMIFS(INDIRECT(C$10&amp;"!$J$2:$J$35"), INDIRECT(C$10&amp;"!$B$2:$B$35"), "Solar PV")</f>
        <v>1356312.92236</v>
      </c>
      <c r="D14" s="5">
        <f t="shared" ca="1" si="3"/>
        <v>1323175.12888</v>
      </c>
      <c r="E14" s="5">
        <f t="shared" ca="1" si="3"/>
        <v>1376094.5487299999</v>
      </c>
      <c r="F14" s="5">
        <f t="shared" ca="1" si="3"/>
        <v>1140635</v>
      </c>
      <c r="G14" s="5">
        <f t="shared" ca="1" si="3"/>
        <v>1141252</v>
      </c>
    </row>
    <row r="15" spans="1:7" x14ac:dyDescent="0.2">
      <c r="A15" s="4" t="s">
        <v>17</v>
      </c>
      <c r="B15" s="3">
        <f ca="1">-SUMIFS(INDIRECT(B$10&amp;"!$M$2:$M$35"), INDIRECT(B$10&amp;"!$B$2:$B$35"), "Data Centre")</f>
        <v>24283741.836959999</v>
      </c>
      <c r="C15" s="3">
        <f t="shared" ref="C15:G15" ca="1" si="4">-SUMIFS(INDIRECT(C$10&amp;"!$M$2:$M$35"), INDIRECT(C$10&amp;"!$B$2:$B$35"), "Data Centre")</f>
        <v>24109122.677949999</v>
      </c>
      <c r="D15" s="3">
        <f t="shared" ca="1" si="4"/>
        <v>24283741.836959999</v>
      </c>
      <c r="E15" s="3">
        <f t="shared" ca="1" si="4"/>
        <v>23981640.5425</v>
      </c>
      <c r="F15" s="3">
        <f t="shared" ca="1" si="4"/>
        <v>24421310</v>
      </c>
      <c r="G15" s="3">
        <f t="shared" ca="1" si="4"/>
        <v>24148940</v>
      </c>
    </row>
    <row r="16" spans="1:7" x14ac:dyDescent="0.2">
      <c r="A16" s="4" t="s">
        <v>10</v>
      </c>
      <c r="B16" s="3">
        <v>90874750.204991207</v>
      </c>
      <c r="C16" s="3">
        <v>90243558.131271601</v>
      </c>
      <c r="D16" s="3">
        <v>90874749.300603405</v>
      </c>
      <c r="E16" s="3">
        <v>88719472.357071295</v>
      </c>
      <c r="F16" s="3">
        <v>91571983.139841601</v>
      </c>
      <c r="G16" s="3">
        <v>89395978.524391294</v>
      </c>
    </row>
    <row r="17" spans="1:7" x14ac:dyDescent="0.2">
      <c r="A17" s="4"/>
      <c r="B17" s="3"/>
      <c r="C17" s="3"/>
      <c r="D17" s="3"/>
      <c r="E17" s="3"/>
      <c r="F17" s="3"/>
      <c r="G17" s="3"/>
    </row>
    <row r="18" spans="1:7" x14ac:dyDescent="0.2">
      <c r="A18" s="8" t="s">
        <v>21</v>
      </c>
      <c r="C18" s="9">
        <f ca="1">1-C$11/$B$11</f>
        <v>5.5635530338631334E-3</v>
      </c>
      <c r="D18" s="9">
        <f t="shared" ref="D18:G18" ca="1" si="5">1-D$11/$B$11</f>
        <v>-2.0754152251201141E-2</v>
      </c>
      <c r="E18" s="9">
        <f t="shared" ca="1" si="5"/>
        <v>-9.2790553083321736E-3</v>
      </c>
      <c r="F18" s="9">
        <f t="shared" ca="1" si="5"/>
        <v>-5.2323338950176268E-2</v>
      </c>
      <c r="G18" s="9">
        <f t="shared" ca="1" si="5"/>
        <v>-4.8170343373532543E-2</v>
      </c>
    </row>
    <row r="19" spans="1:7" x14ac:dyDescent="0.2">
      <c r="A19" s="8" t="s">
        <v>22</v>
      </c>
      <c r="C19" s="9">
        <f ca="1">1-C$12/$B$12</f>
        <v>9.975611310383492E-3</v>
      </c>
      <c r="D19" s="9">
        <f t="shared" ref="D19:G19" ca="1" si="6">1-D$12/$B$12</f>
        <v>2.9098324758386473E-3</v>
      </c>
      <c r="E19" s="9">
        <f t="shared" ca="1" si="6"/>
        <v>3.9664396238536792E-3</v>
      </c>
      <c r="F19" s="9">
        <f t="shared" ca="1" si="6"/>
        <v>-7.8137817654298392E-2</v>
      </c>
      <c r="G19" s="9">
        <f t="shared" ca="1" si="6"/>
        <v>-8.3335608867975752E-2</v>
      </c>
    </row>
    <row r="20" spans="1:7" x14ac:dyDescent="0.2">
      <c r="A20" s="8" t="s">
        <v>23</v>
      </c>
      <c r="C20" s="9">
        <f ca="1">1-C$13/$B$13</f>
        <v>2.9616142264292433E-2</v>
      </c>
      <c r="D20" s="9">
        <f t="shared" ref="D20:G20" ca="1" si="7">1-D$13/$B$13</f>
        <v>-5.1695971892907755E-2</v>
      </c>
      <c r="E20" s="9">
        <f t="shared" ca="1" si="7"/>
        <v>1.4323346659512737E-3</v>
      </c>
      <c r="F20" s="9">
        <f t="shared" ca="1" si="7"/>
        <v>-5.3236818085578896E-2</v>
      </c>
      <c r="G20" s="9">
        <f t="shared" ca="1" si="7"/>
        <v>-3.4809181071256301E-2</v>
      </c>
    </row>
    <row r="21" spans="1:7" x14ac:dyDescent="0.2">
      <c r="A21" s="8" t="s">
        <v>24</v>
      </c>
      <c r="C21" s="9">
        <f ca="1">1-C$14/$B$14</f>
        <v>-7.1806739297864075E-2</v>
      </c>
      <c r="D21" s="9">
        <f t="shared" ref="D21:G21" ca="1" si="8">1-D$14/$B$14</f>
        <v>-4.5620075592320175E-2</v>
      </c>
      <c r="E21" s="9">
        <f t="shared" ca="1" si="8"/>
        <v>-8.7438884437900377E-2</v>
      </c>
      <c r="F21" s="9">
        <f t="shared" ca="1" si="8"/>
        <v>9.8629630430870585E-2</v>
      </c>
      <c r="G21" s="9">
        <f t="shared" ca="1" si="8"/>
        <v>9.8142055073263457E-2</v>
      </c>
    </row>
    <row r="22" spans="1:7" x14ac:dyDescent="0.2">
      <c r="A22" s="8" t="s">
        <v>20</v>
      </c>
      <c r="C22" s="9">
        <f ca="1">1-C$15/$B$15</f>
        <v>7.1907846897066863E-3</v>
      </c>
      <c r="D22" s="9">
        <f t="shared" ref="D22:G22" ca="1" si="9">1-D$15/$B$15</f>
        <v>0</v>
      </c>
      <c r="E22" s="9">
        <f t="shared" ca="1" si="9"/>
        <v>1.2440475462484057E-2</v>
      </c>
      <c r="F22" s="9">
        <f t="shared" ca="1" si="9"/>
        <v>-5.6650315245330152E-3</v>
      </c>
      <c r="G22" s="9">
        <f t="shared" ca="1" si="9"/>
        <v>5.5511147279135864E-3</v>
      </c>
    </row>
    <row r="23" spans="1:7" x14ac:dyDescent="0.2">
      <c r="A23" s="8" t="s">
        <v>19</v>
      </c>
      <c r="C23" s="9">
        <f>1-C$16/$B$16</f>
        <v>6.9457365472344046E-3</v>
      </c>
      <c r="D23" s="9">
        <f t="shared" ref="D23:G23" si="10">1-D$16/$B$16</f>
        <v>9.952025203929793E-9</v>
      </c>
      <c r="E23" s="9">
        <f t="shared" si="10"/>
        <v>2.3717015376197859E-2</v>
      </c>
      <c r="F23" s="9">
        <f t="shared" si="10"/>
        <v>-7.6724605380218414E-3</v>
      </c>
      <c r="G23" s="9">
        <f t="shared" si="10"/>
        <v>1.6272635437942551E-2</v>
      </c>
    </row>
    <row r="24" spans="1:7" x14ac:dyDescent="0.2">
      <c r="A24" s="8"/>
    </row>
  </sheetData>
  <conditionalFormatting sqref="B11:G1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G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G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G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G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G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G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388C4-4BCA-1A45-8983-4A16FB590FD5}">
  <dimension ref="A1:N32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5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5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5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5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5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5"/>
      <c r="B7" s="11" t="s">
        <v>55</v>
      </c>
      <c r="C7" s="10">
        <v>13695</v>
      </c>
      <c r="D7" s="10">
        <v>13695</v>
      </c>
      <c r="E7" s="10">
        <v>3926506.6401900002</v>
      </c>
      <c r="F7" s="10">
        <v>0</v>
      </c>
      <c r="G7" s="10">
        <v>3926506.6401900002</v>
      </c>
      <c r="H7" s="10">
        <v>0</v>
      </c>
      <c r="I7" s="10">
        <v>0.1312178320554947</v>
      </c>
      <c r="J7" s="10">
        <v>25997068.359809998</v>
      </c>
      <c r="K7" s="10">
        <v>0</v>
      </c>
      <c r="L7" s="10">
        <v>46960110.87573</v>
      </c>
      <c r="M7" s="10">
        <v>46960110.87573</v>
      </c>
      <c r="N7" s="10">
        <v>11.959768617099231</v>
      </c>
    </row>
    <row r="8" spans="1:14" x14ac:dyDescent="0.2">
      <c r="A8" s="15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5"/>
      <c r="B9" s="11" t="s">
        <v>53</v>
      </c>
      <c r="C9" s="10">
        <v>11</v>
      </c>
      <c r="D9" s="10">
        <v>11</v>
      </c>
      <c r="E9" s="10">
        <v>4965.7669999999998</v>
      </c>
      <c r="F9" s="10">
        <v>0</v>
      </c>
      <c r="G9" s="10">
        <v>4965.7669999999998</v>
      </c>
      <c r="H9" s="10">
        <v>0</v>
      </c>
      <c r="I9" s="10">
        <v>0.20660545454545459</v>
      </c>
      <c r="J9" s="10">
        <v>19069.233</v>
      </c>
      <c r="K9" s="10">
        <v>0</v>
      </c>
      <c r="L9" s="10">
        <v>61873.456819999999</v>
      </c>
      <c r="M9" s="10">
        <v>107998.11354000001</v>
      </c>
      <c r="N9" s="10">
        <v>21.74854575695441</v>
      </c>
    </row>
    <row r="10" spans="1:14" x14ac:dyDescent="0.2">
      <c r="A10" s="15"/>
      <c r="B10" s="11" t="s">
        <v>52</v>
      </c>
      <c r="C10" s="10">
        <v>834.51107000000002</v>
      </c>
      <c r="D10" s="10">
        <v>834.51107000000002</v>
      </c>
      <c r="E10" s="10">
        <v>8679.0624900000003</v>
      </c>
      <c r="F10" s="10">
        <v>0</v>
      </c>
      <c r="G10" s="10">
        <v>8679.0624900000003</v>
      </c>
      <c r="H10" s="10">
        <v>0</v>
      </c>
      <c r="I10" s="10">
        <v>4.7598050436886349E-3</v>
      </c>
      <c r="J10" s="10">
        <v>1814727.61714</v>
      </c>
      <c r="K10" s="10">
        <v>0</v>
      </c>
      <c r="L10" s="10">
        <v>468669.37430999998</v>
      </c>
      <c r="M10" s="10">
        <v>471777.86040000001</v>
      </c>
      <c r="N10" s="10">
        <v>54.358172356757493</v>
      </c>
    </row>
    <row r="11" spans="1:14" x14ac:dyDescent="0.2">
      <c r="A11" s="15"/>
      <c r="B11" s="11" t="s">
        <v>51</v>
      </c>
      <c r="C11" s="10">
        <v>1897.296</v>
      </c>
      <c r="D11" s="10">
        <v>1897.296</v>
      </c>
      <c r="E11" s="10">
        <v>1384913.2730399999</v>
      </c>
      <c r="F11" s="10">
        <v>0</v>
      </c>
      <c r="G11" s="10">
        <v>1384913.2730399999</v>
      </c>
      <c r="H11" s="10">
        <v>0</v>
      </c>
      <c r="I11" s="10">
        <v>0.33406889594454431</v>
      </c>
      <c r="J11" s="10">
        <v>273323.43096000003</v>
      </c>
      <c r="K11" s="10">
        <v>0</v>
      </c>
      <c r="L11" s="10">
        <v>0</v>
      </c>
      <c r="M11" s="10">
        <v>9159885.2940299995</v>
      </c>
      <c r="N11" s="10">
        <v>6.6140498019982026</v>
      </c>
    </row>
    <row r="12" spans="1:14" x14ac:dyDescent="0.2">
      <c r="A12" s="15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5"/>
      <c r="B13" s="11" t="s">
        <v>49</v>
      </c>
      <c r="C13" s="10">
        <v>254.358</v>
      </c>
      <c r="D13" s="10">
        <v>254.358</v>
      </c>
      <c r="E13" s="10">
        <v>238700.56935999999</v>
      </c>
      <c r="F13" s="10">
        <v>0</v>
      </c>
      <c r="G13" s="10">
        <v>238700.56935999999</v>
      </c>
      <c r="H13" s="10">
        <v>0</v>
      </c>
      <c r="I13" s="10">
        <v>0.42949350914852291</v>
      </c>
      <c r="J13" s="10">
        <v>35068.981460000003</v>
      </c>
      <c r="K13" s="10">
        <v>0</v>
      </c>
      <c r="L13" s="10">
        <v>0</v>
      </c>
      <c r="M13" s="10">
        <v>2055045.82837</v>
      </c>
      <c r="N13" s="10">
        <v>8.609304434770582</v>
      </c>
    </row>
    <row r="14" spans="1:14" x14ac:dyDescent="0.2">
      <c r="A14" s="15"/>
      <c r="B14" s="11" t="s">
        <v>48</v>
      </c>
      <c r="C14" s="10">
        <v>4570</v>
      </c>
      <c r="D14" s="10">
        <v>4570</v>
      </c>
      <c r="E14" s="10">
        <v>4302129.27886</v>
      </c>
      <c r="F14" s="10">
        <v>0</v>
      </c>
      <c r="G14" s="10">
        <v>4302129.27886</v>
      </c>
      <c r="H14" s="10">
        <v>0</v>
      </c>
      <c r="I14" s="10">
        <v>0.43083980087527352</v>
      </c>
      <c r="J14" s="10">
        <v>5683320.72114</v>
      </c>
      <c r="K14" s="10">
        <v>0</v>
      </c>
      <c r="L14" s="10">
        <v>43021292.788570002</v>
      </c>
      <c r="M14" s="10">
        <v>75008945.022330001</v>
      </c>
      <c r="N14" s="10">
        <v>17.435307022305309</v>
      </c>
    </row>
    <row r="15" spans="1:14" x14ac:dyDescent="0.2">
      <c r="A15" s="15"/>
      <c r="B15" s="11" t="s">
        <v>47</v>
      </c>
      <c r="C15" s="10">
        <v>53544.201999999997</v>
      </c>
      <c r="D15" s="10">
        <v>53544.201999999997</v>
      </c>
      <c r="E15" s="10">
        <v>25719052.46697</v>
      </c>
      <c r="F15" s="10">
        <v>0</v>
      </c>
      <c r="G15" s="10">
        <v>25719052.46697</v>
      </c>
      <c r="H15" s="10">
        <v>0</v>
      </c>
      <c r="I15" s="10">
        <v>0.21983208172567409</v>
      </c>
      <c r="J15" s="10">
        <v>6395793.6425999999</v>
      </c>
      <c r="K15" s="10">
        <v>0</v>
      </c>
      <c r="L15" s="10">
        <v>0</v>
      </c>
      <c r="M15" s="10">
        <v>108062346.37444</v>
      </c>
      <c r="N15" s="10">
        <v>4.2016457081609264</v>
      </c>
    </row>
    <row r="16" spans="1:14" x14ac:dyDescent="0.2">
      <c r="A16" s="15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5"/>
      <c r="B17" s="11" t="s">
        <v>45</v>
      </c>
      <c r="C17" s="10">
        <v>27270.741000000002</v>
      </c>
      <c r="D17" s="10">
        <v>27270.741000000002</v>
      </c>
      <c r="E17" s="10">
        <v>11143460.89583</v>
      </c>
      <c r="F17" s="10">
        <v>0</v>
      </c>
      <c r="G17" s="10">
        <v>11143460.89583</v>
      </c>
      <c r="H17" s="10">
        <v>0</v>
      </c>
      <c r="I17" s="10">
        <v>0.18701296382082169</v>
      </c>
      <c r="J17" s="10">
        <v>3191673.4605899998</v>
      </c>
      <c r="K17" s="10">
        <v>0</v>
      </c>
      <c r="L17" s="10">
        <v>0</v>
      </c>
      <c r="M17" s="10">
        <v>43899254.162720002</v>
      </c>
      <c r="N17" s="10">
        <v>3.93946320713557</v>
      </c>
    </row>
    <row r="18" spans="1:14" x14ac:dyDescent="0.2">
      <c r="A18" s="15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5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5"/>
      <c r="B20" s="11" t="s">
        <v>42</v>
      </c>
      <c r="C20" s="10">
        <v>40470.421999999999</v>
      </c>
      <c r="D20" s="10">
        <v>40470.421999999999</v>
      </c>
      <c r="E20" s="10">
        <v>13300096.04576</v>
      </c>
      <c r="F20" s="10">
        <v>0</v>
      </c>
      <c r="G20" s="10">
        <v>13300096.04576</v>
      </c>
      <c r="H20" s="10">
        <v>0</v>
      </c>
      <c r="I20" s="10">
        <v>0.1504061529182967</v>
      </c>
      <c r="J20" s="10">
        <v>1265445.41346</v>
      </c>
      <c r="K20" s="10">
        <v>0</v>
      </c>
      <c r="L20" s="10">
        <v>0</v>
      </c>
      <c r="M20" s="10">
        <v>96553687.753010005</v>
      </c>
      <c r="N20" s="10">
        <v>7.2596233440743871</v>
      </c>
    </row>
    <row r="21" spans="1:14" x14ac:dyDescent="0.2">
      <c r="A21" s="15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32630559.26723</v>
      </c>
      <c r="F22" s="10">
        <v>23873456.284109998</v>
      </c>
      <c r="G22" s="10">
        <v>8757102.9831099994</v>
      </c>
      <c r="H22" s="10">
        <v>-8757102.9831099994</v>
      </c>
      <c r="I22" s="10">
        <v>0.1120448931975737</v>
      </c>
      <c r="J22" s="10">
        <v>0</v>
      </c>
      <c r="K22" s="10">
        <v>0</v>
      </c>
      <c r="L22" s="10">
        <v>0</v>
      </c>
      <c r="M22" s="10">
        <v>108573918.837</v>
      </c>
      <c r="N22" s="10">
        <v>1.921525714113258</v>
      </c>
    </row>
    <row r="23" spans="1:14" x14ac:dyDescent="0.2">
      <c r="A23" s="15" t="s">
        <v>38</v>
      </c>
      <c r="B23" s="11" t="s">
        <v>37</v>
      </c>
      <c r="C23" s="10">
        <v>12450</v>
      </c>
      <c r="D23" s="10">
        <v>12450</v>
      </c>
      <c r="E23" s="10">
        <v>9792030.2308799997</v>
      </c>
      <c r="F23" s="10">
        <v>5764843.9332499998</v>
      </c>
      <c r="G23" s="10">
        <v>4027186.2976299999</v>
      </c>
      <c r="H23" s="10">
        <v>-4027186.2976299999</v>
      </c>
      <c r="I23" s="10">
        <v>0.57187557269076306</v>
      </c>
      <c r="J23" s="10">
        <v>31230436.297630001</v>
      </c>
      <c r="K23" s="10">
        <v>0</v>
      </c>
      <c r="L23" s="10">
        <v>0</v>
      </c>
      <c r="M23" s="10">
        <v>81330317.324819997</v>
      </c>
      <c r="N23" s="10">
        <v>5.227934379153738</v>
      </c>
    </row>
    <row r="24" spans="1:14" x14ac:dyDescent="0.2">
      <c r="A24" s="15"/>
      <c r="B24" s="11" t="s">
        <v>36</v>
      </c>
      <c r="C24" s="10">
        <v>3653.0947500000002</v>
      </c>
      <c r="D24" s="10">
        <v>3653.0947500000002</v>
      </c>
      <c r="E24" s="10">
        <v>0</v>
      </c>
      <c r="F24" s="10">
        <v>114616.92392</v>
      </c>
      <c r="G24" s="10">
        <v>-114616.92392</v>
      </c>
      <c r="H24" s="10">
        <v>0</v>
      </c>
      <c r="I24" s="10">
        <v>1.4359403078718389E-2</v>
      </c>
      <c r="J24" s="10">
        <v>7867395.1147100003</v>
      </c>
      <c r="K24" s="10">
        <v>0</v>
      </c>
      <c r="L24" s="10">
        <v>0</v>
      </c>
      <c r="M24" s="10">
        <v>0</v>
      </c>
    </row>
    <row r="25" spans="1:14" x14ac:dyDescent="0.2">
      <c r="A25" s="15"/>
      <c r="B25" s="11" t="s">
        <v>35</v>
      </c>
      <c r="C25" s="10">
        <v>278.38099999999997</v>
      </c>
      <c r="D25" s="10">
        <v>278.38099999999997</v>
      </c>
      <c r="E25" s="10">
        <v>0</v>
      </c>
      <c r="F25" s="10">
        <v>72560.741909999997</v>
      </c>
      <c r="G25" s="10">
        <v>-72560.741909999997</v>
      </c>
      <c r="H25" s="10">
        <v>0</v>
      </c>
      <c r="I25" s="10">
        <v>0.11929183385360349</v>
      </c>
      <c r="J25" s="10">
        <v>535701.74309</v>
      </c>
      <c r="K25" s="10">
        <v>0</v>
      </c>
      <c r="L25" s="10">
        <v>362803.70954000001</v>
      </c>
      <c r="M25" s="10">
        <v>0</v>
      </c>
    </row>
    <row r="26" spans="1:14" x14ac:dyDescent="0.2">
      <c r="A26" s="15" t="s">
        <v>34</v>
      </c>
      <c r="B26" s="11" t="s">
        <v>33</v>
      </c>
      <c r="C26" s="10">
        <v>0</v>
      </c>
      <c r="D26" s="10">
        <v>0</v>
      </c>
      <c r="E26" s="10">
        <v>0</v>
      </c>
      <c r="F26" s="10">
        <v>2816335.2971399999</v>
      </c>
      <c r="G26" s="10">
        <v>-2816335.2971399999</v>
      </c>
      <c r="H26" s="10">
        <v>0</v>
      </c>
      <c r="J26" s="10">
        <v>0</v>
      </c>
      <c r="K26" s="10">
        <v>0</v>
      </c>
      <c r="L26" s="10">
        <v>0</v>
      </c>
      <c r="M26" s="10">
        <v>-24283741.836959999</v>
      </c>
      <c r="N26" s="10">
        <v>-8.622461201937119</v>
      </c>
    </row>
    <row r="27" spans="1:14" x14ac:dyDescent="0.2">
      <c r="A27" s="15"/>
      <c r="B27" s="11" t="s">
        <v>32</v>
      </c>
      <c r="C27" s="10">
        <v>0</v>
      </c>
      <c r="D27" s="10">
        <v>0</v>
      </c>
      <c r="E27" s="10">
        <v>0</v>
      </c>
      <c r="F27" s="10">
        <v>52178335.791649997</v>
      </c>
      <c r="G27" s="10">
        <v>-52178335.791649997</v>
      </c>
      <c r="H27" s="10">
        <v>0</v>
      </c>
      <c r="J27" s="10">
        <v>0</v>
      </c>
      <c r="K27" s="10">
        <v>0</v>
      </c>
      <c r="L27" s="10">
        <v>0</v>
      </c>
      <c r="M27" s="10">
        <v>-437047000.61642998</v>
      </c>
      <c r="N27" s="10">
        <v>-8.3760241497118191</v>
      </c>
    </row>
    <row r="28" spans="1:14" x14ac:dyDescent="0.2">
      <c r="A28" s="15" t="s">
        <v>31</v>
      </c>
      <c r="B28" s="11" t="s">
        <v>30</v>
      </c>
      <c r="C28" s="10">
        <v>26471.973000000002</v>
      </c>
      <c r="D28" s="10">
        <v>26471.973000000002</v>
      </c>
      <c r="E28" s="10">
        <v>2697880.6518000001</v>
      </c>
      <c r="F28" s="10">
        <v>6017380.0448599998</v>
      </c>
      <c r="G28" s="10">
        <v>-3319499.3930600001</v>
      </c>
      <c r="H28" s="10">
        <v>0</v>
      </c>
      <c r="I28" s="10">
        <v>0.15067549592922291</v>
      </c>
      <c r="J28" s="10">
        <v>61160760.398060001</v>
      </c>
      <c r="K28" s="10">
        <v>0</v>
      </c>
      <c r="L28" s="10">
        <v>0</v>
      </c>
      <c r="M28" s="10">
        <v>17681082.079689998</v>
      </c>
      <c r="N28" s="10">
        <v>2.0287496508303962</v>
      </c>
    </row>
    <row r="29" spans="1:14" x14ac:dyDescent="0.2">
      <c r="A29" s="15"/>
      <c r="B29" s="11" t="s">
        <v>29</v>
      </c>
      <c r="C29" s="10">
        <v>857.70799999999997</v>
      </c>
      <c r="D29" s="10">
        <v>857.70799999999997</v>
      </c>
      <c r="E29" s="10">
        <v>136015.035</v>
      </c>
      <c r="F29" s="10">
        <v>262319.44998999999</v>
      </c>
      <c r="G29" s="10">
        <v>-126304.41499</v>
      </c>
      <c r="H29" s="10">
        <v>0</v>
      </c>
      <c r="I29" s="10">
        <v>0.21254798835967489</v>
      </c>
      <c r="J29" s="10">
        <v>2000396.3949899999</v>
      </c>
      <c r="K29" s="10">
        <v>0</v>
      </c>
      <c r="L29" s="10">
        <v>0</v>
      </c>
      <c r="M29" s="10">
        <v>581486.66940000001</v>
      </c>
      <c r="N29" s="10">
        <v>1.4597949547050799</v>
      </c>
    </row>
    <row r="30" spans="1:14" x14ac:dyDescent="0.2">
      <c r="A30" s="15"/>
      <c r="B30" s="11" t="s">
        <v>28</v>
      </c>
      <c r="C30" s="10">
        <v>457.99400000000003</v>
      </c>
      <c r="D30" s="10">
        <v>457.99400000000003</v>
      </c>
      <c r="E30" s="10">
        <v>30871.431120000001</v>
      </c>
      <c r="F30" s="10">
        <v>242676.56967</v>
      </c>
      <c r="G30" s="10">
        <v>-211805.13855</v>
      </c>
      <c r="H30" s="10">
        <v>0</v>
      </c>
      <c r="I30" s="10">
        <v>0.27335203081263071</v>
      </c>
      <c r="J30" s="10">
        <v>1212522.0285499999</v>
      </c>
      <c r="K30" s="10">
        <v>0</v>
      </c>
      <c r="L30" s="10">
        <v>0</v>
      </c>
      <c r="M30" s="10">
        <v>592818.33949000004</v>
      </c>
      <c r="N30" s="10">
        <v>2.167145618238123</v>
      </c>
    </row>
    <row r="31" spans="1:14" x14ac:dyDescent="0.2">
      <c r="A31" s="15"/>
      <c r="B31" s="11" t="s">
        <v>27</v>
      </c>
      <c r="C31" s="10">
        <v>5300</v>
      </c>
      <c r="D31" s="10">
        <v>5300</v>
      </c>
      <c r="E31" s="10">
        <v>824068.40193000005</v>
      </c>
      <c r="F31" s="10">
        <v>2222635.4704999998</v>
      </c>
      <c r="G31" s="10">
        <v>-1398567.0685699999</v>
      </c>
      <c r="H31" s="10">
        <v>0</v>
      </c>
      <c r="I31" s="10">
        <v>0.2630891471698113</v>
      </c>
      <c r="J31" s="10">
        <v>12979067.068569999</v>
      </c>
      <c r="K31" s="10">
        <v>0</v>
      </c>
      <c r="L31" s="10">
        <v>0</v>
      </c>
      <c r="M31" s="10">
        <v>10517292.74808</v>
      </c>
      <c r="N31" s="10">
        <v>3.4520233001156191</v>
      </c>
    </row>
    <row r="32" spans="1:14" x14ac:dyDescent="0.2">
      <c r="A32" s="11" t="s">
        <v>26</v>
      </c>
      <c r="B32" s="11" t="s">
        <v>25</v>
      </c>
      <c r="C32" s="10">
        <v>46768.008000000002</v>
      </c>
      <c r="D32" s="10">
        <v>46768.008000000002</v>
      </c>
      <c r="E32" s="10">
        <v>71476.524720000001</v>
      </c>
      <c r="F32" s="10">
        <v>79147.629560000001</v>
      </c>
      <c r="G32" s="10">
        <v>-7671.10484</v>
      </c>
      <c r="H32" s="10">
        <v>0</v>
      </c>
      <c r="I32" s="10">
        <v>0.75068476916955706</v>
      </c>
      <c r="J32" s="10">
        <v>0</v>
      </c>
      <c r="K32" s="10">
        <v>0</v>
      </c>
      <c r="L32" s="10">
        <v>0</v>
      </c>
      <c r="M32" s="10">
        <v>0</v>
      </c>
    </row>
  </sheetData>
  <mergeCells count="4">
    <mergeCell ref="A2:A21"/>
    <mergeCell ref="A26:A27"/>
    <mergeCell ref="A23:A25"/>
    <mergeCell ref="A28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D510-98B6-4B40-B4C5-79447319B67D}">
  <dimension ref="A1:N34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5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5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5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5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5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5"/>
      <c r="B7" s="11" t="s">
        <v>55</v>
      </c>
      <c r="C7" s="10">
        <v>13695</v>
      </c>
      <c r="D7" s="10">
        <v>13695</v>
      </c>
      <c r="E7" s="10">
        <v>3906121.15319</v>
      </c>
      <c r="F7" s="10">
        <v>0</v>
      </c>
      <c r="G7" s="10">
        <v>3906121.15319</v>
      </c>
      <c r="H7" s="10">
        <v>0</v>
      </c>
      <c r="I7" s="10">
        <v>0.13053658050383349</v>
      </c>
      <c r="J7" s="10">
        <v>26017453.846809998</v>
      </c>
      <c r="K7" s="10">
        <v>0</v>
      </c>
      <c r="L7" s="10">
        <v>46429877.884779997</v>
      </c>
      <c r="M7" s="10">
        <v>46429877.884779997</v>
      </c>
      <c r="N7" s="10">
        <v>11.886440798934061</v>
      </c>
    </row>
    <row r="8" spans="1:14" x14ac:dyDescent="0.2">
      <c r="A8" s="15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5"/>
      <c r="B9" s="11" t="s">
        <v>53</v>
      </c>
      <c r="C9" s="10">
        <v>11</v>
      </c>
      <c r="D9" s="10">
        <v>11</v>
      </c>
      <c r="E9" s="10">
        <v>4934.2349999999997</v>
      </c>
      <c r="F9" s="10">
        <v>0</v>
      </c>
      <c r="G9" s="10">
        <v>4934.2349999999997</v>
      </c>
      <c r="H9" s="10">
        <v>0</v>
      </c>
      <c r="I9" s="10">
        <v>0.2052936363636364</v>
      </c>
      <c r="J9" s="10">
        <v>19100.764999999999</v>
      </c>
      <c r="K9" s="10">
        <v>0</v>
      </c>
      <c r="L9" s="10">
        <v>61480.568099999997</v>
      </c>
      <c r="M9" s="10">
        <v>106589.79118</v>
      </c>
      <c r="N9" s="10">
        <v>21.602099874680611</v>
      </c>
    </row>
    <row r="10" spans="1:14" x14ac:dyDescent="0.2">
      <c r="A10" s="15"/>
      <c r="B10" s="11" t="s">
        <v>52</v>
      </c>
      <c r="C10" s="10">
        <v>834.51107000000002</v>
      </c>
      <c r="D10" s="10">
        <v>834.51107000000002</v>
      </c>
      <c r="E10" s="10">
        <v>7254.7526500000004</v>
      </c>
      <c r="F10" s="10">
        <v>0</v>
      </c>
      <c r="G10" s="10">
        <v>7254.7526500000004</v>
      </c>
      <c r="H10" s="10">
        <v>0</v>
      </c>
      <c r="I10" s="10">
        <v>3.9786769994555006E-3</v>
      </c>
      <c r="J10" s="10">
        <v>1816151.92698</v>
      </c>
      <c r="K10" s="10">
        <v>0</v>
      </c>
      <c r="L10" s="10">
        <v>391756.64305000001</v>
      </c>
      <c r="M10" s="10">
        <v>394010.43803999998</v>
      </c>
      <c r="N10" s="10">
        <v>54.310711542805507</v>
      </c>
    </row>
    <row r="11" spans="1:14" x14ac:dyDescent="0.2">
      <c r="A11" s="15"/>
      <c r="B11" s="11" t="s">
        <v>51</v>
      </c>
      <c r="C11" s="10">
        <v>1897.296</v>
      </c>
      <c r="D11" s="10">
        <v>1897.296</v>
      </c>
      <c r="E11" s="10">
        <v>1379222.6665000001</v>
      </c>
      <c r="F11" s="10">
        <v>0</v>
      </c>
      <c r="G11" s="10">
        <v>1379222.6665000001</v>
      </c>
      <c r="H11" s="10">
        <v>0</v>
      </c>
      <c r="I11" s="10">
        <v>0.33269621081792189</v>
      </c>
      <c r="J11" s="10">
        <v>279014.03749999998</v>
      </c>
      <c r="K11" s="10">
        <v>0</v>
      </c>
      <c r="L11" s="10">
        <v>0</v>
      </c>
      <c r="M11" s="10">
        <v>9098789.5065499991</v>
      </c>
      <c r="N11" s="10">
        <v>6.597041721486816</v>
      </c>
    </row>
    <row r="12" spans="1:14" x14ac:dyDescent="0.2">
      <c r="A12" s="15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5"/>
      <c r="B13" s="11" t="s">
        <v>49</v>
      </c>
      <c r="C13" s="10">
        <v>254.358</v>
      </c>
      <c r="D13" s="10">
        <v>254.358</v>
      </c>
      <c r="E13" s="10">
        <v>239028.19002000001</v>
      </c>
      <c r="F13" s="10">
        <v>0</v>
      </c>
      <c r="G13" s="10">
        <v>239028.19002000001</v>
      </c>
      <c r="H13" s="10">
        <v>0</v>
      </c>
      <c r="I13" s="10">
        <v>0.4300829932614661</v>
      </c>
      <c r="J13" s="10">
        <v>34741.360789999999</v>
      </c>
      <c r="K13" s="10">
        <v>0</v>
      </c>
      <c r="L13" s="10">
        <v>0</v>
      </c>
      <c r="M13" s="10">
        <v>2039584.3335899999</v>
      </c>
      <c r="N13" s="10">
        <v>8.5328194465837353</v>
      </c>
    </row>
    <row r="14" spans="1:14" x14ac:dyDescent="0.2">
      <c r="A14" s="15"/>
      <c r="B14" s="11" t="s">
        <v>48</v>
      </c>
      <c r="C14" s="10">
        <v>4570</v>
      </c>
      <c r="D14" s="10">
        <v>4570</v>
      </c>
      <c r="E14" s="10">
        <v>4300001.7449700003</v>
      </c>
      <c r="F14" s="10">
        <v>0</v>
      </c>
      <c r="G14" s="10">
        <v>4300001.7449700003</v>
      </c>
      <c r="H14" s="10">
        <v>0</v>
      </c>
      <c r="I14" s="10">
        <v>0.43062673741794311</v>
      </c>
      <c r="J14" s="10">
        <v>5685448.2550299997</v>
      </c>
      <c r="K14" s="10">
        <v>0</v>
      </c>
      <c r="L14" s="10">
        <v>43000017.449709997</v>
      </c>
      <c r="M14" s="10">
        <v>74321581.603589997</v>
      </c>
      <c r="N14" s="10">
        <v>17.28408168849861</v>
      </c>
    </row>
    <row r="15" spans="1:14" x14ac:dyDescent="0.2">
      <c r="A15" s="15"/>
      <c r="B15" s="11" t="s">
        <v>47</v>
      </c>
      <c r="C15" s="10">
        <v>53544.201999999997</v>
      </c>
      <c r="D15" s="10">
        <v>53544.201999999997</v>
      </c>
      <c r="E15" s="10">
        <v>25782854.418359999</v>
      </c>
      <c r="F15" s="10">
        <v>0</v>
      </c>
      <c r="G15" s="10">
        <v>25782854.418359999</v>
      </c>
      <c r="H15" s="10">
        <v>0</v>
      </c>
      <c r="I15" s="10">
        <v>0.22037742517854689</v>
      </c>
      <c r="J15" s="10">
        <v>6331991.6912000002</v>
      </c>
      <c r="K15" s="10">
        <v>0</v>
      </c>
      <c r="L15" s="10">
        <v>0</v>
      </c>
      <c r="M15" s="10">
        <v>107369905.33406</v>
      </c>
      <c r="N15" s="10">
        <v>4.1643917163915303</v>
      </c>
    </row>
    <row r="16" spans="1:14" x14ac:dyDescent="0.2">
      <c r="A16" s="15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5"/>
      <c r="B17" s="11" t="s">
        <v>45</v>
      </c>
      <c r="C17" s="10">
        <v>27270.741000000002</v>
      </c>
      <c r="D17" s="10">
        <v>27270.741000000002</v>
      </c>
      <c r="E17" s="10">
        <v>11237985.951099999</v>
      </c>
      <c r="F17" s="10">
        <v>0</v>
      </c>
      <c r="G17" s="10">
        <v>11237985.951099999</v>
      </c>
      <c r="H17" s="10">
        <v>0</v>
      </c>
      <c r="I17" s="10">
        <v>0.18859931235458549</v>
      </c>
      <c r="J17" s="10">
        <v>3097148.4053199999</v>
      </c>
      <c r="K17" s="10">
        <v>0</v>
      </c>
      <c r="L17" s="10">
        <v>0</v>
      </c>
      <c r="M17" s="10">
        <v>43633634.344850004</v>
      </c>
      <c r="N17" s="10">
        <v>3.8826916597174188</v>
      </c>
    </row>
    <row r="18" spans="1:14" x14ac:dyDescent="0.2">
      <c r="A18" s="15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5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5"/>
      <c r="B20" s="11" t="s">
        <v>42</v>
      </c>
      <c r="C20" s="10">
        <v>40470.421999999999</v>
      </c>
      <c r="D20" s="10">
        <v>40470.421999999999</v>
      </c>
      <c r="E20" s="10">
        <v>13209228.53685</v>
      </c>
      <c r="F20" s="10">
        <v>0</v>
      </c>
      <c r="G20" s="10">
        <v>13209228.53685</v>
      </c>
      <c r="H20" s="10">
        <v>0</v>
      </c>
      <c r="I20" s="10">
        <v>0.1493785639299734</v>
      </c>
      <c r="J20" s="10">
        <v>1356312.92236</v>
      </c>
      <c r="K20" s="10">
        <v>0</v>
      </c>
      <c r="L20" s="10">
        <v>0</v>
      </c>
      <c r="M20" s="10">
        <v>96223930.371010005</v>
      </c>
      <c r="N20" s="10">
        <v>7.2845987994548302</v>
      </c>
    </row>
    <row r="21" spans="1:14" x14ac:dyDescent="0.2">
      <c r="A21" s="15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32740905.779429998</v>
      </c>
      <c r="F22" s="10">
        <v>23580577.266679998</v>
      </c>
      <c r="G22" s="10">
        <v>9160328.5127499998</v>
      </c>
      <c r="H22" s="10">
        <v>-9160328.5127499998</v>
      </c>
      <c r="I22" s="10">
        <v>0.1116829395580589</v>
      </c>
      <c r="J22" s="10">
        <v>0</v>
      </c>
      <c r="K22" s="10">
        <v>0</v>
      </c>
      <c r="L22" s="10">
        <v>0</v>
      </c>
      <c r="M22" s="10">
        <v>105987071.82986</v>
      </c>
      <c r="N22" s="10">
        <v>1.881823170926499</v>
      </c>
    </row>
    <row r="23" spans="1:14" x14ac:dyDescent="0.2">
      <c r="A23" s="15" t="s">
        <v>38</v>
      </c>
      <c r="B23" s="11" t="s">
        <v>37</v>
      </c>
      <c r="C23" s="10">
        <v>12450</v>
      </c>
      <c r="D23" s="10">
        <v>12450</v>
      </c>
      <c r="E23" s="10">
        <v>9766566.1613299996</v>
      </c>
      <c r="F23" s="10">
        <v>5760288.0554900002</v>
      </c>
      <c r="G23" s="10">
        <v>4006278.1058399999</v>
      </c>
      <c r="H23" s="10">
        <v>-4006278.1058399999</v>
      </c>
      <c r="I23" s="10">
        <v>0.57077202971887553</v>
      </c>
      <c r="J23" s="10">
        <v>31209528.105840001</v>
      </c>
      <c r="K23" s="10">
        <v>0</v>
      </c>
      <c r="L23" s="10">
        <v>0</v>
      </c>
      <c r="M23" s="10">
        <v>80273569.617819995</v>
      </c>
      <c r="N23" s="10">
        <v>5.169982824517267</v>
      </c>
    </row>
    <row r="24" spans="1:14" x14ac:dyDescent="0.2">
      <c r="A24" s="15"/>
      <c r="B24" s="11" t="s">
        <v>74</v>
      </c>
      <c r="C24" s="10">
        <v>24000000</v>
      </c>
      <c r="D24" s="10">
        <v>24000000</v>
      </c>
      <c r="E24" s="10">
        <v>0</v>
      </c>
      <c r="F24" s="10">
        <v>175114.56344999999</v>
      </c>
      <c r="G24" s="10">
        <v>-175114.56344999999</v>
      </c>
      <c r="H24" s="10">
        <v>0</v>
      </c>
      <c r="I24" s="10">
        <v>3.3393316666666669E-6</v>
      </c>
      <c r="J24" s="10">
        <v>52439824885.436546</v>
      </c>
      <c r="K24" s="10">
        <v>0</v>
      </c>
      <c r="L24" s="10">
        <v>1.75115</v>
      </c>
      <c r="M24" s="10">
        <v>-1424711.2545700001</v>
      </c>
      <c r="N24" s="10">
        <v>-8.1358814812744455</v>
      </c>
    </row>
    <row r="25" spans="1:14" x14ac:dyDescent="0.2">
      <c r="A25" s="15"/>
      <c r="B25" s="11" t="s">
        <v>36</v>
      </c>
      <c r="C25" s="10">
        <v>3653.0947500000002</v>
      </c>
      <c r="D25" s="10">
        <v>3653.0947500000002</v>
      </c>
      <c r="E25" s="10">
        <v>0</v>
      </c>
      <c r="F25" s="10">
        <v>113820.04081999999</v>
      </c>
      <c r="G25" s="10">
        <v>-113820.04081999999</v>
      </c>
      <c r="H25" s="10">
        <v>0</v>
      </c>
      <c r="I25" s="10">
        <v>1.4259567179307349E-2</v>
      </c>
      <c r="J25" s="10">
        <v>7868191.9978200002</v>
      </c>
      <c r="K25" s="10">
        <v>0</v>
      </c>
      <c r="L25" s="10">
        <v>0</v>
      </c>
      <c r="M25" s="10">
        <v>0</v>
      </c>
    </row>
    <row r="26" spans="1:14" x14ac:dyDescent="0.2">
      <c r="A26" s="15"/>
      <c r="B26" s="11" t="s">
        <v>35</v>
      </c>
      <c r="C26" s="10">
        <v>278.38099999999997</v>
      </c>
      <c r="D26" s="10">
        <v>278.38099999999997</v>
      </c>
      <c r="E26" s="10">
        <v>0</v>
      </c>
      <c r="F26" s="10">
        <v>72084.766889999999</v>
      </c>
      <c r="G26" s="10">
        <v>-72084.766889999999</v>
      </c>
      <c r="H26" s="10">
        <v>0</v>
      </c>
      <c r="I26" s="10">
        <v>0.1185093091841757</v>
      </c>
      <c r="J26" s="10">
        <v>536177.71811000002</v>
      </c>
      <c r="K26" s="10">
        <v>0</v>
      </c>
      <c r="L26" s="10">
        <v>360423.83447</v>
      </c>
      <c r="M26" s="10">
        <v>0</v>
      </c>
    </row>
    <row r="27" spans="1:14" x14ac:dyDescent="0.2">
      <c r="A27" s="15" t="s">
        <v>34</v>
      </c>
      <c r="B27" s="11" t="s">
        <v>33</v>
      </c>
      <c r="C27" s="10">
        <v>0</v>
      </c>
      <c r="D27" s="10">
        <v>0</v>
      </c>
      <c r="E27" s="10">
        <v>0</v>
      </c>
      <c r="F27" s="10">
        <v>2816335.2971399999</v>
      </c>
      <c r="G27" s="10">
        <v>-2816335.2971399999</v>
      </c>
      <c r="H27" s="10">
        <v>0</v>
      </c>
      <c r="J27" s="10">
        <v>0</v>
      </c>
      <c r="K27" s="10">
        <v>0</v>
      </c>
      <c r="L27" s="10">
        <v>0</v>
      </c>
      <c r="M27" s="10">
        <v>-24109122.677949999</v>
      </c>
      <c r="N27" s="10">
        <v>-8.560458936262572</v>
      </c>
    </row>
    <row r="28" spans="1:14" x14ac:dyDescent="0.2">
      <c r="A28" s="15"/>
      <c r="B28" s="11" t="s">
        <v>32</v>
      </c>
      <c r="C28" s="10">
        <v>0</v>
      </c>
      <c r="D28" s="10">
        <v>0</v>
      </c>
      <c r="E28" s="10">
        <v>0</v>
      </c>
      <c r="F28" s="10">
        <v>52178335.791649997</v>
      </c>
      <c r="G28" s="10">
        <v>-52178335.791649997</v>
      </c>
      <c r="H28" s="10">
        <v>0</v>
      </c>
      <c r="J28" s="10">
        <v>0</v>
      </c>
      <c r="K28" s="10">
        <v>0</v>
      </c>
      <c r="L28" s="10">
        <v>0</v>
      </c>
      <c r="M28" s="10">
        <v>-434056627.32356</v>
      </c>
      <c r="N28" s="10">
        <v>-8.3187135196087869</v>
      </c>
    </row>
    <row r="29" spans="1:14" x14ac:dyDescent="0.2">
      <c r="A29" s="15" t="s">
        <v>31</v>
      </c>
      <c r="B29" s="11" t="s">
        <v>30</v>
      </c>
      <c r="C29" s="10">
        <v>26471.973000000002</v>
      </c>
      <c r="D29" s="10">
        <v>26471.973000000002</v>
      </c>
      <c r="E29" s="10">
        <v>2587555.43114</v>
      </c>
      <c r="F29" s="10">
        <v>5943014.4653200004</v>
      </c>
      <c r="G29" s="10">
        <v>-3355459.03419</v>
      </c>
      <c r="H29" s="10">
        <v>0</v>
      </c>
      <c r="I29" s="10">
        <v>0.14748243283566359</v>
      </c>
      <c r="J29" s="10">
        <v>61196720.039190002</v>
      </c>
      <c r="K29" s="10">
        <v>0</v>
      </c>
      <c r="L29" s="10">
        <v>0</v>
      </c>
      <c r="M29" s="10">
        <v>17373986.04518</v>
      </c>
      <c r="N29" s="10">
        <v>2.0366735484189702</v>
      </c>
    </row>
    <row r="30" spans="1:14" x14ac:dyDescent="0.2">
      <c r="A30" s="15"/>
      <c r="B30" s="11" t="s">
        <v>29</v>
      </c>
      <c r="C30" s="10">
        <v>857.70799999999997</v>
      </c>
      <c r="D30" s="10">
        <v>857.70799999999997</v>
      </c>
      <c r="E30" s="10">
        <v>141752.80494999999</v>
      </c>
      <c r="F30" s="10">
        <v>270043.80018000002</v>
      </c>
      <c r="G30" s="10">
        <v>-128290.99523</v>
      </c>
      <c r="H30" s="10">
        <v>0</v>
      </c>
      <c r="I30" s="10">
        <v>0.2197312721812085</v>
      </c>
      <c r="J30" s="10">
        <v>2002382.97523</v>
      </c>
      <c r="K30" s="10">
        <v>0</v>
      </c>
      <c r="L30" s="10">
        <v>0</v>
      </c>
      <c r="M30" s="10">
        <v>571314.88858000003</v>
      </c>
      <c r="N30" s="10">
        <v>1.387371476983531</v>
      </c>
    </row>
    <row r="31" spans="1:14" x14ac:dyDescent="0.2">
      <c r="A31" s="15"/>
      <c r="B31" s="11" t="s">
        <v>28</v>
      </c>
      <c r="C31" s="10">
        <v>457.99400000000003</v>
      </c>
      <c r="D31" s="10">
        <v>457.99400000000003</v>
      </c>
      <c r="E31" s="10">
        <v>31753.091369999998</v>
      </c>
      <c r="F31" s="10">
        <v>242313.93622999999</v>
      </c>
      <c r="G31" s="10">
        <v>-210560.84486000001</v>
      </c>
      <c r="H31" s="10">
        <v>0</v>
      </c>
      <c r="I31" s="10">
        <v>0.27387068389542218</v>
      </c>
      <c r="J31" s="10">
        <v>1211277.73486</v>
      </c>
      <c r="K31" s="10">
        <v>0</v>
      </c>
      <c r="L31" s="10">
        <v>0</v>
      </c>
      <c r="M31" s="10">
        <v>584358.67564000003</v>
      </c>
      <c r="N31" s="10">
        <v>2.1321743653270131</v>
      </c>
    </row>
    <row r="32" spans="1:14" x14ac:dyDescent="0.2">
      <c r="A32" s="15"/>
      <c r="B32" s="11" t="s">
        <v>27</v>
      </c>
      <c r="C32" s="10">
        <v>5300</v>
      </c>
      <c r="D32" s="10">
        <v>5300</v>
      </c>
      <c r="E32" s="10">
        <v>830769.72855</v>
      </c>
      <c r="F32" s="10">
        <v>2230798.7094200002</v>
      </c>
      <c r="G32" s="10">
        <v>-1400028.9808700001</v>
      </c>
      <c r="H32" s="10">
        <v>0</v>
      </c>
      <c r="I32" s="10">
        <v>0.26437273396226418</v>
      </c>
      <c r="J32" s="10">
        <v>12980528.980869999</v>
      </c>
      <c r="K32" s="10">
        <v>0</v>
      </c>
      <c r="L32" s="10">
        <v>0</v>
      </c>
      <c r="M32" s="10">
        <v>10368714.521500001</v>
      </c>
      <c r="N32" s="10">
        <v>3.3867328781207839</v>
      </c>
    </row>
    <row r="33" spans="1:13" x14ac:dyDescent="0.2">
      <c r="A33" s="15" t="s">
        <v>26</v>
      </c>
      <c r="B33" s="11" t="s">
        <v>74</v>
      </c>
      <c r="C33" s="10">
        <v>12000000</v>
      </c>
      <c r="D33" s="10">
        <v>12000000</v>
      </c>
      <c r="E33" s="10">
        <v>87557.281730000002</v>
      </c>
      <c r="F33" s="10">
        <v>87557.281730000002</v>
      </c>
      <c r="G33" s="10">
        <v>0</v>
      </c>
      <c r="H33" s="10">
        <v>0</v>
      </c>
      <c r="I33" s="10">
        <v>0.99988280051833334</v>
      </c>
      <c r="J33" s="10">
        <v>0</v>
      </c>
      <c r="K33" s="10">
        <v>0</v>
      </c>
      <c r="L33" s="10">
        <v>0</v>
      </c>
      <c r="M33" s="10">
        <v>0</v>
      </c>
    </row>
    <row r="34" spans="1:13" x14ac:dyDescent="0.2">
      <c r="A34" s="15"/>
      <c r="B34" s="11" t="s">
        <v>25</v>
      </c>
      <c r="C34" s="10">
        <v>46768.008000000002</v>
      </c>
      <c r="D34" s="10">
        <v>46768.008000000002</v>
      </c>
      <c r="E34" s="10">
        <v>70868.652610000005</v>
      </c>
      <c r="F34" s="10">
        <v>78457.914290000001</v>
      </c>
      <c r="G34" s="10">
        <v>-7589.2616799999996</v>
      </c>
      <c r="H34" s="10">
        <v>0</v>
      </c>
      <c r="I34" s="10">
        <v>0.74267569937979816</v>
      </c>
      <c r="J34" s="10">
        <v>0</v>
      </c>
      <c r="K34" s="10">
        <v>0</v>
      </c>
      <c r="L34" s="10">
        <v>0</v>
      </c>
      <c r="M34" s="10">
        <v>0</v>
      </c>
    </row>
  </sheetData>
  <mergeCells count="5">
    <mergeCell ref="A27:A28"/>
    <mergeCell ref="A23:A26"/>
    <mergeCell ref="A2:A21"/>
    <mergeCell ref="A33:A34"/>
    <mergeCell ref="A29:A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4B207-296D-9D4F-A8A2-09D311B33255}">
  <dimension ref="A1:N33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5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5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5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5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5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5"/>
      <c r="B7" s="11" t="s">
        <v>55</v>
      </c>
      <c r="C7" s="10">
        <v>13695</v>
      </c>
      <c r="D7" s="10">
        <v>13695</v>
      </c>
      <c r="E7" s="10">
        <v>3933183.7635400002</v>
      </c>
      <c r="F7" s="10">
        <v>0</v>
      </c>
      <c r="G7" s="10">
        <v>3933183.7635400002</v>
      </c>
      <c r="H7" s="10">
        <v>0</v>
      </c>
      <c r="I7" s="10">
        <v>0.1314409711573567</v>
      </c>
      <c r="J7" s="10">
        <v>25990391.23646</v>
      </c>
      <c r="K7" s="10">
        <v>0</v>
      </c>
      <c r="L7" s="10">
        <v>46960109.970710002</v>
      </c>
      <c r="M7" s="10">
        <v>46960109.970710002</v>
      </c>
      <c r="N7" s="10">
        <v>11.939465039438989</v>
      </c>
    </row>
    <row r="8" spans="1:14" x14ac:dyDescent="0.2">
      <c r="A8" s="15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5"/>
      <c r="B9" s="11" t="s">
        <v>53</v>
      </c>
      <c r="C9" s="10">
        <v>11</v>
      </c>
      <c r="D9" s="10">
        <v>11</v>
      </c>
      <c r="E9" s="10">
        <v>4965.7669999999998</v>
      </c>
      <c r="F9" s="10">
        <v>0</v>
      </c>
      <c r="G9" s="10">
        <v>4965.7669999999998</v>
      </c>
      <c r="H9" s="10">
        <v>0</v>
      </c>
      <c r="I9" s="10">
        <v>0.20660545454545459</v>
      </c>
      <c r="J9" s="10">
        <v>19069.233</v>
      </c>
      <c r="K9" s="10">
        <v>0</v>
      </c>
      <c r="L9" s="10">
        <v>61873.456819999999</v>
      </c>
      <c r="M9" s="10">
        <v>107998.11354000001</v>
      </c>
      <c r="N9" s="10">
        <v>21.74854575695441</v>
      </c>
    </row>
    <row r="10" spans="1:14" x14ac:dyDescent="0.2">
      <c r="A10" s="15"/>
      <c r="B10" s="11" t="s">
        <v>52</v>
      </c>
      <c r="C10" s="10">
        <v>834.51107000000002</v>
      </c>
      <c r="D10" s="10">
        <v>834.51107000000002</v>
      </c>
      <c r="E10" s="10">
        <v>8679.0624900000003</v>
      </c>
      <c r="F10" s="10">
        <v>0</v>
      </c>
      <c r="G10" s="10">
        <v>8679.0624900000003</v>
      </c>
      <c r="H10" s="10">
        <v>0</v>
      </c>
      <c r="I10" s="10">
        <v>4.7598050436886349E-3</v>
      </c>
      <c r="J10" s="10">
        <v>1814727.61714</v>
      </c>
      <c r="K10" s="10">
        <v>0</v>
      </c>
      <c r="L10" s="10">
        <v>468669.37430999998</v>
      </c>
      <c r="M10" s="10">
        <v>471777.86040000001</v>
      </c>
      <c r="N10" s="10">
        <v>54.358172356757493</v>
      </c>
    </row>
    <row r="11" spans="1:14" x14ac:dyDescent="0.2">
      <c r="A11" s="15"/>
      <c r="B11" s="11" t="s">
        <v>51</v>
      </c>
      <c r="C11" s="10">
        <v>1897.296</v>
      </c>
      <c r="D11" s="10">
        <v>1897.296</v>
      </c>
      <c r="E11" s="10">
        <v>1357491.07391</v>
      </c>
      <c r="F11" s="10">
        <v>0</v>
      </c>
      <c r="G11" s="10">
        <v>1357491.07391</v>
      </c>
      <c r="H11" s="10">
        <v>0</v>
      </c>
      <c r="I11" s="10">
        <v>0.32745411364383842</v>
      </c>
      <c r="J11" s="10">
        <v>300745.63008999999</v>
      </c>
      <c r="K11" s="10">
        <v>0</v>
      </c>
      <c r="L11" s="10">
        <v>0</v>
      </c>
      <c r="M11" s="10">
        <v>9159885.2940299995</v>
      </c>
      <c r="N11" s="10">
        <v>6.7476578336072697</v>
      </c>
    </row>
    <row r="12" spans="1:14" x14ac:dyDescent="0.2">
      <c r="A12" s="15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5"/>
      <c r="B13" s="11" t="s">
        <v>49</v>
      </c>
      <c r="C13" s="10">
        <v>254.358</v>
      </c>
      <c r="D13" s="10">
        <v>254.358</v>
      </c>
      <c r="E13" s="10">
        <v>238595.03555</v>
      </c>
      <c r="F13" s="10">
        <v>0</v>
      </c>
      <c r="G13" s="10">
        <v>238595.03555</v>
      </c>
      <c r="H13" s="10">
        <v>0</v>
      </c>
      <c r="I13" s="10">
        <v>0.42930361930821909</v>
      </c>
      <c r="J13" s="10">
        <v>35174.515270000004</v>
      </c>
      <c r="K13" s="10">
        <v>0</v>
      </c>
      <c r="L13" s="10">
        <v>0</v>
      </c>
      <c r="M13" s="10">
        <v>2055045.82837</v>
      </c>
      <c r="N13" s="10">
        <v>8.6131125075906514</v>
      </c>
    </row>
    <row r="14" spans="1:14" x14ac:dyDescent="0.2">
      <c r="A14" s="15"/>
      <c r="B14" s="11" t="s">
        <v>48</v>
      </c>
      <c r="C14" s="10">
        <v>4570</v>
      </c>
      <c r="D14" s="10">
        <v>4570</v>
      </c>
      <c r="E14" s="10">
        <v>4302100.66536</v>
      </c>
      <c r="F14" s="10">
        <v>0</v>
      </c>
      <c r="G14" s="10">
        <v>4302100.66536</v>
      </c>
      <c r="H14" s="10">
        <v>0</v>
      </c>
      <c r="I14" s="10">
        <v>0.43083693435448578</v>
      </c>
      <c r="J14" s="10">
        <v>5683349.33464</v>
      </c>
      <c r="K14" s="10">
        <v>0</v>
      </c>
      <c r="L14" s="10">
        <v>43021006.653569996</v>
      </c>
      <c r="M14" s="10">
        <v>75008658.887329996</v>
      </c>
      <c r="N14" s="10">
        <v>17.43535651760472</v>
      </c>
    </row>
    <row r="15" spans="1:14" x14ac:dyDescent="0.2">
      <c r="A15" s="15"/>
      <c r="B15" s="11" t="s">
        <v>47</v>
      </c>
      <c r="C15" s="10">
        <v>53544.201999999997</v>
      </c>
      <c r="D15" s="10">
        <v>53544.201999999997</v>
      </c>
      <c r="E15" s="10">
        <v>25737663.155019999</v>
      </c>
      <c r="F15" s="10">
        <v>0</v>
      </c>
      <c r="G15" s="10">
        <v>25737663.155019999</v>
      </c>
      <c r="H15" s="10">
        <v>0</v>
      </c>
      <c r="I15" s="10">
        <v>0.21999115553164841</v>
      </c>
      <c r="J15" s="10">
        <v>6377182.9545499999</v>
      </c>
      <c r="K15" s="10">
        <v>0</v>
      </c>
      <c r="L15" s="10">
        <v>0</v>
      </c>
      <c r="M15" s="10">
        <v>108062346.37444</v>
      </c>
      <c r="N15" s="10">
        <v>4.1986075325009189</v>
      </c>
    </row>
    <row r="16" spans="1:14" x14ac:dyDescent="0.2">
      <c r="A16" s="15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5"/>
      <c r="B17" s="11" t="s">
        <v>45</v>
      </c>
      <c r="C17" s="10">
        <v>27270.741000000002</v>
      </c>
      <c r="D17" s="10">
        <v>27270.741000000002</v>
      </c>
      <c r="E17" s="10">
        <v>10978464.23432</v>
      </c>
      <c r="F17" s="10">
        <v>0</v>
      </c>
      <c r="G17" s="10">
        <v>10978464.23432</v>
      </c>
      <c r="H17" s="10">
        <v>0</v>
      </c>
      <c r="I17" s="10">
        <v>0.18424393968612729</v>
      </c>
      <c r="J17" s="10">
        <v>3356670.1220999998</v>
      </c>
      <c r="K17" s="10">
        <v>0</v>
      </c>
      <c r="L17" s="10">
        <v>0</v>
      </c>
      <c r="M17" s="10">
        <v>43899254.162720002</v>
      </c>
      <c r="N17" s="10">
        <v>3.9986698693296279</v>
      </c>
    </row>
    <row r="18" spans="1:14" x14ac:dyDescent="0.2">
      <c r="A18" s="15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5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5"/>
      <c r="B20" s="11" t="s">
        <v>42</v>
      </c>
      <c r="C20" s="10">
        <v>40470.421999999999</v>
      </c>
      <c r="D20" s="10">
        <v>40470.421999999999</v>
      </c>
      <c r="E20" s="10">
        <v>13242366.33034</v>
      </c>
      <c r="F20" s="10">
        <v>0</v>
      </c>
      <c r="G20" s="10">
        <v>13242366.33034</v>
      </c>
      <c r="H20" s="10">
        <v>0</v>
      </c>
      <c r="I20" s="10">
        <v>0.14975330773669721</v>
      </c>
      <c r="J20" s="10">
        <v>1323175.12888</v>
      </c>
      <c r="K20" s="10">
        <v>0</v>
      </c>
      <c r="L20" s="10">
        <v>0</v>
      </c>
      <c r="M20" s="10">
        <v>96553687.753010005</v>
      </c>
      <c r="N20" s="10">
        <v>7.2912714605135873</v>
      </c>
    </row>
    <row r="21" spans="1:14" x14ac:dyDescent="0.2">
      <c r="A21" s="15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32782859.717810001</v>
      </c>
      <c r="F22" s="10">
        <v>23611681.958459999</v>
      </c>
      <c r="G22" s="10">
        <v>9171177.7593499999</v>
      </c>
      <c r="H22" s="10">
        <v>-9171177.7593499999</v>
      </c>
      <c r="I22" s="10">
        <v>0.1118278114818024</v>
      </c>
      <c r="J22" s="10">
        <v>0</v>
      </c>
      <c r="K22" s="10">
        <v>0</v>
      </c>
      <c r="L22" s="10">
        <v>0</v>
      </c>
      <c r="M22" s="10">
        <v>108458128.23296</v>
      </c>
      <c r="N22" s="10">
        <v>1.923202583228071</v>
      </c>
    </row>
    <row r="23" spans="1:14" x14ac:dyDescent="0.2">
      <c r="A23" s="15" t="s">
        <v>38</v>
      </c>
      <c r="B23" s="11" t="s">
        <v>37</v>
      </c>
      <c r="C23" s="10">
        <v>12450</v>
      </c>
      <c r="D23" s="10">
        <v>12450</v>
      </c>
      <c r="E23" s="10">
        <v>9901158.91481</v>
      </c>
      <c r="F23" s="10">
        <v>5867124.2855399996</v>
      </c>
      <c r="G23" s="10">
        <v>4034034.6292699999</v>
      </c>
      <c r="H23" s="10">
        <v>-4034034.6292699999</v>
      </c>
      <c r="I23" s="10">
        <v>0.57964703453815269</v>
      </c>
      <c r="J23" s="10">
        <v>31237284.629269999</v>
      </c>
      <c r="K23" s="10">
        <v>0</v>
      </c>
      <c r="L23" s="10">
        <v>0</v>
      </c>
      <c r="M23" s="10">
        <v>81330316.419799998</v>
      </c>
      <c r="N23" s="10">
        <v>5.157842197051318</v>
      </c>
    </row>
    <row r="24" spans="1:14" x14ac:dyDescent="0.2">
      <c r="A24" s="15"/>
      <c r="B24" s="11" t="s">
        <v>36</v>
      </c>
      <c r="C24" s="10">
        <v>3653.0947500000002</v>
      </c>
      <c r="D24" s="10">
        <v>3653.0947500000002</v>
      </c>
      <c r="E24" s="10">
        <v>0</v>
      </c>
      <c r="F24" s="10">
        <v>106913.94822999999</v>
      </c>
      <c r="G24" s="10">
        <v>-106913.94822999999</v>
      </c>
      <c r="H24" s="10">
        <v>0</v>
      </c>
      <c r="I24" s="10">
        <v>1.339436104141564E-2</v>
      </c>
      <c r="J24" s="10">
        <v>7875098.0904000001</v>
      </c>
      <c r="K24" s="10">
        <v>0</v>
      </c>
      <c r="L24" s="10">
        <v>0</v>
      </c>
      <c r="M24" s="10">
        <v>0</v>
      </c>
    </row>
    <row r="25" spans="1:14" x14ac:dyDescent="0.2">
      <c r="A25" s="15"/>
      <c r="B25" s="11" t="s">
        <v>35</v>
      </c>
      <c r="C25" s="10">
        <v>278.38099999999997</v>
      </c>
      <c r="D25" s="10">
        <v>278.38099999999997</v>
      </c>
      <c r="E25" s="10">
        <v>0</v>
      </c>
      <c r="F25" s="10">
        <v>72617.968909999996</v>
      </c>
      <c r="G25" s="10">
        <v>-72617.968909999996</v>
      </c>
      <c r="H25" s="10">
        <v>0</v>
      </c>
      <c r="I25" s="10">
        <v>0.1193859135501345</v>
      </c>
      <c r="J25" s="10">
        <v>535644.51609000005</v>
      </c>
      <c r="K25" s="10">
        <v>0</v>
      </c>
      <c r="L25" s="10">
        <v>363089.84454000002</v>
      </c>
      <c r="M25" s="10">
        <v>0</v>
      </c>
    </row>
    <row r="26" spans="1:14" x14ac:dyDescent="0.2">
      <c r="A26" s="15"/>
      <c r="B26" s="11" t="s">
        <v>75</v>
      </c>
      <c r="C26" s="10">
        <v>132000000</v>
      </c>
      <c r="D26" s="10">
        <v>132000000</v>
      </c>
      <c r="E26" s="10">
        <v>0</v>
      </c>
      <c r="F26" s="10">
        <v>63.082799999999999</v>
      </c>
      <c r="G26" s="10">
        <v>-63.082799999999999</v>
      </c>
      <c r="H26" s="10">
        <v>63.082799999999999</v>
      </c>
      <c r="I26" s="10">
        <v>2.187121212121212E-10</v>
      </c>
      <c r="J26" s="10">
        <v>288419999936.91718</v>
      </c>
      <c r="K26" s="10">
        <v>0</v>
      </c>
      <c r="L26" s="10">
        <v>6.3000000000000003E-4</v>
      </c>
      <c r="M26" s="10">
        <v>-397.00569000000002</v>
      </c>
      <c r="N26" s="10">
        <v>-6.2937305161066854</v>
      </c>
    </row>
    <row r="27" spans="1:14" x14ac:dyDescent="0.2">
      <c r="A27" s="15" t="s">
        <v>34</v>
      </c>
      <c r="B27" s="11" t="s">
        <v>33</v>
      </c>
      <c r="C27" s="10">
        <v>0</v>
      </c>
      <c r="D27" s="10">
        <v>0</v>
      </c>
      <c r="E27" s="10">
        <v>0</v>
      </c>
      <c r="F27" s="10">
        <v>2816335.2971399999</v>
      </c>
      <c r="G27" s="10">
        <v>-2816335.2971399999</v>
      </c>
      <c r="H27" s="10">
        <v>0</v>
      </c>
      <c r="J27" s="10">
        <v>0</v>
      </c>
      <c r="K27" s="10">
        <v>0</v>
      </c>
      <c r="L27" s="10">
        <v>0</v>
      </c>
      <c r="M27" s="10">
        <v>-24283741.836959999</v>
      </c>
      <c r="N27" s="10">
        <v>-8.622461201937119</v>
      </c>
    </row>
    <row r="28" spans="1:14" x14ac:dyDescent="0.2">
      <c r="A28" s="15"/>
      <c r="B28" s="11" t="s">
        <v>32</v>
      </c>
      <c r="C28" s="10">
        <v>0</v>
      </c>
      <c r="D28" s="10">
        <v>0</v>
      </c>
      <c r="E28" s="10">
        <v>0</v>
      </c>
      <c r="F28" s="10">
        <v>52178335.791649997</v>
      </c>
      <c r="G28" s="10">
        <v>-52178335.791649997</v>
      </c>
      <c r="H28" s="10">
        <v>0</v>
      </c>
      <c r="J28" s="10">
        <v>0</v>
      </c>
      <c r="K28" s="10">
        <v>0</v>
      </c>
      <c r="L28" s="10">
        <v>0</v>
      </c>
      <c r="M28" s="10">
        <v>-437047000.61642998</v>
      </c>
      <c r="N28" s="10">
        <v>-8.3760241497118191</v>
      </c>
    </row>
    <row r="29" spans="1:14" x14ac:dyDescent="0.2">
      <c r="A29" s="15" t="s">
        <v>31</v>
      </c>
      <c r="B29" s="11" t="s">
        <v>30</v>
      </c>
      <c r="C29" s="10">
        <v>26471.973000000002</v>
      </c>
      <c r="D29" s="10">
        <v>26471.973000000002</v>
      </c>
      <c r="E29" s="10">
        <v>3428924.49969</v>
      </c>
      <c r="F29" s="10">
        <v>6622522.5124300001</v>
      </c>
      <c r="G29" s="10">
        <v>-3193598.0127500002</v>
      </c>
      <c r="H29" s="10">
        <v>0</v>
      </c>
      <c r="I29" s="10">
        <v>0.17377641553200429</v>
      </c>
      <c r="J29" s="10">
        <v>61034859.017750002</v>
      </c>
      <c r="K29" s="10">
        <v>0</v>
      </c>
      <c r="L29" s="10">
        <v>0</v>
      </c>
      <c r="M29" s="10">
        <v>17681082.079689998</v>
      </c>
      <c r="N29" s="10">
        <v>1.7590583786601941</v>
      </c>
    </row>
    <row r="30" spans="1:14" x14ac:dyDescent="0.2">
      <c r="A30" s="15"/>
      <c r="B30" s="11" t="s">
        <v>29</v>
      </c>
      <c r="C30" s="10">
        <v>857.70799999999997</v>
      </c>
      <c r="D30" s="10">
        <v>857.70799999999997</v>
      </c>
      <c r="E30" s="10">
        <v>178815.47573000001</v>
      </c>
      <c r="F30" s="10">
        <v>297631.38134999998</v>
      </c>
      <c r="G30" s="10">
        <v>-118815.90562000001</v>
      </c>
      <c r="H30" s="10">
        <v>0</v>
      </c>
      <c r="I30" s="10">
        <v>0.25422810560237291</v>
      </c>
      <c r="J30" s="10">
        <v>1992907.8856200001</v>
      </c>
      <c r="K30" s="10">
        <v>0</v>
      </c>
      <c r="L30" s="10">
        <v>0</v>
      </c>
      <c r="M30" s="10">
        <v>581486.66940000001</v>
      </c>
      <c r="N30" s="10">
        <v>1.2204649061322019</v>
      </c>
    </row>
    <row r="31" spans="1:14" x14ac:dyDescent="0.2">
      <c r="A31" s="15"/>
      <c r="B31" s="11" t="s">
        <v>28</v>
      </c>
      <c r="C31" s="10">
        <v>457.99400000000003</v>
      </c>
      <c r="D31" s="10">
        <v>457.99400000000003</v>
      </c>
      <c r="E31" s="10">
        <v>33468.54264</v>
      </c>
      <c r="F31" s="10">
        <v>242211.24199000001</v>
      </c>
      <c r="G31" s="10">
        <v>-208742.69935000001</v>
      </c>
      <c r="H31" s="10">
        <v>0</v>
      </c>
      <c r="I31" s="10">
        <v>0.27548229889474529</v>
      </c>
      <c r="J31" s="10">
        <v>1209459.58935</v>
      </c>
      <c r="K31" s="10">
        <v>0</v>
      </c>
      <c r="L31" s="10">
        <v>0</v>
      </c>
      <c r="M31" s="10">
        <v>592818.33949000004</v>
      </c>
      <c r="N31" s="10">
        <v>2.150387368585243</v>
      </c>
    </row>
    <row r="32" spans="1:14" x14ac:dyDescent="0.2">
      <c r="A32" s="15"/>
      <c r="B32" s="11" t="s">
        <v>27</v>
      </c>
      <c r="C32" s="10">
        <v>5300</v>
      </c>
      <c r="D32" s="10">
        <v>5300</v>
      </c>
      <c r="E32" s="10">
        <v>975990.30416000006</v>
      </c>
      <c r="F32" s="10">
        <v>2293917.5871199998</v>
      </c>
      <c r="G32" s="10">
        <v>-1317927.2829700001</v>
      </c>
      <c r="H32" s="10">
        <v>0</v>
      </c>
      <c r="I32" s="10">
        <v>0.28236327358490559</v>
      </c>
      <c r="J32" s="10">
        <v>12898427.28297</v>
      </c>
      <c r="K32" s="10">
        <v>0</v>
      </c>
      <c r="L32" s="10">
        <v>0</v>
      </c>
      <c r="M32" s="10">
        <v>10517292.74808</v>
      </c>
      <c r="N32" s="10">
        <v>3.216388075217036</v>
      </c>
    </row>
    <row r="33" spans="1:13" x14ac:dyDescent="0.2">
      <c r="A33" s="11" t="s">
        <v>26</v>
      </c>
      <c r="B33" s="11" t="s">
        <v>25</v>
      </c>
      <c r="C33" s="10">
        <v>46768.008000000002</v>
      </c>
      <c r="D33" s="10">
        <v>46768.008000000002</v>
      </c>
      <c r="E33" s="10">
        <v>71510.629589999997</v>
      </c>
      <c r="F33" s="10">
        <v>73732.424450000006</v>
      </c>
      <c r="G33" s="10">
        <v>-2221.7948500000002</v>
      </c>
      <c r="H33" s="10">
        <v>0</v>
      </c>
      <c r="I33" s="10">
        <v>0.217422078357496</v>
      </c>
      <c r="J33" s="10">
        <v>0</v>
      </c>
      <c r="K33" s="10">
        <v>0</v>
      </c>
      <c r="L33" s="10">
        <v>0</v>
      </c>
      <c r="M33" s="10">
        <v>0</v>
      </c>
    </row>
  </sheetData>
  <mergeCells count="4">
    <mergeCell ref="A27:A28"/>
    <mergeCell ref="A2:A21"/>
    <mergeCell ref="A29:A32"/>
    <mergeCell ref="A23:A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B977-7B50-4642-9451-43C41CD34ACE}">
  <dimension ref="A1:N35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73</v>
      </c>
      <c r="D1" s="11" t="s">
        <v>72</v>
      </c>
      <c r="E1" s="11" t="s">
        <v>71</v>
      </c>
      <c r="F1" s="11" t="s">
        <v>70</v>
      </c>
      <c r="G1" s="11" t="s">
        <v>69</v>
      </c>
      <c r="H1" s="11" t="s">
        <v>68</v>
      </c>
      <c r="I1" s="11" t="s">
        <v>67</v>
      </c>
      <c r="J1" s="11" t="s">
        <v>66</v>
      </c>
      <c r="K1" s="11" t="s">
        <v>65</v>
      </c>
      <c r="L1" s="11" t="s">
        <v>64</v>
      </c>
      <c r="M1" s="11" t="s">
        <v>63</v>
      </c>
      <c r="N1" s="11" t="s">
        <v>62</v>
      </c>
    </row>
    <row r="2" spans="1:14" x14ac:dyDescent="0.2">
      <c r="A2" s="15" t="s">
        <v>61</v>
      </c>
      <c r="B2" s="11" t="s">
        <v>60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5"/>
      <c r="B3" s="11" t="s">
        <v>59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5"/>
      <c r="B4" s="11" t="s">
        <v>58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5"/>
      <c r="B5" s="11" t="s">
        <v>57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5"/>
      <c r="B6" s="11" t="s">
        <v>56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5"/>
      <c r="B7" s="11" t="s">
        <v>55</v>
      </c>
      <c r="C7" s="10">
        <v>13695</v>
      </c>
      <c r="D7" s="10">
        <v>13695</v>
      </c>
      <c r="E7" s="10">
        <v>3844124.95365</v>
      </c>
      <c r="F7" s="10">
        <v>0</v>
      </c>
      <c r="G7" s="10">
        <v>3844124.95365</v>
      </c>
      <c r="H7" s="10">
        <v>0</v>
      </c>
      <c r="I7" s="10">
        <v>0.12846476232201531</v>
      </c>
      <c r="J7" s="10">
        <v>26079450.046349999</v>
      </c>
      <c r="K7" s="10">
        <v>0</v>
      </c>
      <c r="L7" s="10">
        <v>45318438.974140003</v>
      </c>
      <c r="M7" s="10">
        <v>45318438.974140003</v>
      </c>
      <c r="N7" s="10">
        <v>11.78901299255171</v>
      </c>
    </row>
    <row r="8" spans="1:14" x14ac:dyDescent="0.2">
      <c r="A8" s="15"/>
      <c r="B8" s="11" t="s">
        <v>54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5"/>
      <c r="B9" s="11" t="s">
        <v>53</v>
      </c>
      <c r="C9" s="10">
        <v>11</v>
      </c>
      <c r="D9" s="10">
        <v>11</v>
      </c>
      <c r="E9" s="10">
        <v>4933.1075799999999</v>
      </c>
      <c r="F9" s="10">
        <v>0</v>
      </c>
      <c r="G9" s="10">
        <v>4933.1075799999999</v>
      </c>
      <c r="H9" s="10">
        <v>0</v>
      </c>
      <c r="I9" s="10">
        <v>0.20524727272727269</v>
      </c>
      <c r="J9" s="10">
        <v>19101.89242</v>
      </c>
      <c r="K9" s="10">
        <v>0</v>
      </c>
      <c r="L9" s="10">
        <v>61466.520479999999</v>
      </c>
      <c r="M9" s="10">
        <v>105838.45775</v>
      </c>
      <c r="N9" s="10">
        <v>21.454675513349748</v>
      </c>
    </row>
    <row r="10" spans="1:14" x14ac:dyDescent="0.2">
      <c r="A10" s="15"/>
      <c r="B10" s="11" t="s">
        <v>52</v>
      </c>
      <c r="C10" s="10">
        <v>834.51107000000002</v>
      </c>
      <c r="D10" s="10">
        <v>834.51107000000002</v>
      </c>
      <c r="E10" s="10">
        <v>6418.9045800000004</v>
      </c>
      <c r="F10" s="10">
        <v>0</v>
      </c>
      <c r="G10" s="10">
        <v>6418.9045800000004</v>
      </c>
      <c r="H10" s="10">
        <v>0</v>
      </c>
      <c r="I10" s="10">
        <v>3.5202768490536621E-3</v>
      </c>
      <c r="J10" s="10">
        <v>1816987.7750500001</v>
      </c>
      <c r="K10" s="10">
        <v>0</v>
      </c>
      <c r="L10" s="10">
        <v>346620.84752000001</v>
      </c>
      <c r="M10" s="10">
        <v>347166.19566000003</v>
      </c>
      <c r="N10" s="10">
        <v>54.085028814961312</v>
      </c>
    </row>
    <row r="11" spans="1:14" x14ac:dyDescent="0.2">
      <c r="A11" s="15"/>
      <c r="B11" s="11" t="s">
        <v>51</v>
      </c>
      <c r="C11" s="10">
        <v>1897.296</v>
      </c>
      <c r="D11" s="10">
        <v>1897.296</v>
      </c>
      <c r="E11" s="10">
        <v>1361164.2463499999</v>
      </c>
      <c r="F11" s="10">
        <v>0</v>
      </c>
      <c r="G11" s="10">
        <v>1361164.2463499999</v>
      </c>
      <c r="H11" s="10">
        <v>0</v>
      </c>
      <c r="I11" s="10">
        <v>0.32834015883657591</v>
      </c>
      <c r="J11" s="10">
        <v>297072.45765</v>
      </c>
      <c r="K11" s="10">
        <v>0</v>
      </c>
      <c r="L11" s="10">
        <v>0</v>
      </c>
      <c r="M11" s="10">
        <v>9043664.2302000001</v>
      </c>
      <c r="N11" s="10">
        <v>6.6440653098432056</v>
      </c>
    </row>
    <row r="12" spans="1:14" x14ac:dyDescent="0.2">
      <c r="A12" s="15"/>
      <c r="B12" s="11" t="s">
        <v>50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5"/>
      <c r="B13" s="11" t="s">
        <v>49</v>
      </c>
      <c r="C13" s="10">
        <v>254.358</v>
      </c>
      <c r="D13" s="10">
        <v>254.358</v>
      </c>
      <c r="E13" s="10">
        <v>239592.29169000001</v>
      </c>
      <c r="F13" s="10">
        <v>0</v>
      </c>
      <c r="G13" s="10">
        <v>239592.29169000001</v>
      </c>
      <c r="H13" s="10">
        <v>0</v>
      </c>
      <c r="I13" s="10">
        <v>0.43109798001242339</v>
      </c>
      <c r="J13" s="10">
        <v>34177.259120000002</v>
      </c>
      <c r="K13" s="10">
        <v>0</v>
      </c>
      <c r="L13" s="10">
        <v>0</v>
      </c>
      <c r="M13" s="10">
        <v>2029309.9495699999</v>
      </c>
      <c r="N13" s="10">
        <v>8.4698467587180755</v>
      </c>
    </row>
    <row r="14" spans="1:14" x14ac:dyDescent="0.2">
      <c r="A14" s="15"/>
      <c r="B14" s="11" t="s">
        <v>48</v>
      </c>
      <c r="C14" s="10">
        <v>4570</v>
      </c>
      <c r="D14" s="10">
        <v>4570</v>
      </c>
      <c r="E14" s="10">
        <v>4263390.1838600002</v>
      </c>
      <c r="F14" s="10">
        <v>0</v>
      </c>
      <c r="G14" s="10">
        <v>4263390.1838600002</v>
      </c>
      <c r="H14" s="10">
        <v>0</v>
      </c>
      <c r="I14" s="10">
        <v>0.42696024507658642</v>
      </c>
      <c r="J14" s="10">
        <v>5722059.8161399998</v>
      </c>
      <c r="K14" s="10">
        <v>0</v>
      </c>
      <c r="L14" s="10">
        <v>42633901.83856</v>
      </c>
      <c r="M14" s="10">
        <v>73527210.897939995</v>
      </c>
      <c r="N14" s="10">
        <v>17.24618386211063</v>
      </c>
    </row>
    <row r="15" spans="1:14" x14ac:dyDescent="0.2">
      <c r="A15" s="15"/>
      <c r="B15" s="11" t="s">
        <v>47</v>
      </c>
      <c r="C15" s="10">
        <v>53544.201999999997</v>
      </c>
      <c r="D15" s="10">
        <v>53544.201999999997</v>
      </c>
      <c r="E15" s="10">
        <v>25744420.996289998</v>
      </c>
      <c r="F15" s="10">
        <v>0</v>
      </c>
      <c r="G15" s="10">
        <v>25744420.996289998</v>
      </c>
      <c r="H15" s="10">
        <v>0</v>
      </c>
      <c r="I15" s="10">
        <v>0.22004891790151249</v>
      </c>
      <c r="J15" s="10">
        <v>6370425.1132699996</v>
      </c>
      <c r="K15" s="10">
        <v>0</v>
      </c>
      <c r="L15" s="10">
        <v>0</v>
      </c>
      <c r="M15" s="10">
        <v>106930749.57303999</v>
      </c>
      <c r="N15" s="10">
        <v>4.153550377117627</v>
      </c>
    </row>
    <row r="16" spans="1:14" x14ac:dyDescent="0.2">
      <c r="A16" s="15"/>
      <c r="B16" s="11" t="s">
        <v>46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5"/>
      <c r="B17" s="11" t="s">
        <v>45</v>
      </c>
      <c r="C17" s="10">
        <v>27270.741000000002</v>
      </c>
      <c r="D17" s="10">
        <v>27270.741000000002</v>
      </c>
      <c r="E17" s="10">
        <v>11148032.440370001</v>
      </c>
      <c r="F17" s="10">
        <v>0</v>
      </c>
      <c r="G17" s="10">
        <v>11148032.440370001</v>
      </c>
      <c r="H17" s="10">
        <v>0</v>
      </c>
      <c r="I17" s="10">
        <v>0.18708968487508279</v>
      </c>
      <c r="J17" s="10">
        <v>3187101.9160500001</v>
      </c>
      <c r="K17" s="10">
        <v>0</v>
      </c>
      <c r="L17" s="10">
        <v>0</v>
      </c>
      <c r="M17" s="10">
        <v>43439315.224890001</v>
      </c>
      <c r="N17" s="10">
        <v>3.8965903170277989</v>
      </c>
    </row>
    <row r="18" spans="1:14" x14ac:dyDescent="0.2">
      <c r="A18" s="15"/>
      <c r="B18" s="11" t="s">
        <v>44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5"/>
      <c r="B19" s="11" t="s">
        <v>43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5"/>
      <c r="B20" s="11" t="s">
        <v>42</v>
      </c>
      <c r="C20" s="10">
        <v>40470.421999999999</v>
      </c>
      <c r="D20" s="10">
        <v>40470.421999999999</v>
      </c>
      <c r="E20" s="10">
        <v>13189446.910490001</v>
      </c>
      <c r="F20" s="10">
        <v>0</v>
      </c>
      <c r="G20" s="10">
        <v>13189446.910490001</v>
      </c>
      <c r="H20" s="10">
        <v>0</v>
      </c>
      <c r="I20" s="10">
        <v>0.14915486030760941</v>
      </c>
      <c r="J20" s="10">
        <v>1376094.5487299999</v>
      </c>
      <c r="K20" s="10">
        <v>0</v>
      </c>
      <c r="L20" s="10">
        <v>0</v>
      </c>
      <c r="M20" s="10">
        <v>95591716.310379997</v>
      </c>
      <c r="N20" s="10">
        <v>7.2475909712703128</v>
      </c>
    </row>
    <row r="21" spans="1:14" x14ac:dyDescent="0.2">
      <c r="A21" s="15"/>
      <c r="B21" s="11" t="s">
        <v>41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40</v>
      </c>
      <c r="B22" s="11" t="s">
        <v>39</v>
      </c>
      <c r="C22" s="10">
        <v>230800</v>
      </c>
      <c r="D22" s="10">
        <v>230800</v>
      </c>
      <c r="E22" s="10">
        <v>32651255.652819999</v>
      </c>
      <c r="F22" s="10">
        <v>23595630.368250001</v>
      </c>
      <c r="G22" s="10">
        <v>9055625.2845699992</v>
      </c>
      <c r="H22" s="10">
        <v>-9055625.2845699992</v>
      </c>
      <c r="I22" s="10">
        <v>0.1115350170277296</v>
      </c>
      <c r="J22" s="10">
        <v>0</v>
      </c>
      <c r="K22" s="10">
        <v>0</v>
      </c>
      <c r="L22" s="10">
        <v>0</v>
      </c>
      <c r="M22" s="10">
        <v>103627313.51448999</v>
      </c>
      <c r="N22" s="10">
        <v>1.8423653442599059</v>
      </c>
    </row>
    <row r="23" spans="1:14" x14ac:dyDescent="0.2">
      <c r="A23" s="15" t="s">
        <v>38</v>
      </c>
      <c r="B23" s="11" t="s">
        <v>37</v>
      </c>
      <c r="C23" s="10">
        <v>12450</v>
      </c>
      <c r="D23" s="10">
        <v>12450</v>
      </c>
      <c r="E23" s="10">
        <v>9754103.659</v>
      </c>
      <c r="F23" s="10">
        <v>5811411.3988500005</v>
      </c>
      <c r="G23" s="10">
        <v>3942692.26015</v>
      </c>
      <c r="H23" s="10">
        <v>-3942692.26015</v>
      </c>
      <c r="I23" s="10">
        <v>0.57219321445783133</v>
      </c>
      <c r="J23" s="10">
        <v>31145942.26015</v>
      </c>
      <c r="K23" s="10">
        <v>0</v>
      </c>
      <c r="L23" s="10">
        <v>0</v>
      </c>
      <c r="M23" s="10">
        <v>78647435.70487</v>
      </c>
      <c r="N23" s="10">
        <v>5.0526715880924273</v>
      </c>
    </row>
    <row r="24" spans="1:14" x14ac:dyDescent="0.2">
      <c r="A24" s="15"/>
      <c r="B24" s="11" t="s">
        <v>74</v>
      </c>
      <c r="C24" s="10">
        <v>24000000</v>
      </c>
      <c r="D24" s="10">
        <v>24000000</v>
      </c>
      <c r="E24" s="10">
        <v>0</v>
      </c>
      <c r="F24" s="10">
        <v>281169.16993999999</v>
      </c>
      <c r="G24" s="10">
        <v>-281169.16993999999</v>
      </c>
      <c r="H24" s="10">
        <v>0</v>
      </c>
      <c r="I24" s="10">
        <v>5.3617308333333339E-6</v>
      </c>
      <c r="J24" s="10">
        <v>52439718830.830048</v>
      </c>
      <c r="K24" s="10">
        <v>0</v>
      </c>
      <c r="L24" s="10">
        <v>2.81169</v>
      </c>
      <c r="M24" s="10">
        <v>-1338313.69569</v>
      </c>
      <c r="N24" s="10">
        <v>-4.7598167538249836</v>
      </c>
    </row>
    <row r="25" spans="1:14" x14ac:dyDescent="0.2">
      <c r="A25" s="15"/>
      <c r="B25" s="11" t="s">
        <v>36</v>
      </c>
      <c r="C25" s="10">
        <v>3653.0947500000002</v>
      </c>
      <c r="D25" s="10">
        <v>3653.0947500000002</v>
      </c>
      <c r="E25" s="10">
        <v>0</v>
      </c>
      <c r="F25" s="10">
        <v>105766.25813</v>
      </c>
      <c r="G25" s="10">
        <v>-105766.25813</v>
      </c>
      <c r="H25" s="10">
        <v>0</v>
      </c>
      <c r="I25" s="10">
        <v>1.3250576104000589E-2</v>
      </c>
      <c r="J25" s="10">
        <v>7876245.7805000003</v>
      </c>
      <c r="K25" s="10">
        <v>0</v>
      </c>
      <c r="L25" s="10">
        <v>0</v>
      </c>
      <c r="M25" s="10">
        <v>0</v>
      </c>
    </row>
    <row r="26" spans="1:14" x14ac:dyDescent="0.2">
      <c r="A26" s="15"/>
      <c r="B26" s="11" t="s">
        <v>35</v>
      </c>
      <c r="C26" s="10">
        <v>278.38099999999997</v>
      </c>
      <c r="D26" s="10">
        <v>278.38099999999997</v>
      </c>
      <c r="E26" s="10">
        <v>0</v>
      </c>
      <c r="F26" s="10">
        <v>71808.272930000006</v>
      </c>
      <c r="G26" s="10">
        <v>-71808.272930000006</v>
      </c>
      <c r="H26" s="10">
        <v>0</v>
      </c>
      <c r="I26" s="10">
        <v>0.1180547522999055</v>
      </c>
      <c r="J26" s="10">
        <v>536454.21207000001</v>
      </c>
      <c r="K26" s="10">
        <v>0</v>
      </c>
      <c r="L26" s="10">
        <v>359041.36466999998</v>
      </c>
      <c r="M26" s="10">
        <v>0</v>
      </c>
    </row>
    <row r="27" spans="1:14" x14ac:dyDescent="0.2">
      <c r="A27" s="15"/>
      <c r="B27" s="11" t="s">
        <v>75</v>
      </c>
      <c r="C27" s="10">
        <v>132000000</v>
      </c>
      <c r="D27" s="10">
        <v>132000000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288420000000</v>
      </c>
      <c r="K27" s="10">
        <v>0</v>
      </c>
      <c r="L27" s="10">
        <v>0</v>
      </c>
      <c r="M27" s="10">
        <v>0</v>
      </c>
    </row>
    <row r="28" spans="1:14" x14ac:dyDescent="0.2">
      <c r="A28" s="15" t="s">
        <v>34</v>
      </c>
      <c r="B28" s="11" t="s">
        <v>33</v>
      </c>
      <c r="C28" s="10">
        <v>0</v>
      </c>
      <c r="D28" s="10">
        <v>0</v>
      </c>
      <c r="E28" s="10">
        <v>0</v>
      </c>
      <c r="F28" s="10">
        <v>2816335.2971399999</v>
      </c>
      <c r="G28" s="10">
        <v>-2816335.2971399999</v>
      </c>
      <c r="H28" s="10">
        <v>0</v>
      </c>
      <c r="J28" s="10">
        <v>0</v>
      </c>
      <c r="K28" s="10">
        <v>0</v>
      </c>
      <c r="L28" s="10">
        <v>0</v>
      </c>
      <c r="M28" s="10">
        <v>-23981640.5425</v>
      </c>
      <c r="N28" s="10">
        <v>-8.5151936864990159</v>
      </c>
    </row>
    <row r="29" spans="1:14" x14ac:dyDescent="0.2">
      <c r="A29" s="15"/>
      <c r="B29" s="11" t="s">
        <v>32</v>
      </c>
      <c r="C29" s="10">
        <v>0</v>
      </c>
      <c r="D29" s="10">
        <v>0</v>
      </c>
      <c r="E29" s="10">
        <v>0</v>
      </c>
      <c r="F29" s="10">
        <v>52178335.791649997</v>
      </c>
      <c r="G29" s="10">
        <v>-52178335.791649997</v>
      </c>
      <c r="H29" s="10">
        <v>0</v>
      </c>
      <c r="J29" s="10">
        <v>0</v>
      </c>
      <c r="K29" s="10">
        <v>0</v>
      </c>
      <c r="L29" s="10">
        <v>0</v>
      </c>
      <c r="M29" s="10">
        <v>-431641811.70837998</v>
      </c>
      <c r="N29" s="10">
        <v>-8.2724334768252579</v>
      </c>
    </row>
    <row r="30" spans="1:14" x14ac:dyDescent="0.2">
      <c r="A30" s="15" t="s">
        <v>31</v>
      </c>
      <c r="B30" s="11" t="s">
        <v>30</v>
      </c>
      <c r="C30" s="10">
        <v>26471.973000000002</v>
      </c>
      <c r="D30" s="10">
        <v>26471.973000000002</v>
      </c>
      <c r="E30" s="10">
        <v>3274822.9519600002</v>
      </c>
      <c r="F30" s="10">
        <v>6472336.1046000002</v>
      </c>
      <c r="G30" s="10">
        <v>-3197513.15264</v>
      </c>
      <c r="H30" s="10">
        <v>0</v>
      </c>
      <c r="I30" s="10">
        <v>0.1685156735389538</v>
      </c>
      <c r="J30" s="10">
        <v>61038774.157640003</v>
      </c>
      <c r="K30" s="10">
        <v>0</v>
      </c>
      <c r="L30" s="10">
        <v>0</v>
      </c>
      <c r="M30" s="10">
        <v>17265801.62957</v>
      </c>
      <c r="N30" s="10">
        <v>1.7713675883496509</v>
      </c>
    </row>
    <row r="31" spans="1:14" x14ac:dyDescent="0.2">
      <c r="A31" s="15"/>
      <c r="B31" s="11" t="s">
        <v>29</v>
      </c>
      <c r="C31" s="10">
        <v>857.70799999999997</v>
      </c>
      <c r="D31" s="10">
        <v>857.70799999999997</v>
      </c>
      <c r="E31" s="10">
        <v>177933.57514</v>
      </c>
      <c r="F31" s="10">
        <v>296577.86382999999</v>
      </c>
      <c r="G31" s="10">
        <v>-118644.28869</v>
      </c>
      <c r="H31" s="10">
        <v>0</v>
      </c>
      <c r="I31" s="10">
        <v>0.2531953881740639</v>
      </c>
      <c r="J31" s="10">
        <v>1992736.2686900001</v>
      </c>
      <c r="K31" s="10">
        <v>0</v>
      </c>
      <c r="L31" s="10">
        <v>0</v>
      </c>
      <c r="M31" s="10">
        <v>567766.21273999999</v>
      </c>
      <c r="N31" s="10">
        <v>1.1965279737029051</v>
      </c>
    </row>
    <row r="32" spans="1:14" x14ac:dyDescent="0.2">
      <c r="A32" s="15"/>
      <c r="B32" s="11" t="s">
        <v>28</v>
      </c>
      <c r="C32" s="10">
        <v>457.99400000000003</v>
      </c>
      <c r="D32" s="10">
        <v>457.99400000000003</v>
      </c>
      <c r="E32" s="10">
        <v>33899.373169999999</v>
      </c>
      <c r="F32" s="10">
        <v>236548.41459</v>
      </c>
      <c r="G32" s="10">
        <v>-202649.04141999999</v>
      </c>
      <c r="H32" s="10">
        <v>0</v>
      </c>
      <c r="I32" s="10">
        <v>0.27025404262937941</v>
      </c>
      <c r="J32" s="10">
        <v>1203365.93142</v>
      </c>
      <c r="K32" s="10">
        <v>0</v>
      </c>
      <c r="L32" s="10">
        <v>0</v>
      </c>
      <c r="M32" s="10">
        <v>581146.82617000001</v>
      </c>
      <c r="N32" s="10">
        <v>2.1488319142364518</v>
      </c>
    </row>
    <row r="33" spans="1:14" x14ac:dyDescent="0.2">
      <c r="A33" s="15"/>
      <c r="B33" s="11" t="s">
        <v>27</v>
      </c>
      <c r="C33" s="10">
        <v>5300</v>
      </c>
      <c r="D33" s="10">
        <v>5300</v>
      </c>
      <c r="E33" s="10">
        <v>976494.26043000002</v>
      </c>
      <c r="F33" s="10">
        <v>2293245.9086099998</v>
      </c>
      <c r="G33" s="10">
        <v>-1316751.6481699999</v>
      </c>
      <c r="H33" s="10">
        <v>0</v>
      </c>
      <c r="I33" s="10">
        <v>0.28234879056603768</v>
      </c>
      <c r="J33" s="10">
        <v>12897251.64817</v>
      </c>
      <c r="K33" s="10">
        <v>0</v>
      </c>
      <c r="L33" s="10">
        <v>0</v>
      </c>
      <c r="M33" s="10">
        <v>10292440.455329999</v>
      </c>
      <c r="N33" s="10">
        <v>3.1477854244227661</v>
      </c>
    </row>
    <row r="34" spans="1:14" x14ac:dyDescent="0.2">
      <c r="A34" s="15" t="s">
        <v>26</v>
      </c>
      <c r="B34" s="11" t="s">
        <v>74</v>
      </c>
      <c r="C34" s="10">
        <v>12000000</v>
      </c>
      <c r="D34" s="10">
        <v>12000000</v>
      </c>
      <c r="E34" s="10">
        <v>140584.58497</v>
      </c>
      <c r="F34" s="10">
        <v>140584.58497</v>
      </c>
      <c r="G34" s="10">
        <v>0</v>
      </c>
      <c r="H34" s="10">
        <v>0</v>
      </c>
      <c r="I34" s="10">
        <v>0.99853304113750008</v>
      </c>
      <c r="J34" s="10">
        <v>0</v>
      </c>
      <c r="K34" s="10">
        <v>0</v>
      </c>
      <c r="L34" s="10">
        <v>0</v>
      </c>
      <c r="M34" s="10">
        <v>0</v>
      </c>
    </row>
    <row r="35" spans="1:14" x14ac:dyDescent="0.2">
      <c r="A35" s="15"/>
      <c r="B35" s="11" t="s">
        <v>25</v>
      </c>
      <c r="C35" s="10">
        <v>46768.008000000002</v>
      </c>
      <c r="D35" s="10">
        <v>46768.008000000002</v>
      </c>
      <c r="E35" s="10">
        <v>70890.583299999998</v>
      </c>
      <c r="F35" s="10">
        <v>73118.691049999994</v>
      </c>
      <c r="G35" s="10">
        <v>-2228.1077599999999</v>
      </c>
      <c r="H35" s="10">
        <v>0</v>
      </c>
      <c r="I35" s="10">
        <v>0.2180398513017702</v>
      </c>
      <c r="J35" s="10">
        <v>0</v>
      </c>
      <c r="K35" s="10">
        <v>0</v>
      </c>
      <c r="L35" s="10">
        <v>0</v>
      </c>
      <c r="M35" s="10">
        <v>0</v>
      </c>
    </row>
  </sheetData>
  <mergeCells count="5">
    <mergeCell ref="A34:A35"/>
    <mergeCell ref="A28:A29"/>
    <mergeCell ref="A2:A21"/>
    <mergeCell ref="A30:A33"/>
    <mergeCell ref="A23:A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A31C-1CD7-AE4C-81CB-158E6D63DF9A}">
  <dimension ref="A1:N32"/>
  <sheetViews>
    <sheetView workbookViewId="0">
      <selection sqref="A1:N32"/>
    </sheetView>
  </sheetViews>
  <sheetFormatPr baseColWidth="10" defaultColWidth="8.83203125" defaultRowHeight="15" x14ac:dyDescent="0.2"/>
  <cols>
    <col min="1" max="16384" width="8.83203125" style="10"/>
  </cols>
  <sheetData>
    <row r="1" spans="1:14" ht="60" x14ac:dyDescent="0.2">
      <c r="A1" s="12"/>
      <c r="B1" s="12"/>
      <c r="C1" s="12" t="s">
        <v>73</v>
      </c>
      <c r="D1" s="12" t="s">
        <v>72</v>
      </c>
      <c r="E1" s="12" t="s">
        <v>71</v>
      </c>
      <c r="F1" s="12" t="s">
        <v>70</v>
      </c>
      <c r="G1" s="12" t="s">
        <v>69</v>
      </c>
      <c r="H1" s="12" t="s">
        <v>68</v>
      </c>
      <c r="I1" s="12" t="s">
        <v>67</v>
      </c>
      <c r="J1" s="12" t="s">
        <v>66</v>
      </c>
      <c r="K1" s="12" t="s">
        <v>65</v>
      </c>
      <c r="L1" s="12" t="s">
        <v>64</v>
      </c>
      <c r="M1" s="12" t="s">
        <v>63</v>
      </c>
      <c r="N1" s="12" t="s">
        <v>62</v>
      </c>
    </row>
    <row r="2" spans="1:14" ht="30" x14ac:dyDescent="0.2">
      <c r="A2" s="16" t="s">
        <v>61</v>
      </c>
      <c r="B2" s="12" t="s">
        <v>60</v>
      </c>
      <c r="C2" s="13">
        <v>372.43929000000003</v>
      </c>
      <c r="D2" s="13">
        <v>372.43929000000003</v>
      </c>
      <c r="E2" s="14">
        <v>0</v>
      </c>
      <c r="F2" s="14">
        <v>0</v>
      </c>
      <c r="G2" s="14">
        <v>0</v>
      </c>
      <c r="H2" s="14">
        <v>0</v>
      </c>
      <c r="I2" s="13">
        <v>0</v>
      </c>
      <c r="J2" s="14">
        <v>813779.8</v>
      </c>
      <c r="K2" s="13">
        <v>0</v>
      </c>
      <c r="L2" s="14">
        <v>0</v>
      </c>
      <c r="M2" s="14">
        <v>0</v>
      </c>
      <c r="N2" s="13" t="s">
        <v>76</v>
      </c>
    </row>
    <row r="3" spans="1:14" x14ac:dyDescent="0.2">
      <c r="A3" s="17"/>
      <c r="B3" s="12" t="s">
        <v>59</v>
      </c>
      <c r="C3" s="13">
        <v>1642.8915400000001</v>
      </c>
      <c r="D3" s="13">
        <v>1642.8915400000001</v>
      </c>
      <c r="E3" s="14">
        <v>0</v>
      </c>
      <c r="F3" s="14">
        <v>0</v>
      </c>
      <c r="G3" s="14">
        <v>0</v>
      </c>
      <c r="H3" s="14">
        <v>0</v>
      </c>
      <c r="I3" s="13">
        <v>0</v>
      </c>
      <c r="J3" s="14">
        <v>3589718</v>
      </c>
      <c r="K3" s="13">
        <v>0</v>
      </c>
      <c r="L3" s="14">
        <v>0</v>
      </c>
      <c r="M3" s="14">
        <v>0</v>
      </c>
      <c r="N3" s="13" t="s">
        <v>76</v>
      </c>
    </row>
    <row r="4" spans="1:14" x14ac:dyDescent="0.2">
      <c r="A4" s="17"/>
      <c r="B4" s="12" t="s">
        <v>58</v>
      </c>
      <c r="C4" s="13">
        <v>9185.8067100000007</v>
      </c>
      <c r="D4" s="13">
        <v>9185.8067100000007</v>
      </c>
      <c r="E4" s="14">
        <v>0</v>
      </c>
      <c r="F4" s="14">
        <v>0</v>
      </c>
      <c r="G4" s="14">
        <v>0</v>
      </c>
      <c r="H4" s="14">
        <v>0</v>
      </c>
      <c r="I4" s="13">
        <v>0</v>
      </c>
      <c r="J4" s="14">
        <v>20070990</v>
      </c>
      <c r="K4" s="13">
        <v>0</v>
      </c>
      <c r="L4" s="14">
        <v>0</v>
      </c>
      <c r="M4" s="14">
        <v>0</v>
      </c>
      <c r="N4" s="13" t="s">
        <v>76</v>
      </c>
    </row>
    <row r="5" spans="1:14" ht="45" x14ac:dyDescent="0.2">
      <c r="A5" s="17"/>
      <c r="B5" s="12" t="s">
        <v>57</v>
      </c>
      <c r="C5" s="13">
        <v>23586</v>
      </c>
      <c r="D5" s="13">
        <v>23586</v>
      </c>
      <c r="E5" s="14">
        <v>0</v>
      </c>
      <c r="F5" s="14">
        <v>0</v>
      </c>
      <c r="G5" s="14">
        <v>0</v>
      </c>
      <c r="H5" s="14">
        <v>0</v>
      </c>
      <c r="I5" s="13">
        <v>0</v>
      </c>
      <c r="J5" s="14">
        <v>51535410</v>
      </c>
      <c r="K5" s="13">
        <v>0</v>
      </c>
      <c r="L5" s="14">
        <v>0</v>
      </c>
      <c r="M5" s="14">
        <v>0</v>
      </c>
      <c r="N5" s="13" t="s">
        <v>76</v>
      </c>
    </row>
    <row r="6" spans="1:14" ht="45" x14ac:dyDescent="0.2">
      <c r="A6" s="17"/>
      <c r="B6" s="12" t="s">
        <v>56</v>
      </c>
      <c r="C6" s="13">
        <v>3534.0360000000001</v>
      </c>
      <c r="D6" s="13">
        <v>3534.0360000000001</v>
      </c>
      <c r="E6" s="14">
        <v>0</v>
      </c>
      <c r="F6" s="14">
        <v>0</v>
      </c>
      <c r="G6" s="14">
        <v>0</v>
      </c>
      <c r="H6" s="14">
        <v>0</v>
      </c>
      <c r="I6" s="13">
        <v>0</v>
      </c>
      <c r="J6" s="14">
        <v>7721869</v>
      </c>
      <c r="K6" s="13">
        <v>0</v>
      </c>
      <c r="L6" s="14">
        <v>0</v>
      </c>
      <c r="M6" s="14">
        <v>0</v>
      </c>
      <c r="N6" s="13" t="s">
        <v>76</v>
      </c>
    </row>
    <row r="7" spans="1:14" ht="30" x14ac:dyDescent="0.2">
      <c r="A7" s="17"/>
      <c r="B7" s="12" t="s">
        <v>55</v>
      </c>
      <c r="C7" s="13">
        <v>13695</v>
      </c>
      <c r="D7" s="13">
        <v>13695</v>
      </c>
      <c r="E7" s="14">
        <v>3913229</v>
      </c>
      <c r="F7" s="14">
        <v>0</v>
      </c>
      <c r="G7" s="14">
        <v>3913229</v>
      </c>
      <c r="H7" s="14">
        <v>0</v>
      </c>
      <c r="I7" s="13">
        <v>0.130774</v>
      </c>
      <c r="J7" s="14">
        <v>26010350</v>
      </c>
      <c r="K7" s="13">
        <v>0</v>
      </c>
      <c r="L7" s="14">
        <v>47550510</v>
      </c>
      <c r="M7" s="14">
        <v>47550510</v>
      </c>
      <c r="N7" s="13">
        <v>12.151223</v>
      </c>
    </row>
    <row r="8" spans="1:14" x14ac:dyDescent="0.2">
      <c r="A8" s="17"/>
      <c r="B8" s="12" t="s">
        <v>54</v>
      </c>
      <c r="C8" s="13">
        <v>4067.2939999999999</v>
      </c>
      <c r="D8" s="13">
        <v>4067.2939999999999</v>
      </c>
      <c r="E8" s="14">
        <v>0</v>
      </c>
      <c r="F8" s="14">
        <v>0</v>
      </c>
      <c r="G8" s="14">
        <v>0</v>
      </c>
      <c r="H8" s="14">
        <v>0</v>
      </c>
      <c r="I8" s="13">
        <v>0</v>
      </c>
      <c r="J8" s="14">
        <v>8887037</v>
      </c>
      <c r="K8" s="13">
        <v>0</v>
      </c>
      <c r="L8" s="14">
        <v>0</v>
      </c>
      <c r="M8" s="14">
        <v>0</v>
      </c>
      <c r="N8" s="13" t="s">
        <v>76</v>
      </c>
    </row>
    <row r="9" spans="1:14" ht="30" x14ac:dyDescent="0.2">
      <c r="A9" s="17"/>
      <c r="B9" s="12" t="s">
        <v>53</v>
      </c>
      <c r="C9" s="13">
        <v>11</v>
      </c>
      <c r="D9" s="13">
        <v>11</v>
      </c>
      <c r="E9" s="14">
        <v>5128.1930000000002</v>
      </c>
      <c r="F9" s="14">
        <v>0</v>
      </c>
      <c r="G9" s="14">
        <v>5128.1930000000002</v>
      </c>
      <c r="H9" s="14">
        <v>0</v>
      </c>
      <c r="I9" s="13">
        <v>0.213364</v>
      </c>
      <c r="J9" s="14">
        <v>18906.810000000001</v>
      </c>
      <c r="K9" s="13">
        <v>0</v>
      </c>
      <c r="L9" s="14">
        <v>63897.279999999999</v>
      </c>
      <c r="M9" s="14">
        <v>110989.7</v>
      </c>
      <c r="N9" s="13">
        <v>21.643034</v>
      </c>
    </row>
    <row r="10" spans="1:14" ht="30" x14ac:dyDescent="0.2">
      <c r="A10" s="17"/>
      <c r="B10" s="12" t="s">
        <v>52</v>
      </c>
      <c r="C10" s="13">
        <v>834.51107000000002</v>
      </c>
      <c r="D10" s="13">
        <v>834.51107000000002</v>
      </c>
      <c r="E10" s="14">
        <v>9306.2860000000001</v>
      </c>
      <c r="F10" s="14">
        <v>0</v>
      </c>
      <c r="G10" s="14">
        <v>9306.2860000000001</v>
      </c>
      <c r="H10" s="14">
        <v>0</v>
      </c>
      <c r="I10" s="13">
        <v>5.104E-3</v>
      </c>
      <c r="J10" s="14">
        <v>1814100</v>
      </c>
      <c r="K10" s="13">
        <v>0</v>
      </c>
      <c r="L10" s="14">
        <v>502539.4</v>
      </c>
      <c r="M10" s="14">
        <v>506577.6</v>
      </c>
      <c r="N10" s="13">
        <v>54.433916000000004</v>
      </c>
    </row>
    <row r="11" spans="1:14" ht="30" x14ac:dyDescent="0.2">
      <c r="A11" s="17"/>
      <c r="B11" s="12" t="s">
        <v>51</v>
      </c>
      <c r="C11" s="13">
        <v>1897.296</v>
      </c>
      <c r="D11" s="13">
        <v>1897.296</v>
      </c>
      <c r="E11" s="14">
        <v>1348717</v>
      </c>
      <c r="F11" s="14">
        <v>0</v>
      </c>
      <c r="G11" s="14">
        <v>1348717</v>
      </c>
      <c r="H11" s="14">
        <v>0</v>
      </c>
      <c r="I11" s="13">
        <v>0.32533800000000002</v>
      </c>
      <c r="J11" s="14">
        <v>309519.5</v>
      </c>
      <c r="K11" s="13">
        <v>0</v>
      </c>
      <c r="L11" s="14">
        <v>0</v>
      </c>
      <c r="M11" s="14">
        <v>9215904</v>
      </c>
      <c r="N11" s="13">
        <v>6.8330890000000002</v>
      </c>
    </row>
    <row r="12" spans="1:14" ht="30" x14ac:dyDescent="0.2">
      <c r="A12" s="17"/>
      <c r="B12" s="12" t="s">
        <v>50</v>
      </c>
      <c r="C12" s="13">
        <v>48629.190949999997</v>
      </c>
      <c r="D12" s="13">
        <v>48629.190949999997</v>
      </c>
      <c r="E12" s="14">
        <v>0</v>
      </c>
      <c r="F12" s="14">
        <v>0</v>
      </c>
      <c r="G12" s="14">
        <v>0</v>
      </c>
      <c r="H12" s="14">
        <v>0</v>
      </c>
      <c r="I12" s="13">
        <v>0</v>
      </c>
      <c r="J12" s="14">
        <v>52178340</v>
      </c>
      <c r="K12" s="13">
        <v>0</v>
      </c>
      <c r="L12" s="14">
        <v>0</v>
      </c>
      <c r="M12" s="14">
        <v>0</v>
      </c>
      <c r="N12" s="13" t="s">
        <v>76</v>
      </c>
    </row>
    <row r="13" spans="1:14" ht="30" x14ac:dyDescent="0.2">
      <c r="A13" s="17"/>
      <c r="B13" s="12" t="s">
        <v>49</v>
      </c>
      <c r="C13" s="13">
        <v>254.358</v>
      </c>
      <c r="D13" s="13">
        <v>254.358</v>
      </c>
      <c r="E13" s="14">
        <v>235757.4</v>
      </c>
      <c r="F13" s="14">
        <v>0</v>
      </c>
      <c r="G13" s="14">
        <v>235757.4</v>
      </c>
      <c r="H13" s="14">
        <v>0</v>
      </c>
      <c r="I13" s="13">
        <v>0.42419800000000002</v>
      </c>
      <c r="J13" s="14">
        <v>38012.17</v>
      </c>
      <c r="K13" s="13">
        <v>0</v>
      </c>
      <c r="L13" s="14">
        <v>0</v>
      </c>
      <c r="M13" s="14">
        <v>2066799</v>
      </c>
      <c r="N13" s="13">
        <v>8.7666369999999993</v>
      </c>
    </row>
    <row r="14" spans="1:14" x14ac:dyDescent="0.2">
      <c r="A14" s="17"/>
      <c r="B14" s="12" t="s">
        <v>48</v>
      </c>
      <c r="C14" s="13">
        <v>4570</v>
      </c>
      <c r="D14" s="13">
        <v>4570</v>
      </c>
      <c r="E14" s="14">
        <v>4309445</v>
      </c>
      <c r="F14" s="14">
        <v>0</v>
      </c>
      <c r="G14" s="14">
        <v>4309445</v>
      </c>
      <c r="H14" s="14">
        <v>0</v>
      </c>
      <c r="I14" s="13">
        <v>0.43157200000000001</v>
      </c>
      <c r="J14" s="14">
        <v>5676005</v>
      </c>
      <c r="K14" s="13">
        <v>0</v>
      </c>
      <c r="L14" s="14">
        <v>43094450</v>
      </c>
      <c r="M14" s="14">
        <v>75702860</v>
      </c>
      <c r="N14" s="13">
        <v>17.566731000000001</v>
      </c>
    </row>
    <row r="15" spans="1:14" ht="30" x14ac:dyDescent="0.2">
      <c r="A15" s="17"/>
      <c r="B15" s="12" t="s">
        <v>47</v>
      </c>
      <c r="C15" s="13">
        <v>53544.201999999997</v>
      </c>
      <c r="D15" s="13">
        <v>53544.201999999997</v>
      </c>
      <c r="E15" s="14">
        <v>25219300</v>
      </c>
      <c r="F15" s="14">
        <v>0</v>
      </c>
      <c r="G15" s="14">
        <v>25219300</v>
      </c>
      <c r="H15" s="14">
        <v>0</v>
      </c>
      <c r="I15" s="13">
        <v>0.21556</v>
      </c>
      <c r="J15" s="14">
        <v>6895547</v>
      </c>
      <c r="K15" s="13">
        <v>0</v>
      </c>
      <c r="L15" s="14">
        <v>0</v>
      </c>
      <c r="M15" s="14">
        <v>108253900</v>
      </c>
      <c r="N15" s="13">
        <v>4.2925009999999997</v>
      </c>
    </row>
    <row r="16" spans="1:14" x14ac:dyDescent="0.2">
      <c r="A16" s="17"/>
      <c r="B16" s="12" t="s">
        <v>46</v>
      </c>
      <c r="C16" s="13">
        <v>78.5</v>
      </c>
      <c r="D16" s="13">
        <v>78.5</v>
      </c>
      <c r="E16" s="14">
        <v>0</v>
      </c>
      <c r="F16" s="14">
        <v>0</v>
      </c>
      <c r="G16" s="14">
        <v>0</v>
      </c>
      <c r="H16" s="14">
        <v>0</v>
      </c>
      <c r="I16" s="13">
        <v>0</v>
      </c>
      <c r="J16" s="14">
        <v>171522.5</v>
      </c>
      <c r="K16" s="13">
        <v>0</v>
      </c>
      <c r="L16" s="14">
        <v>0</v>
      </c>
      <c r="M16" s="14">
        <v>0</v>
      </c>
      <c r="N16" s="13" t="s">
        <v>76</v>
      </c>
    </row>
    <row r="17" spans="1:14" ht="30" x14ac:dyDescent="0.2">
      <c r="A17" s="17"/>
      <c r="B17" s="12" t="s">
        <v>45</v>
      </c>
      <c r="C17" s="13">
        <v>27270.741000000002</v>
      </c>
      <c r="D17" s="13">
        <v>27270.741000000002</v>
      </c>
      <c r="E17" s="14">
        <v>10973550</v>
      </c>
      <c r="F17" s="14">
        <v>0</v>
      </c>
      <c r="G17" s="14">
        <v>10973550</v>
      </c>
      <c r="H17" s="14">
        <v>0</v>
      </c>
      <c r="I17" s="13">
        <v>0.18416099999999999</v>
      </c>
      <c r="J17" s="14">
        <v>3361588</v>
      </c>
      <c r="K17" s="13">
        <v>0</v>
      </c>
      <c r="L17" s="14">
        <v>0</v>
      </c>
      <c r="M17" s="14">
        <v>43948730</v>
      </c>
      <c r="N17" s="13">
        <v>4.0049710000000003</v>
      </c>
    </row>
    <row r="18" spans="1:14" ht="45" x14ac:dyDescent="0.2">
      <c r="A18" s="17"/>
      <c r="B18" s="12" t="s">
        <v>44</v>
      </c>
      <c r="C18" s="13">
        <v>3662.89</v>
      </c>
      <c r="D18" s="13">
        <v>3662.89</v>
      </c>
      <c r="E18" s="14">
        <v>0</v>
      </c>
      <c r="F18" s="14">
        <v>0</v>
      </c>
      <c r="G18" s="14">
        <v>0</v>
      </c>
      <c r="H18" s="14">
        <v>0</v>
      </c>
      <c r="I18" s="13">
        <v>0</v>
      </c>
      <c r="J18" s="14">
        <v>8003415</v>
      </c>
      <c r="K18" s="13">
        <v>0</v>
      </c>
      <c r="L18" s="14">
        <v>0</v>
      </c>
      <c r="M18" s="14">
        <v>0</v>
      </c>
      <c r="N18" s="13" t="s">
        <v>76</v>
      </c>
    </row>
    <row r="19" spans="1:14" ht="30" x14ac:dyDescent="0.2">
      <c r="A19" s="17"/>
      <c r="B19" s="12" t="s">
        <v>43</v>
      </c>
      <c r="C19" s="13">
        <v>55.819389999999999</v>
      </c>
      <c r="D19" s="13">
        <v>55.819389999999999</v>
      </c>
      <c r="E19" s="14">
        <v>0</v>
      </c>
      <c r="F19" s="14">
        <v>0</v>
      </c>
      <c r="G19" s="14">
        <v>0</v>
      </c>
      <c r="H19" s="14">
        <v>0</v>
      </c>
      <c r="I19" s="13">
        <v>0</v>
      </c>
      <c r="J19" s="14">
        <v>121965.4</v>
      </c>
      <c r="K19" s="13">
        <v>0</v>
      </c>
      <c r="L19" s="14">
        <v>0</v>
      </c>
      <c r="M19" s="14">
        <v>0</v>
      </c>
      <c r="N19" s="13" t="s">
        <v>76</v>
      </c>
    </row>
    <row r="20" spans="1:14" x14ac:dyDescent="0.2">
      <c r="A20" s="17"/>
      <c r="B20" s="12" t="s">
        <v>42</v>
      </c>
      <c r="C20" s="13">
        <v>40470.421999999999</v>
      </c>
      <c r="D20" s="13">
        <v>40470.421999999999</v>
      </c>
      <c r="E20" s="14">
        <v>13424910</v>
      </c>
      <c r="F20" s="14">
        <v>0</v>
      </c>
      <c r="G20" s="14">
        <v>13424910</v>
      </c>
      <c r="H20" s="14">
        <v>0</v>
      </c>
      <c r="I20" s="13">
        <v>0.15181800000000001</v>
      </c>
      <c r="J20" s="14">
        <v>1140635</v>
      </c>
      <c r="K20" s="13">
        <v>0</v>
      </c>
      <c r="L20" s="14">
        <v>0</v>
      </c>
      <c r="M20" s="14">
        <v>97697400</v>
      </c>
      <c r="N20" s="13">
        <v>7.2773250000000003</v>
      </c>
    </row>
    <row r="21" spans="1:14" ht="30" x14ac:dyDescent="0.2">
      <c r="A21" s="18"/>
      <c r="B21" s="12" t="s">
        <v>41</v>
      </c>
      <c r="C21" s="13">
        <v>4643.1779999999999</v>
      </c>
      <c r="D21" s="13">
        <v>4643.1779999999999</v>
      </c>
      <c r="E21" s="14">
        <v>0</v>
      </c>
      <c r="F21" s="14">
        <v>0</v>
      </c>
      <c r="G21" s="14">
        <v>0</v>
      </c>
      <c r="H21" s="14">
        <v>0</v>
      </c>
      <c r="I21" s="13">
        <v>0</v>
      </c>
      <c r="J21" s="14">
        <v>10145340</v>
      </c>
      <c r="K21" s="13">
        <v>0</v>
      </c>
      <c r="L21" s="14">
        <v>0</v>
      </c>
      <c r="M21" s="14">
        <v>0</v>
      </c>
      <c r="N21" s="13" t="s">
        <v>76</v>
      </c>
    </row>
    <row r="22" spans="1:14" x14ac:dyDescent="0.2">
      <c r="A22" s="12" t="s">
        <v>40</v>
      </c>
      <c r="B22" s="12" t="s">
        <v>39</v>
      </c>
      <c r="C22" s="13">
        <v>230800</v>
      </c>
      <c r="D22" s="13">
        <v>230800</v>
      </c>
      <c r="E22" s="14">
        <v>32526090</v>
      </c>
      <c r="F22" s="14">
        <v>23260350</v>
      </c>
      <c r="G22" s="14">
        <v>9265746</v>
      </c>
      <c r="H22" s="14">
        <v>-9265746</v>
      </c>
      <c r="I22" s="13">
        <v>0.110622</v>
      </c>
      <c r="J22" s="14">
        <v>0</v>
      </c>
      <c r="K22" s="13">
        <v>0</v>
      </c>
      <c r="L22" s="14">
        <v>0</v>
      </c>
      <c r="M22" s="14">
        <v>109146400</v>
      </c>
      <c r="N22" s="13">
        <v>1.9565049999999999</v>
      </c>
    </row>
    <row r="23" spans="1:14" x14ac:dyDescent="0.2">
      <c r="A23" s="16" t="s">
        <v>38</v>
      </c>
      <c r="B23" s="12" t="s">
        <v>37</v>
      </c>
      <c r="C23" s="13">
        <v>12450</v>
      </c>
      <c r="D23" s="13">
        <v>12450</v>
      </c>
      <c r="E23" s="14">
        <v>9796406</v>
      </c>
      <c r="F23" s="14">
        <v>5782838</v>
      </c>
      <c r="G23" s="14">
        <v>4013568</v>
      </c>
      <c r="H23" s="14">
        <v>-4013568</v>
      </c>
      <c r="I23" s="13">
        <v>0.57269800000000004</v>
      </c>
      <c r="J23" s="14">
        <v>31216820</v>
      </c>
      <c r="K23" s="13">
        <v>0</v>
      </c>
      <c r="L23" s="14">
        <v>0</v>
      </c>
      <c r="M23" s="14">
        <v>82270390</v>
      </c>
      <c r="N23" s="13">
        <v>5.2807690000000003</v>
      </c>
    </row>
    <row r="24" spans="1:14" ht="30" x14ac:dyDescent="0.2">
      <c r="A24" s="17"/>
      <c r="B24" s="12" t="s">
        <v>36</v>
      </c>
      <c r="C24" s="13">
        <v>3653.0947500000002</v>
      </c>
      <c r="D24" s="13">
        <v>3653.0947500000002</v>
      </c>
      <c r="E24" s="14">
        <v>0</v>
      </c>
      <c r="F24" s="14">
        <v>114106.8</v>
      </c>
      <c r="G24" s="14">
        <v>-114106.8</v>
      </c>
      <c r="H24" s="14">
        <v>0</v>
      </c>
      <c r="I24" s="13">
        <v>1.4295E-2</v>
      </c>
      <c r="J24" s="14">
        <v>7867905</v>
      </c>
      <c r="K24" s="13">
        <v>0</v>
      </c>
      <c r="L24" s="14">
        <v>0</v>
      </c>
      <c r="M24" s="14">
        <v>37.658799999999999</v>
      </c>
      <c r="N24" s="13">
        <v>3.3E-4</v>
      </c>
    </row>
    <row r="25" spans="1:14" ht="30" x14ac:dyDescent="0.2">
      <c r="A25" s="18"/>
      <c r="B25" s="12" t="s">
        <v>35</v>
      </c>
      <c r="C25" s="13">
        <v>278.38099999999997</v>
      </c>
      <c r="D25" s="13">
        <v>278.38099999999997</v>
      </c>
      <c r="E25" s="14">
        <v>0</v>
      </c>
      <c r="F25" s="14">
        <v>72116.23</v>
      </c>
      <c r="G25" s="14">
        <v>-72116.23</v>
      </c>
      <c r="H25" s="14">
        <v>0</v>
      </c>
      <c r="I25" s="13">
        <v>0.118561</v>
      </c>
      <c r="J25" s="14">
        <v>536146.30000000005</v>
      </c>
      <c r="K25" s="13">
        <v>0</v>
      </c>
      <c r="L25" s="14">
        <v>360581.2</v>
      </c>
      <c r="M25" s="14">
        <v>0</v>
      </c>
      <c r="N25" s="13" t="s">
        <v>76</v>
      </c>
    </row>
    <row r="26" spans="1:14" ht="30" x14ac:dyDescent="0.2">
      <c r="A26" s="16" t="s">
        <v>34</v>
      </c>
      <c r="B26" s="12" t="s">
        <v>33</v>
      </c>
      <c r="C26" s="13">
        <v>0</v>
      </c>
      <c r="D26" s="13">
        <v>0</v>
      </c>
      <c r="E26" s="14">
        <v>0</v>
      </c>
      <c r="F26" s="14">
        <v>2816335</v>
      </c>
      <c r="G26" s="14">
        <v>-2816335</v>
      </c>
      <c r="H26" s="14">
        <v>0</v>
      </c>
      <c r="I26" s="13" t="s">
        <v>76</v>
      </c>
      <c r="J26" s="14">
        <v>0</v>
      </c>
      <c r="K26" s="13">
        <v>0</v>
      </c>
      <c r="L26" s="14">
        <v>0</v>
      </c>
      <c r="M26" s="14">
        <v>-24421310</v>
      </c>
      <c r="N26" s="13">
        <v>-8.6713079999999998</v>
      </c>
    </row>
    <row r="27" spans="1:14" x14ac:dyDescent="0.2">
      <c r="A27" s="18"/>
      <c r="B27" s="12" t="s">
        <v>32</v>
      </c>
      <c r="C27" s="13">
        <v>0</v>
      </c>
      <c r="D27" s="13">
        <v>0</v>
      </c>
      <c r="E27" s="14">
        <v>0</v>
      </c>
      <c r="F27" s="14">
        <v>52178340</v>
      </c>
      <c r="G27" s="14">
        <v>-52178340</v>
      </c>
      <c r="H27" s="14">
        <v>0</v>
      </c>
      <c r="I27" s="13" t="s">
        <v>76</v>
      </c>
      <c r="J27" s="14">
        <v>0</v>
      </c>
      <c r="K27" s="13">
        <v>0</v>
      </c>
      <c r="L27" s="14">
        <v>0</v>
      </c>
      <c r="M27" s="14">
        <v>-440560500</v>
      </c>
      <c r="N27" s="13">
        <v>-8.4433600000000002</v>
      </c>
    </row>
    <row r="28" spans="1:14" ht="30" x14ac:dyDescent="0.2">
      <c r="A28" s="16" t="s">
        <v>31</v>
      </c>
      <c r="B28" s="12" t="s">
        <v>30</v>
      </c>
      <c r="C28" s="13">
        <v>26471.973000000002</v>
      </c>
      <c r="D28" s="13">
        <v>26471.973000000002</v>
      </c>
      <c r="E28" s="14">
        <v>4119571</v>
      </c>
      <c r="F28" s="14">
        <v>7040099</v>
      </c>
      <c r="G28" s="14">
        <v>-2920527</v>
      </c>
      <c r="H28" s="14">
        <v>0</v>
      </c>
      <c r="I28" s="13">
        <v>0.192936</v>
      </c>
      <c r="J28" s="14">
        <v>60761790</v>
      </c>
      <c r="K28" s="13">
        <v>0</v>
      </c>
      <c r="L28" s="14">
        <v>0</v>
      </c>
      <c r="M28" s="14">
        <v>17939090</v>
      </c>
      <c r="N28" s="13">
        <v>1.6074930000000001</v>
      </c>
    </row>
    <row r="29" spans="1:14" ht="45" x14ac:dyDescent="0.2">
      <c r="A29" s="17"/>
      <c r="B29" s="12" t="s">
        <v>29</v>
      </c>
      <c r="C29" s="13">
        <v>857.70799999999997</v>
      </c>
      <c r="D29" s="13">
        <v>857.70799999999997</v>
      </c>
      <c r="E29" s="14">
        <v>191828.9</v>
      </c>
      <c r="F29" s="14">
        <v>303744.8</v>
      </c>
      <c r="G29" s="14">
        <v>-111915.9</v>
      </c>
      <c r="H29" s="14">
        <v>0</v>
      </c>
      <c r="I29" s="13">
        <v>0.264434</v>
      </c>
      <c r="J29" s="14">
        <v>1986008</v>
      </c>
      <c r="K29" s="13">
        <v>0</v>
      </c>
      <c r="L29" s="14">
        <v>0</v>
      </c>
      <c r="M29" s="14">
        <v>564486.19999999995</v>
      </c>
      <c r="N29" s="13">
        <v>1.1390560000000001</v>
      </c>
    </row>
    <row r="30" spans="1:14" ht="45" x14ac:dyDescent="0.2">
      <c r="A30" s="17"/>
      <c r="B30" s="12" t="s">
        <v>28</v>
      </c>
      <c r="C30" s="13">
        <v>457.99400000000003</v>
      </c>
      <c r="D30" s="13">
        <v>457.99400000000003</v>
      </c>
      <c r="E30" s="14">
        <v>34640.49</v>
      </c>
      <c r="F30" s="14">
        <v>217560</v>
      </c>
      <c r="G30" s="14">
        <v>-182919.5</v>
      </c>
      <c r="H30" s="14">
        <v>0</v>
      </c>
      <c r="I30" s="13">
        <v>0.25202000000000002</v>
      </c>
      <c r="J30" s="14">
        <v>1183636</v>
      </c>
      <c r="K30" s="13">
        <v>0</v>
      </c>
      <c r="L30" s="14">
        <v>0</v>
      </c>
      <c r="M30" s="14">
        <v>607408.6</v>
      </c>
      <c r="N30" s="13">
        <v>2.4084349999999999</v>
      </c>
    </row>
    <row r="31" spans="1:14" ht="60" x14ac:dyDescent="0.2">
      <c r="A31" s="18"/>
      <c r="B31" s="12" t="s">
        <v>27</v>
      </c>
      <c r="C31" s="13">
        <v>5300</v>
      </c>
      <c r="D31" s="13">
        <v>5300</v>
      </c>
      <c r="E31" s="14">
        <v>1095588</v>
      </c>
      <c r="F31" s="14">
        <v>2347179</v>
      </c>
      <c r="G31" s="14">
        <v>-1251591</v>
      </c>
      <c r="H31" s="14">
        <v>0</v>
      </c>
      <c r="I31" s="13">
        <v>0.29729</v>
      </c>
      <c r="J31" s="14">
        <v>12832090</v>
      </c>
      <c r="K31" s="13">
        <v>0</v>
      </c>
      <c r="L31" s="14">
        <v>0</v>
      </c>
      <c r="M31" s="14">
        <v>10515730</v>
      </c>
      <c r="N31" s="13">
        <v>3.0544410000000002</v>
      </c>
    </row>
    <row r="32" spans="1:14" ht="30" x14ac:dyDescent="0.2">
      <c r="A32" s="12" t="s">
        <v>26</v>
      </c>
      <c r="B32" s="12" t="s">
        <v>25</v>
      </c>
      <c r="C32" s="13">
        <v>46768.008000000002</v>
      </c>
      <c r="D32" s="13">
        <v>46768.008000000002</v>
      </c>
      <c r="E32" s="14">
        <v>71119.7</v>
      </c>
      <c r="F32" s="14">
        <v>78878.22</v>
      </c>
      <c r="G32" s="14">
        <v>-7758.5190000000002</v>
      </c>
      <c r="H32" s="14">
        <v>0</v>
      </c>
      <c r="I32" s="13">
        <v>0.759239</v>
      </c>
      <c r="J32" s="14">
        <v>0</v>
      </c>
      <c r="K32" s="13">
        <v>0</v>
      </c>
      <c r="L32" s="14">
        <v>0</v>
      </c>
      <c r="M32" s="14">
        <v>0</v>
      </c>
      <c r="N32" s="13" t="s">
        <v>76</v>
      </c>
    </row>
  </sheetData>
  <mergeCells count="4">
    <mergeCell ref="A2:A21"/>
    <mergeCell ref="A23:A25"/>
    <mergeCell ref="A26:A27"/>
    <mergeCell ref="A28:A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FBAD-A3CB-8A42-8A2F-827E32875CAF}">
  <dimension ref="A1:N35"/>
  <sheetViews>
    <sheetView workbookViewId="0">
      <selection sqref="A1:N35"/>
    </sheetView>
  </sheetViews>
  <sheetFormatPr baseColWidth="10" defaultColWidth="8.83203125" defaultRowHeight="15" x14ac:dyDescent="0.2"/>
  <cols>
    <col min="1" max="16384" width="8.83203125" style="10"/>
  </cols>
  <sheetData>
    <row r="1" spans="1:14" ht="60" x14ac:dyDescent="0.2">
      <c r="A1" s="12"/>
      <c r="B1" s="12"/>
      <c r="C1" s="12" t="s">
        <v>73</v>
      </c>
      <c r="D1" s="12" t="s">
        <v>72</v>
      </c>
      <c r="E1" s="12" t="s">
        <v>71</v>
      </c>
      <c r="F1" s="12" t="s">
        <v>70</v>
      </c>
      <c r="G1" s="12" t="s">
        <v>69</v>
      </c>
      <c r="H1" s="12" t="s">
        <v>68</v>
      </c>
      <c r="I1" s="12" t="s">
        <v>67</v>
      </c>
      <c r="J1" s="12" t="s">
        <v>66</v>
      </c>
      <c r="K1" s="12" t="s">
        <v>65</v>
      </c>
      <c r="L1" s="12" t="s">
        <v>64</v>
      </c>
      <c r="M1" s="12" t="s">
        <v>63</v>
      </c>
      <c r="N1" s="12" t="s">
        <v>62</v>
      </c>
    </row>
    <row r="2" spans="1:14" ht="30" x14ac:dyDescent="0.2">
      <c r="A2" s="16" t="s">
        <v>61</v>
      </c>
      <c r="B2" s="12" t="s">
        <v>60</v>
      </c>
      <c r="C2" s="14">
        <v>372.4393</v>
      </c>
      <c r="D2" s="14">
        <v>372.4393</v>
      </c>
      <c r="E2" s="14">
        <v>0</v>
      </c>
      <c r="F2" s="14">
        <v>0</v>
      </c>
      <c r="G2" s="14">
        <v>0</v>
      </c>
      <c r="H2" s="14">
        <v>0</v>
      </c>
      <c r="I2" s="13">
        <v>0</v>
      </c>
      <c r="J2" s="14">
        <v>813779.8</v>
      </c>
      <c r="K2" s="13">
        <v>0</v>
      </c>
      <c r="L2" s="14">
        <v>0</v>
      </c>
      <c r="M2" s="14">
        <v>0</v>
      </c>
      <c r="N2" s="13" t="s">
        <v>76</v>
      </c>
    </row>
    <row r="3" spans="1:14" x14ac:dyDescent="0.2">
      <c r="A3" s="17"/>
      <c r="B3" s="12" t="s">
        <v>59</v>
      </c>
      <c r="C3" s="14">
        <v>1642.8920000000001</v>
      </c>
      <c r="D3" s="14">
        <v>1642.8920000000001</v>
      </c>
      <c r="E3" s="14">
        <v>0</v>
      </c>
      <c r="F3" s="14">
        <v>0</v>
      </c>
      <c r="G3" s="14">
        <v>0</v>
      </c>
      <c r="H3" s="14">
        <v>0</v>
      </c>
      <c r="I3" s="13">
        <v>0</v>
      </c>
      <c r="J3" s="14">
        <v>3589718</v>
      </c>
      <c r="K3" s="13">
        <v>0</v>
      </c>
      <c r="L3" s="14">
        <v>0</v>
      </c>
      <c r="M3" s="14">
        <v>0</v>
      </c>
      <c r="N3" s="13" t="s">
        <v>76</v>
      </c>
    </row>
    <row r="4" spans="1:14" x14ac:dyDescent="0.2">
      <c r="A4" s="17"/>
      <c r="B4" s="12" t="s">
        <v>58</v>
      </c>
      <c r="C4" s="14">
        <v>9185.8070000000007</v>
      </c>
      <c r="D4" s="14">
        <v>9185.8070000000007</v>
      </c>
      <c r="E4" s="14">
        <v>0</v>
      </c>
      <c r="F4" s="14">
        <v>0</v>
      </c>
      <c r="G4" s="14">
        <v>0</v>
      </c>
      <c r="H4" s="14">
        <v>0</v>
      </c>
      <c r="I4" s="13">
        <v>0</v>
      </c>
      <c r="J4" s="14">
        <v>20070990</v>
      </c>
      <c r="K4" s="13">
        <v>0</v>
      </c>
      <c r="L4" s="14">
        <v>0</v>
      </c>
      <c r="M4" s="14">
        <v>0</v>
      </c>
      <c r="N4" s="13" t="s">
        <v>76</v>
      </c>
    </row>
    <row r="5" spans="1:14" ht="45" x14ac:dyDescent="0.2">
      <c r="A5" s="17"/>
      <c r="B5" s="12" t="s">
        <v>57</v>
      </c>
      <c r="C5" s="14">
        <v>23586</v>
      </c>
      <c r="D5" s="14">
        <v>23586</v>
      </c>
      <c r="E5" s="14">
        <v>0</v>
      </c>
      <c r="F5" s="14">
        <v>0</v>
      </c>
      <c r="G5" s="14">
        <v>0</v>
      </c>
      <c r="H5" s="14">
        <v>0</v>
      </c>
      <c r="I5" s="13">
        <v>0</v>
      </c>
      <c r="J5" s="14">
        <v>51535410</v>
      </c>
      <c r="K5" s="13">
        <v>0</v>
      </c>
      <c r="L5" s="14">
        <v>0</v>
      </c>
      <c r="M5" s="14">
        <v>0</v>
      </c>
      <c r="N5" s="13" t="s">
        <v>76</v>
      </c>
    </row>
    <row r="6" spans="1:14" ht="45" x14ac:dyDescent="0.2">
      <c r="A6" s="17"/>
      <c r="B6" s="12" t="s">
        <v>56</v>
      </c>
      <c r="C6" s="14">
        <v>3534.0360000000001</v>
      </c>
      <c r="D6" s="14">
        <v>3534.0360000000001</v>
      </c>
      <c r="E6" s="14">
        <v>0</v>
      </c>
      <c r="F6" s="14">
        <v>0</v>
      </c>
      <c r="G6" s="14">
        <v>0</v>
      </c>
      <c r="H6" s="14">
        <v>0</v>
      </c>
      <c r="I6" s="13">
        <v>0</v>
      </c>
      <c r="J6" s="14">
        <v>7721869</v>
      </c>
      <c r="K6" s="13">
        <v>0</v>
      </c>
      <c r="L6" s="14">
        <v>0</v>
      </c>
      <c r="M6" s="14">
        <v>0</v>
      </c>
      <c r="N6" s="13" t="s">
        <v>76</v>
      </c>
    </row>
    <row r="7" spans="1:14" ht="30" x14ac:dyDescent="0.2">
      <c r="A7" s="17"/>
      <c r="B7" s="12" t="s">
        <v>55</v>
      </c>
      <c r="C7" s="14">
        <v>13695</v>
      </c>
      <c r="D7" s="14">
        <v>13695</v>
      </c>
      <c r="E7" s="14">
        <v>3831296</v>
      </c>
      <c r="F7" s="14">
        <v>0</v>
      </c>
      <c r="G7" s="14">
        <v>3831296</v>
      </c>
      <c r="H7" s="14">
        <v>0</v>
      </c>
      <c r="I7" s="13">
        <v>0.12803600000000001</v>
      </c>
      <c r="J7" s="14">
        <v>26092280</v>
      </c>
      <c r="K7" s="13">
        <v>0</v>
      </c>
      <c r="L7" s="14">
        <v>45911490</v>
      </c>
      <c r="M7" s="14">
        <v>45911490</v>
      </c>
      <c r="N7" s="13">
        <v>11.983280000000001</v>
      </c>
    </row>
    <row r="8" spans="1:14" x14ac:dyDescent="0.2">
      <c r="A8" s="17"/>
      <c r="B8" s="12" t="s">
        <v>54</v>
      </c>
      <c r="C8" s="14">
        <v>4067.2939999999999</v>
      </c>
      <c r="D8" s="14">
        <v>4067.2939999999999</v>
      </c>
      <c r="E8" s="14">
        <v>0</v>
      </c>
      <c r="F8" s="14">
        <v>0</v>
      </c>
      <c r="G8" s="14">
        <v>0</v>
      </c>
      <c r="H8" s="14">
        <v>0</v>
      </c>
      <c r="I8" s="13">
        <v>0</v>
      </c>
      <c r="J8" s="14">
        <v>8887037</v>
      </c>
      <c r="K8" s="13">
        <v>0</v>
      </c>
      <c r="L8" s="14">
        <v>0</v>
      </c>
      <c r="M8" s="14">
        <v>0</v>
      </c>
      <c r="N8" s="13" t="s">
        <v>76</v>
      </c>
    </row>
    <row r="9" spans="1:14" ht="30" x14ac:dyDescent="0.2">
      <c r="A9" s="17"/>
      <c r="B9" s="12" t="s">
        <v>53</v>
      </c>
      <c r="C9" s="14">
        <v>11</v>
      </c>
      <c r="D9" s="14">
        <v>11</v>
      </c>
      <c r="E9" s="14">
        <v>5049.3630000000003</v>
      </c>
      <c r="F9" s="14">
        <v>0</v>
      </c>
      <c r="G9" s="14">
        <v>5049.3630000000003</v>
      </c>
      <c r="H9" s="14">
        <v>0</v>
      </c>
      <c r="I9" s="13">
        <v>0.21008399999999999</v>
      </c>
      <c r="J9" s="14">
        <v>18985.64</v>
      </c>
      <c r="K9" s="13">
        <v>0</v>
      </c>
      <c r="L9" s="14">
        <v>62915.06</v>
      </c>
      <c r="M9" s="14">
        <v>108299.4</v>
      </c>
      <c r="N9" s="13">
        <v>21.448146000000001</v>
      </c>
    </row>
    <row r="10" spans="1:14" ht="30" x14ac:dyDescent="0.2">
      <c r="A10" s="17"/>
      <c r="B10" s="12" t="s">
        <v>52</v>
      </c>
      <c r="C10" s="14">
        <v>834.51110000000006</v>
      </c>
      <c r="D10" s="14">
        <v>834.51110000000006</v>
      </c>
      <c r="E10" s="14">
        <v>6618.7120000000004</v>
      </c>
      <c r="F10" s="14">
        <v>0</v>
      </c>
      <c r="G10" s="14">
        <v>6618.7120000000004</v>
      </c>
      <c r="H10" s="14">
        <v>0</v>
      </c>
      <c r="I10" s="13">
        <v>3.63E-3</v>
      </c>
      <c r="J10" s="14">
        <v>1816788</v>
      </c>
      <c r="K10" s="13">
        <v>0</v>
      </c>
      <c r="L10" s="14">
        <v>357410.5</v>
      </c>
      <c r="M10" s="14">
        <v>358344.1</v>
      </c>
      <c r="N10" s="13">
        <v>54.141049000000002</v>
      </c>
    </row>
    <row r="11" spans="1:14" ht="30" x14ac:dyDescent="0.2">
      <c r="A11" s="17"/>
      <c r="B11" s="12" t="s">
        <v>51</v>
      </c>
      <c r="C11" s="14">
        <v>1897.296</v>
      </c>
      <c r="D11" s="14">
        <v>1897.296</v>
      </c>
      <c r="E11" s="14">
        <v>1372207</v>
      </c>
      <c r="F11" s="14">
        <v>0</v>
      </c>
      <c r="G11" s="14">
        <v>1372207</v>
      </c>
      <c r="H11" s="14">
        <v>0</v>
      </c>
      <c r="I11" s="13">
        <v>0.33100400000000002</v>
      </c>
      <c r="J11" s="14">
        <v>286029.90000000002</v>
      </c>
      <c r="K11" s="13">
        <v>0</v>
      </c>
      <c r="L11" s="14">
        <v>0</v>
      </c>
      <c r="M11" s="14">
        <v>9113032</v>
      </c>
      <c r="N11" s="13">
        <v>6.6411499999999997</v>
      </c>
    </row>
    <row r="12" spans="1:14" ht="30" x14ac:dyDescent="0.2">
      <c r="A12" s="17"/>
      <c r="B12" s="12" t="s">
        <v>50</v>
      </c>
      <c r="C12" s="14">
        <v>48629.19</v>
      </c>
      <c r="D12" s="14">
        <v>48629.19</v>
      </c>
      <c r="E12" s="14">
        <v>0</v>
      </c>
      <c r="F12" s="14">
        <v>0</v>
      </c>
      <c r="G12" s="14">
        <v>0</v>
      </c>
      <c r="H12" s="14">
        <v>0</v>
      </c>
      <c r="I12" s="13">
        <v>0</v>
      </c>
      <c r="J12" s="14">
        <v>52178340</v>
      </c>
      <c r="K12" s="13">
        <v>0</v>
      </c>
      <c r="L12" s="14">
        <v>0</v>
      </c>
      <c r="M12" s="14">
        <v>0</v>
      </c>
      <c r="N12" s="13" t="s">
        <v>76</v>
      </c>
    </row>
    <row r="13" spans="1:14" ht="30" x14ac:dyDescent="0.2">
      <c r="A13" s="17"/>
      <c r="B13" s="12" t="s">
        <v>49</v>
      </c>
      <c r="C13" s="14">
        <v>254.358</v>
      </c>
      <c r="D13" s="14">
        <v>254.358</v>
      </c>
      <c r="E13" s="14">
        <v>233666.6</v>
      </c>
      <c r="F13" s="14">
        <v>0</v>
      </c>
      <c r="G13" s="14">
        <v>233666.6</v>
      </c>
      <c r="H13" s="14">
        <v>0</v>
      </c>
      <c r="I13" s="13">
        <v>0.42043599999999998</v>
      </c>
      <c r="J13" s="14">
        <v>40102.92</v>
      </c>
      <c r="K13" s="13">
        <v>0</v>
      </c>
      <c r="L13" s="14">
        <v>0</v>
      </c>
      <c r="M13" s="14">
        <v>2042999</v>
      </c>
      <c r="N13" s="13">
        <v>8.7432210000000001</v>
      </c>
    </row>
    <row r="14" spans="1:14" x14ac:dyDescent="0.2">
      <c r="A14" s="17"/>
      <c r="B14" s="12" t="s">
        <v>48</v>
      </c>
      <c r="C14" s="14">
        <v>4570</v>
      </c>
      <c r="D14" s="14">
        <v>4570</v>
      </c>
      <c r="E14" s="14">
        <v>4270674</v>
      </c>
      <c r="F14" s="14">
        <v>0</v>
      </c>
      <c r="G14" s="14">
        <v>4270674</v>
      </c>
      <c r="H14" s="14">
        <v>0</v>
      </c>
      <c r="I14" s="13">
        <v>0.42769000000000001</v>
      </c>
      <c r="J14" s="14">
        <v>5714776</v>
      </c>
      <c r="K14" s="13">
        <v>0</v>
      </c>
      <c r="L14" s="14">
        <v>42706740</v>
      </c>
      <c r="M14" s="14">
        <v>74284990</v>
      </c>
      <c r="N14" s="13">
        <v>17.394207000000002</v>
      </c>
    </row>
    <row r="15" spans="1:14" ht="30" x14ac:dyDescent="0.2">
      <c r="A15" s="17"/>
      <c r="B15" s="12" t="s">
        <v>47</v>
      </c>
      <c r="C15" s="14">
        <v>53544.2</v>
      </c>
      <c r="D15" s="14">
        <v>53544.2</v>
      </c>
      <c r="E15" s="14">
        <v>25186060</v>
      </c>
      <c r="F15" s="14">
        <v>0</v>
      </c>
      <c r="G15" s="14">
        <v>25186060</v>
      </c>
      <c r="H15" s="14">
        <v>0</v>
      </c>
      <c r="I15" s="13">
        <v>0.215276</v>
      </c>
      <c r="J15" s="14">
        <v>6928791</v>
      </c>
      <c r="K15" s="13">
        <v>0</v>
      </c>
      <c r="L15" s="14">
        <v>0</v>
      </c>
      <c r="M15" s="14">
        <v>107348100</v>
      </c>
      <c r="N15" s="13">
        <v>4.2622049999999998</v>
      </c>
    </row>
    <row r="16" spans="1:14" x14ac:dyDescent="0.2">
      <c r="A16" s="17"/>
      <c r="B16" s="12" t="s">
        <v>46</v>
      </c>
      <c r="C16" s="14">
        <v>78.5</v>
      </c>
      <c r="D16" s="14">
        <v>78.5</v>
      </c>
      <c r="E16" s="14">
        <v>0</v>
      </c>
      <c r="F16" s="14">
        <v>0</v>
      </c>
      <c r="G16" s="14">
        <v>0</v>
      </c>
      <c r="H16" s="14">
        <v>0</v>
      </c>
      <c r="I16" s="13">
        <v>0</v>
      </c>
      <c r="J16" s="14">
        <v>171522.5</v>
      </c>
      <c r="K16" s="13">
        <v>0</v>
      </c>
      <c r="L16" s="14">
        <v>0</v>
      </c>
      <c r="M16" s="14">
        <v>0</v>
      </c>
      <c r="N16" s="13" t="s">
        <v>76</v>
      </c>
    </row>
    <row r="17" spans="1:14" ht="30" x14ac:dyDescent="0.2">
      <c r="A17" s="17"/>
      <c r="B17" s="12" t="s">
        <v>45</v>
      </c>
      <c r="C17" s="14">
        <v>27270.74</v>
      </c>
      <c r="D17" s="14">
        <v>27270.74</v>
      </c>
      <c r="E17" s="14">
        <v>11032360</v>
      </c>
      <c r="F17" s="14">
        <v>0</v>
      </c>
      <c r="G17" s="14">
        <v>11032360</v>
      </c>
      <c r="H17" s="14">
        <v>0</v>
      </c>
      <c r="I17" s="13">
        <v>0.18514800000000001</v>
      </c>
      <c r="J17" s="14">
        <v>3302773</v>
      </c>
      <c r="K17" s="13">
        <v>0</v>
      </c>
      <c r="L17" s="14">
        <v>0</v>
      </c>
      <c r="M17" s="14">
        <v>43557830</v>
      </c>
      <c r="N17" s="13">
        <v>3.9481869999999999</v>
      </c>
    </row>
    <row r="18" spans="1:14" ht="45" x14ac:dyDescent="0.2">
      <c r="A18" s="17"/>
      <c r="B18" s="12" t="s">
        <v>44</v>
      </c>
      <c r="C18" s="14">
        <v>3662.89</v>
      </c>
      <c r="D18" s="14">
        <v>3662.89</v>
      </c>
      <c r="E18" s="14">
        <v>0</v>
      </c>
      <c r="F18" s="14">
        <v>0</v>
      </c>
      <c r="G18" s="14">
        <v>0</v>
      </c>
      <c r="H18" s="14">
        <v>0</v>
      </c>
      <c r="I18" s="13">
        <v>0</v>
      </c>
      <c r="J18" s="14">
        <v>8003415</v>
      </c>
      <c r="K18" s="13">
        <v>0</v>
      </c>
      <c r="L18" s="14">
        <v>0</v>
      </c>
      <c r="M18" s="14">
        <v>0</v>
      </c>
      <c r="N18" s="13" t="s">
        <v>76</v>
      </c>
    </row>
    <row r="19" spans="1:14" ht="30" x14ac:dyDescent="0.2">
      <c r="A19" s="17"/>
      <c r="B19" s="12" t="s">
        <v>43</v>
      </c>
      <c r="C19" s="14">
        <v>55.819389999999999</v>
      </c>
      <c r="D19" s="14">
        <v>55.819389999999999</v>
      </c>
      <c r="E19" s="14">
        <v>0</v>
      </c>
      <c r="F19" s="14">
        <v>0</v>
      </c>
      <c r="G19" s="14">
        <v>0</v>
      </c>
      <c r="H19" s="14">
        <v>0</v>
      </c>
      <c r="I19" s="13">
        <v>0</v>
      </c>
      <c r="J19" s="14">
        <v>121965.4</v>
      </c>
      <c r="K19" s="13">
        <v>0</v>
      </c>
      <c r="L19" s="14">
        <v>0</v>
      </c>
      <c r="M19" s="14">
        <v>0</v>
      </c>
      <c r="N19" s="13" t="s">
        <v>76</v>
      </c>
    </row>
    <row r="20" spans="1:14" x14ac:dyDescent="0.2">
      <c r="A20" s="17"/>
      <c r="B20" s="12" t="s">
        <v>42</v>
      </c>
      <c r="C20" s="14">
        <v>40470.42</v>
      </c>
      <c r="D20" s="14">
        <v>40470.42</v>
      </c>
      <c r="E20" s="14">
        <v>13424290</v>
      </c>
      <c r="F20" s="14">
        <v>0</v>
      </c>
      <c r="G20" s="14">
        <v>13424290</v>
      </c>
      <c r="H20" s="14">
        <v>0</v>
      </c>
      <c r="I20" s="13">
        <v>0.151811</v>
      </c>
      <c r="J20" s="14">
        <v>1141252</v>
      </c>
      <c r="K20" s="13">
        <v>0</v>
      </c>
      <c r="L20" s="14">
        <v>0</v>
      </c>
      <c r="M20" s="14">
        <v>96691300</v>
      </c>
      <c r="N20" s="13">
        <v>7.202712</v>
      </c>
    </row>
    <row r="21" spans="1:14" ht="30" x14ac:dyDescent="0.2">
      <c r="A21" s="18"/>
      <c r="B21" s="12" t="s">
        <v>41</v>
      </c>
      <c r="C21" s="14">
        <v>4643.1779999999999</v>
      </c>
      <c r="D21" s="14">
        <v>4643.1779999999999</v>
      </c>
      <c r="E21" s="14">
        <v>0</v>
      </c>
      <c r="F21" s="14">
        <v>0</v>
      </c>
      <c r="G21" s="14">
        <v>0</v>
      </c>
      <c r="H21" s="14">
        <v>0</v>
      </c>
      <c r="I21" s="13">
        <v>0</v>
      </c>
      <c r="J21" s="14">
        <v>10145340</v>
      </c>
      <c r="K21" s="13">
        <v>0</v>
      </c>
      <c r="L21" s="14">
        <v>0</v>
      </c>
      <c r="M21" s="14">
        <v>0</v>
      </c>
      <c r="N21" s="13" t="s">
        <v>76</v>
      </c>
    </row>
    <row r="22" spans="1:14" x14ac:dyDescent="0.2">
      <c r="A22" s="12" t="s">
        <v>40</v>
      </c>
      <c r="B22" s="12" t="s">
        <v>39</v>
      </c>
      <c r="C22" s="14">
        <v>230800</v>
      </c>
      <c r="D22" s="14">
        <v>230800</v>
      </c>
      <c r="E22" s="14">
        <v>32245580</v>
      </c>
      <c r="F22" s="14">
        <v>23235180</v>
      </c>
      <c r="G22" s="14">
        <v>9010397</v>
      </c>
      <c r="H22" s="14">
        <v>-9010397</v>
      </c>
      <c r="I22" s="13">
        <v>0.110016</v>
      </c>
      <c r="J22" s="14">
        <v>0</v>
      </c>
      <c r="K22" s="13">
        <v>0</v>
      </c>
      <c r="L22" s="14">
        <v>0</v>
      </c>
      <c r="M22" s="14">
        <v>104897500</v>
      </c>
      <c r="N22" s="13">
        <v>1.890701</v>
      </c>
    </row>
    <row r="23" spans="1:14" x14ac:dyDescent="0.2">
      <c r="A23" s="16" t="s">
        <v>38</v>
      </c>
      <c r="B23" s="12" t="s">
        <v>37</v>
      </c>
      <c r="C23" s="14">
        <v>12450</v>
      </c>
      <c r="D23" s="14">
        <v>12450</v>
      </c>
      <c r="E23" s="14">
        <v>9680448</v>
      </c>
      <c r="F23" s="14">
        <v>5750914</v>
      </c>
      <c r="G23" s="14">
        <v>3929534</v>
      </c>
      <c r="H23" s="14">
        <v>-3929534</v>
      </c>
      <c r="I23" s="13">
        <v>0.56726200000000004</v>
      </c>
      <c r="J23" s="14">
        <v>31132780</v>
      </c>
      <c r="K23" s="13">
        <v>0</v>
      </c>
      <c r="L23" s="14">
        <v>0</v>
      </c>
      <c r="M23" s="14">
        <v>79556810</v>
      </c>
      <c r="N23" s="13">
        <v>5.1555280000000003</v>
      </c>
    </row>
    <row r="24" spans="1:14" x14ac:dyDescent="0.2">
      <c r="A24" s="17"/>
      <c r="B24" s="12" t="s">
        <v>74</v>
      </c>
      <c r="C24" s="14">
        <v>24000000</v>
      </c>
      <c r="D24" s="14">
        <v>24000000</v>
      </c>
      <c r="E24" s="14">
        <v>0</v>
      </c>
      <c r="F24" s="14">
        <v>281046.5</v>
      </c>
      <c r="G24" s="14">
        <v>-281046.5</v>
      </c>
      <c r="H24" s="14">
        <v>0</v>
      </c>
      <c r="I24" s="13">
        <v>5.0000000000000004E-6</v>
      </c>
      <c r="J24" s="14">
        <v>52439720000</v>
      </c>
      <c r="K24" s="13">
        <v>0</v>
      </c>
      <c r="L24" s="14">
        <v>2.81046</v>
      </c>
      <c r="M24" s="14">
        <v>-1334706</v>
      </c>
      <c r="N24" s="13">
        <v>-4.7490579999999998</v>
      </c>
    </row>
    <row r="25" spans="1:14" ht="30" x14ac:dyDescent="0.2">
      <c r="A25" s="17"/>
      <c r="B25" s="12" t="s">
        <v>36</v>
      </c>
      <c r="C25" s="14">
        <v>3653.0949999999998</v>
      </c>
      <c r="D25" s="14">
        <v>3653.0949999999998</v>
      </c>
      <c r="E25" s="14">
        <v>0</v>
      </c>
      <c r="F25" s="14">
        <v>105498</v>
      </c>
      <c r="G25" s="14">
        <v>-105498</v>
      </c>
      <c r="H25" s="14">
        <v>0</v>
      </c>
      <c r="I25" s="13">
        <v>1.3217E-2</v>
      </c>
      <c r="J25" s="14">
        <v>7876514</v>
      </c>
      <c r="K25" s="13">
        <v>0</v>
      </c>
      <c r="L25" s="14">
        <v>0</v>
      </c>
      <c r="M25" s="14">
        <v>37.92642</v>
      </c>
      <c r="N25" s="13">
        <v>3.6000000000000002E-4</v>
      </c>
    </row>
    <row r="26" spans="1:14" ht="30" x14ac:dyDescent="0.2">
      <c r="A26" s="17"/>
      <c r="B26" s="12" t="s">
        <v>35</v>
      </c>
      <c r="C26" s="14">
        <v>278.38099999999997</v>
      </c>
      <c r="D26" s="14">
        <v>278.38099999999997</v>
      </c>
      <c r="E26" s="14">
        <v>0</v>
      </c>
      <c r="F26" s="14">
        <v>71483.7</v>
      </c>
      <c r="G26" s="14">
        <v>-71483.7</v>
      </c>
      <c r="H26" s="14">
        <v>0</v>
      </c>
      <c r="I26" s="13">
        <v>0.117521</v>
      </c>
      <c r="J26" s="14">
        <v>536778.80000000005</v>
      </c>
      <c r="K26" s="13">
        <v>0</v>
      </c>
      <c r="L26" s="14">
        <v>357418.5</v>
      </c>
      <c r="M26" s="14">
        <v>0</v>
      </c>
      <c r="N26" s="13" t="s">
        <v>76</v>
      </c>
    </row>
    <row r="27" spans="1:14" ht="30" x14ac:dyDescent="0.2">
      <c r="A27" s="18"/>
      <c r="B27" s="12" t="s">
        <v>75</v>
      </c>
      <c r="C27" s="14">
        <v>132000000</v>
      </c>
      <c r="D27" s="14">
        <v>132000000</v>
      </c>
      <c r="E27" s="14">
        <v>0</v>
      </c>
      <c r="F27" s="14">
        <v>0</v>
      </c>
      <c r="G27" s="14">
        <v>0</v>
      </c>
      <c r="H27" s="14">
        <v>0</v>
      </c>
      <c r="I27" s="13">
        <v>0</v>
      </c>
      <c r="J27" s="14">
        <v>288420000000</v>
      </c>
      <c r="K27" s="13">
        <v>0</v>
      </c>
      <c r="L27" s="14">
        <v>0</v>
      </c>
      <c r="M27" s="14">
        <v>0</v>
      </c>
      <c r="N27" s="13" t="s">
        <v>76</v>
      </c>
    </row>
    <row r="28" spans="1:14" ht="30" x14ac:dyDescent="0.2">
      <c r="A28" s="16" t="s">
        <v>34</v>
      </c>
      <c r="B28" s="12" t="s">
        <v>33</v>
      </c>
      <c r="C28" s="14">
        <v>0</v>
      </c>
      <c r="D28" s="14">
        <v>0</v>
      </c>
      <c r="E28" s="14">
        <v>0</v>
      </c>
      <c r="F28" s="14">
        <v>2816335</v>
      </c>
      <c r="G28" s="14">
        <v>-2816335</v>
      </c>
      <c r="H28" s="14">
        <v>0</v>
      </c>
      <c r="I28" s="13" t="s">
        <v>76</v>
      </c>
      <c r="J28" s="14">
        <v>0</v>
      </c>
      <c r="K28" s="13">
        <v>0</v>
      </c>
      <c r="L28" s="14">
        <v>0</v>
      </c>
      <c r="M28" s="14">
        <v>-24148940</v>
      </c>
      <c r="N28" s="13">
        <v>-8.5745989999999992</v>
      </c>
    </row>
    <row r="29" spans="1:14" x14ac:dyDescent="0.2">
      <c r="A29" s="18"/>
      <c r="B29" s="12" t="s">
        <v>32</v>
      </c>
      <c r="C29" s="14">
        <v>0</v>
      </c>
      <c r="D29" s="14">
        <v>0</v>
      </c>
      <c r="E29" s="14">
        <v>0</v>
      </c>
      <c r="F29" s="14">
        <v>52178340</v>
      </c>
      <c r="G29" s="14">
        <v>-52178340</v>
      </c>
      <c r="H29" s="14">
        <v>0</v>
      </c>
      <c r="I29" s="13" t="s">
        <v>76</v>
      </c>
      <c r="J29" s="14">
        <v>0</v>
      </c>
      <c r="K29" s="13">
        <v>0</v>
      </c>
      <c r="L29" s="14">
        <v>0</v>
      </c>
      <c r="M29" s="14">
        <v>-435606700</v>
      </c>
      <c r="N29" s="13">
        <v>-8.3484210000000001</v>
      </c>
    </row>
    <row r="30" spans="1:14" ht="30" x14ac:dyDescent="0.2">
      <c r="A30" s="16" t="s">
        <v>31</v>
      </c>
      <c r="B30" s="12" t="s">
        <v>30</v>
      </c>
      <c r="C30" s="14">
        <v>26471.97</v>
      </c>
      <c r="D30" s="14">
        <v>26471.97</v>
      </c>
      <c r="E30" s="14">
        <v>4196055</v>
      </c>
      <c r="F30" s="14">
        <v>7048282</v>
      </c>
      <c r="G30" s="14">
        <v>-2852227</v>
      </c>
      <c r="H30" s="14">
        <v>0</v>
      </c>
      <c r="I30" s="13">
        <v>0.19439999999999999</v>
      </c>
      <c r="J30" s="14">
        <v>60693490</v>
      </c>
      <c r="K30" s="13">
        <v>0</v>
      </c>
      <c r="L30" s="14">
        <v>0</v>
      </c>
      <c r="M30" s="14">
        <v>17596730</v>
      </c>
      <c r="N30" s="13">
        <v>1.5649420000000001</v>
      </c>
    </row>
    <row r="31" spans="1:14" ht="45" x14ac:dyDescent="0.2">
      <c r="A31" s="17"/>
      <c r="B31" s="12" t="s">
        <v>29</v>
      </c>
      <c r="C31" s="14">
        <v>857.70799999999997</v>
      </c>
      <c r="D31" s="14">
        <v>857.70799999999997</v>
      </c>
      <c r="E31" s="14">
        <v>212967.1</v>
      </c>
      <c r="F31" s="14">
        <v>319240</v>
      </c>
      <c r="G31" s="14">
        <v>-106272.9</v>
      </c>
      <c r="H31" s="14">
        <v>0</v>
      </c>
      <c r="I31" s="13">
        <v>0.28398099999999998</v>
      </c>
      <c r="J31" s="14">
        <v>1980365</v>
      </c>
      <c r="K31" s="13">
        <v>0</v>
      </c>
      <c r="L31" s="14">
        <v>0</v>
      </c>
      <c r="M31" s="14">
        <v>554574.4</v>
      </c>
      <c r="N31" s="13">
        <v>1.042027</v>
      </c>
    </row>
    <row r="32" spans="1:14" ht="45" x14ac:dyDescent="0.2">
      <c r="A32" s="17"/>
      <c r="B32" s="12" t="s">
        <v>28</v>
      </c>
      <c r="C32" s="14">
        <v>457.99400000000003</v>
      </c>
      <c r="D32" s="14">
        <v>457.99400000000003</v>
      </c>
      <c r="E32" s="14">
        <v>34804.92</v>
      </c>
      <c r="F32" s="14">
        <v>216336.7</v>
      </c>
      <c r="G32" s="14">
        <v>-181531.8</v>
      </c>
      <c r="H32" s="14">
        <v>0</v>
      </c>
      <c r="I32" s="13">
        <v>0.25096200000000002</v>
      </c>
      <c r="J32" s="14">
        <v>1182249</v>
      </c>
      <c r="K32" s="13">
        <v>0</v>
      </c>
      <c r="L32" s="14">
        <v>0</v>
      </c>
      <c r="M32" s="14">
        <v>597469.30000000005</v>
      </c>
      <c r="N32" s="13">
        <v>2.379013</v>
      </c>
    </row>
    <row r="33" spans="1:14" ht="60" x14ac:dyDescent="0.2">
      <c r="A33" s="18"/>
      <c r="B33" s="12" t="s">
        <v>27</v>
      </c>
      <c r="C33" s="14">
        <v>5300</v>
      </c>
      <c r="D33" s="14">
        <v>5300</v>
      </c>
      <c r="E33" s="14">
        <v>1079439</v>
      </c>
      <c r="F33" s="14">
        <v>2335436</v>
      </c>
      <c r="G33" s="14">
        <v>-1255997</v>
      </c>
      <c r="H33" s="14">
        <v>0</v>
      </c>
      <c r="I33" s="13">
        <v>0.294881</v>
      </c>
      <c r="J33" s="14">
        <v>12836500</v>
      </c>
      <c r="K33" s="13">
        <v>0</v>
      </c>
      <c r="L33" s="14">
        <v>0</v>
      </c>
      <c r="M33" s="14">
        <v>10324220</v>
      </c>
      <c r="N33" s="13">
        <v>3.0233089999999998</v>
      </c>
    </row>
    <row r="34" spans="1:14" x14ac:dyDescent="0.2">
      <c r="A34" s="16" t="s">
        <v>26</v>
      </c>
      <c r="B34" s="12" t="s">
        <v>74</v>
      </c>
      <c r="C34" s="14">
        <v>12000000</v>
      </c>
      <c r="D34" s="14">
        <v>12000000</v>
      </c>
      <c r="E34" s="14">
        <v>140523.20000000001</v>
      </c>
      <c r="F34" s="14">
        <v>140523.20000000001</v>
      </c>
      <c r="G34" s="14">
        <v>0</v>
      </c>
      <c r="H34" s="14">
        <v>0</v>
      </c>
      <c r="I34" s="13">
        <v>0.99855300000000002</v>
      </c>
      <c r="J34" s="14">
        <v>0</v>
      </c>
      <c r="K34" s="13">
        <v>0</v>
      </c>
      <c r="L34" s="14">
        <v>0</v>
      </c>
      <c r="M34" s="14">
        <v>0</v>
      </c>
      <c r="N34" s="13" t="s">
        <v>76</v>
      </c>
    </row>
    <row r="35" spans="1:14" ht="30" x14ac:dyDescent="0.2">
      <c r="A35" s="18"/>
      <c r="B35" s="12" t="s">
        <v>25</v>
      </c>
      <c r="C35" s="14">
        <v>46768.01</v>
      </c>
      <c r="D35" s="14">
        <v>46768.01</v>
      </c>
      <c r="E35" s="14">
        <v>70390.27</v>
      </c>
      <c r="F35" s="14">
        <v>72755.199999999997</v>
      </c>
      <c r="G35" s="14">
        <v>-2364.9299999999998</v>
      </c>
      <c r="H35" s="14">
        <v>0</v>
      </c>
      <c r="I35" s="13">
        <v>0.231429</v>
      </c>
      <c r="J35" s="14">
        <v>0</v>
      </c>
      <c r="K35" s="13">
        <v>0</v>
      </c>
      <c r="L35" s="14">
        <v>0</v>
      </c>
      <c r="M35" s="14">
        <v>0</v>
      </c>
      <c r="N35" s="13" t="s">
        <v>76</v>
      </c>
    </row>
  </sheetData>
  <mergeCells count="5">
    <mergeCell ref="A34:A35"/>
    <mergeCell ref="A23:A27"/>
    <mergeCell ref="A2:A21"/>
    <mergeCell ref="A28:A29"/>
    <mergeCell ref="A30:A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Inflexible</vt:lpstr>
      <vt:lpstr>Temporal</vt:lpstr>
      <vt:lpstr>Spatial</vt:lpstr>
      <vt:lpstr>Both</vt:lpstr>
      <vt:lpstr>CFE</vt:lpstr>
      <vt:lpstr>CFE_both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2026-08-20T08:31:04Z</dcterms:modified>
</cp:coreProperties>
</file>