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/Documents/MSc CAM/Dissertation/PyPSA-GB/notebooks/results/excel/"/>
    </mc:Choice>
  </mc:AlternateContent>
  <xr:revisionPtr revIDLastSave="0" documentId="13_ncr:1_{A8F43475-1BE6-FE46-8360-2EF08C5BC33A}" xr6:coauthVersionLast="47" xr6:coauthVersionMax="47" xr10:uidLastSave="{00000000-0000-0000-0000-000000000000}"/>
  <bookViews>
    <workbookView xWindow="9500" yWindow="660" windowWidth="20620" windowHeight="17400" xr2:uid="{D4188A73-9F76-7B43-A2AE-82D891E862BC}"/>
  </bookViews>
  <sheets>
    <sheet name="Summary" sheetId="8" r:id="rId1"/>
    <sheet name="Inflexible" sheetId="9" r:id="rId2"/>
    <sheet name="Temporal" sheetId="10" r:id="rId3"/>
    <sheet name="Spatial" sheetId="11" r:id="rId4"/>
    <sheet name="Both" sheetId="12" r:id="rId5"/>
    <sheet name="CFE" sheetId="13" r:id="rId6"/>
    <sheet name="CFE_both" sheetId="1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3" i="8" l="1"/>
  <c r="F23" i="8"/>
  <c r="E23" i="8"/>
  <c r="D23" i="8"/>
  <c r="C23" i="8"/>
  <c r="E14" i="8"/>
  <c r="F15" i="8"/>
  <c r="E13" i="8"/>
  <c r="B13" i="8"/>
  <c r="C11" i="8"/>
  <c r="G13" i="8"/>
  <c r="D15" i="8"/>
  <c r="B8" i="8"/>
  <c r="C13" i="8"/>
  <c r="E12" i="8"/>
  <c r="D14" i="8"/>
  <c r="G12" i="8"/>
  <c r="F12" i="8"/>
  <c r="F13" i="8"/>
  <c r="B12" i="8"/>
  <c r="F11" i="8"/>
  <c r="B14" i="8"/>
  <c r="F14" i="8"/>
  <c r="D11" i="8"/>
  <c r="G15" i="8"/>
  <c r="E15" i="8"/>
  <c r="G14" i="8"/>
  <c r="E11" i="8"/>
  <c r="C14" i="8"/>
  <c r="D13" i="8"/>
  <c r="B11" i="8"/>
  <c r="D12" i="8"/>
  <c r="C15" i="8"/>
  <c r="G11" i="8"/>
  <c r="B15" i="8"/>
  <c r="B7" i="8"/>
  <c r="C12" i="8"/>
  <c r="F20" i="8" l="1"/>
  <c r="C21" i="8"/>
  <c r="C18" i="8"/>
  <c r="C20" i="8"/>
  <c r="D20" i="8"/>
  <c r="D21" i="8"/>
  <c r="F21" i="8"/>
  <c r="E18" i="8"/>
  <c r="D19" i="8"/>
  <c r="E22" i="8"/>
  <c r="C22" i="8"/>
  <c r="E20" i="8"/>
  <c r="E19" i="8"/>
  <c r="G20" i="8"/>
  <c r="G22" i="8"/>
  <c r="F18" i="8"/>
  <c r="F19" i="8"/>
  <c r="G18" i="8"/>
  <c r="F22" i="8"/>
  <c r="C19" i="8"/>
  <c r="E21" i="8"/>
  <c r="G21" i="8"/>
  <c r="G19" i="8"/>
  <c r="D22" i="8"/>
  <c r="D18" i="8"/>
</calcChain>
</file>

<file path=xl/sharedStrings.xml><?xml version="1.0" encoding="utf-8"?>
<sst xmlns="http://schemas.openxmlformats.org/spreadsheetml/2006/main" count="323" uniqueCount="78">
  <si>
    <t>BIG SUMMARY</t>
  </si>
  <si>
    <t xml:space="preserve">Data Centre Allocation: </t>
  </si>
  <si>
    <t>Flexibility:</t>
  </si>
  <si>
    <t>x_CFE:</t>
  </si>
  <si>
    <t>Total Capacity [GW]:</t>
  </si>
  <si>
    <t>Total Green Energy</t>
  </si>
  <si>
    <t>Total Green Energy Curtailment</t>
  </si>
  <si>
    <t>Total Wind Offshore Curtailment</t>
  </si>
  <si>
    <t>Total Wind Onshore Curtailment</t>
  </si>
  <si>
    <t>Total Solar PV Curtailment</t>
  </si>
  <si>
    <t xml:space="preserve"> Network objective</t>
  </si>
  <si>
    <t>Inflexible</t>
  </si>
  <si>
    <t>Temporal</t>
  </si>
  <si>
    <t>Spatial</t>
  </si>
  <si>
    <t>Both</t>
  </si>
  <si>
    <t>CFE</t>
  </si>
  <si>
    <t>Total Storage</t>
  </si>
  <si>
    <t>DC Cost</t>
  </si>
  <si>
    <t>CFE_both</t>
  </si>
  <si>
    <t>Objective Reduction w.r.t. Inflexible</t>
  </si>
  <si>
    <t>DC Cost Reduction w.r.t. Inflexible</t>
  </si>
  <si>
    <t>Tot Green En Curtailment Reduction w.r.t. Inflexible</t>
  </si>
  <si>
    <t>Total Wind Offshore Curtailment Reduction</t>
  </si>
  <si>
    <t>Total Wind Onshore Curtailment Reduction</t>
  </si>
  <si>
    <t>Total Solar PV Curtailment Reduction</t>
  </si>
  <si>
    <t>Hydrogen Gas</t>
  </si>
  <si>
    <t>Store</t>
  </si>
  <si>
    <t>Pumped Storage Hydroelectricity</t>
  </si>
  <si>
    <t>Liquid Air Energy Storage</t>
  </si>
  <si>
    <t>Domestic Battery Storage</t>
  </si>
  <si>
    <t>Battery Storage</t>
  </si>
  <si>
    <t>StorageUnit</t>
  </si>
  <si>
    <t>Electricity</t>
  </si>
  <si>
    <t>Data Centre</t>
  </si>
  <si>
    <t>Load</t>
  </si>
  <si>
    <t>H2 Power Generation</t>
  </si>
  <si>
    <t>Electrolysis</t>
  </si>
  <si>
    <t>DC</t>
  </si>
  <si>
    <t>Link</t>
  </si>
  <si>
    <t>AC</t>
  </si>
  <si>
    <t>Line</t>
  </si>
  <si>
    <t>Waste to Energy</t>
  </si>
  <si>
    <t>Solar PV</t>
  </si>
  <si>
    <t>Sewage Gas</t>
  </si>
  <si>
    <t>Open Cycle Gas Turbine</t>
  </si>
  <si>
    <t>Onshore Wind</t>
  </si>
  <si>
    <t>Oil</t>
  </si>
  <si>
    <t>Offshore Wind</t>
  </si>
  <si>
    <t>Nuclear</t>
  </si>
  <si>
    <t>Marine Energy</t>
  </si>
  <si>
    <t>Load Shedding</t>
  </si>
  <si>
    <t>Large Hydro</t>
  </si>
  <si>
    <t>Landfill Gas</t>
  </si>
  <si>
    <t>Geothermal</t>
  </si>
  <si>
    <t>Gas Engine</t>
  </si>
  <si>
    <t>European Imports</t>
  </si>
  <si>
    <t>Combined Heat &amp; Power</t>
  </si>
  <si>
    <t>Combined Cycle Gas Turbine</t>
  </si>
  <si>
    <t>Biomass</t>
  </si>
  <si>
    <t>Biogas</t>
  </si>
  <si>
    <t>Advanced Biofuel</t>
  </si>
  <si>
    <t>Generator</t>
  </si>
  <si>
    <t>Market Value</t>
  </si>
  <si>
    <t>Revenue</t>
  </si>
  <si>
    <t>Operational Expenditure</t>
  </si>
  <si>
    <t>Capital Expenditure</t>
  </si>
  <si>
    <t>Curtailment</t>
  </si>
  <si>
    <t>Capacity Factor</t>
  </si>
  <si>
    <t>Transmission</t>
  </si>
  <si>
    <t>Energy Balance</t>
  </si>
  <si>
    <t>Withdrawal</t>
  </si>
  <si>
    <t>Supply</t>
  </si>
  <si>
    <t>Installed Capacity</t>
  </si>
  <si>
    <t>Optimal Capacity</t>
  </si>
  <si>
    <t>DSM</t>
  </si>
  <si>
    <t>Virtual Link</t>
  </si>
  <si>
    <t>Population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</si>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</sst>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/>
  </cellStyleXfs>
  <cellXfs count="13">
    <xf numFmtId="0" fontId="0" fillId="0" borderId="0" xfId="0"/>
    <xf numFmtId="43" fontId="1" fillId="0" borderId="0" xfId="1" applyFont="1" applyBorder="1" applyAlignment="1">
      <alignment horizontal="center" vertical="center" wrapText="1"/>
    </xf>
    <xf numFmtId="0" fontId="2" fillId="0" borderId="0" xfId="2"/>
    <xf numFmtId="43" fontId="2" fillId="0" borderId="0" xfId="2" applyNumberFormat="1"/>
    <xf numFmtId="0" fontId="3" fillId="0" borderId="0" xfId="2" applyFont="1"/>
    <xf numFmtId="43" fontId="0" fillId="0" borderId="0" xfId="3" applyFont="1"/>
    <xf numFmtId="9" fontId="2" fillId="0" borderId="0" xfId="2" applyNumberFormat="1"/>
    <xf numFmtId="0" fontId="4" fillId="0" borderId="0" xfId="2" applyFont="1"/>
    <xf numFmtId="0" fontId="6" fillId="0" borderId="0" xfId="2" applyFont="1"/>
    <xf numFmtId="10" fontId="2" fillId="0" borderId="0" xfId="2" applyNumberFormat="1"/>
    <xf numFmtId="0" fontId="5" fillId="0" borderId="0" xfId="4"/>
    <xf numFmtId="0" fontId="7" fillId="0" borderId="1" xfId="4" applyFont="1" applyBorder="1" applyAlignment="1">
      <alignment horizontal="center" vertical="top"/>
    </xf>
    <xf numFmtId="0" fontId="7" fillId="0" borderId="1" xfId="4" applyFont="1" applyBorder="1" applyAlignment="1">
      <alignment horizontal="center" vertical="top"/>
    </xf>
  </cellXfs>
  <cellStyles count="5">
    <cellStyle name="Comma" xfId="1" builtinId="3"/>
    <cellStyle name="Comma 2" xfId="3" xr:uid="{4ECBB75D-054E-8047-9F29-ED070BEE1A4F}"/>
    <cellStyle name="Normal" xfId="0" builtinId="0"/>
    <cellStyle name="Normal 2" xfId="2" xr:uid="{D95309A0-E12C-3645-8A11-EF473EFC6DF8}"/>
    <cellStyle name="Normal 3" xfId="4" xr:uid="{D5582847-43D2-AD43-8DA4-CD8D7BB307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A3D4-8BC0-0947-8077-374B2710F049}">
  <dimension ref="A1:G24"/>
  <sheetViews>
    <sheetView tabSelected="1" workbookViewId="0">
      <selection activeCell="F29" sqref="F29"/>
    </sheetView>
  </sheetViews>
  <sheetFormatPr baseColWidth="10" defaultRowHeight="16" x14ac:dyDescent="0.2"/>
  <cols>
    <col min="1" max="1" width="45.1640625" style="2" customWidth="1"/>
    <col min="2" max="2" width="17.83203125" style="2" customWidth="1"/>
    <col min="3" max="3" width="17" style="2" customWidth="1"/>
    <col min="4" max="4" width="20" style="2" customWidth="1"/>
    <col min="5" max="5" width="17.1640625" style="2" customWidth="1"/>
    <col min="6" max="6" width="16.5" style="2" customWidth="1"/>
    <col min="7" max="7" width="16.6640625" style="2" customWidth="1"/>
    <col min="8" max="16384" width="10.83203125" style="2"/>
  </cols>
  <sheetData>
    <row r="1" spans="1:7" ht="27" x14ac:dyDescent="0.35">
      <c r="A1" s="7" t="s">
        <v>0</v>
      </c>
    </row>
    <row r="3" spans="1:7" x14ac:dyDescent="0.2">
      <c r="A3" s="4" t="s">
        <v>1</v>
      </c>
      <c r="B3" s="2" t="s">
        <v>76</v>
      </c>
    </row>
    <row r="4" spans="1:7" x14ac:dyDescent="0.2">
      <c r="A4" s="4" t="s">
        <v>4</v>
      </c>
      <c r="B4" s="2">
        <v>10</v>
      </c>
      <c r="D4" s="1"/>
    </row>
    <row r="5" spans="1:7" x14ac:dyDescent="0.2">
      <c r="A5" s="4" t="s">
        <v>2</v>
      </c>
      <c r="B5" s="6">
        <v>0.1</v>
      </c>
      <c r="D5" s="1"/>
    </row>
    <row r="6" spans="1:7" x14ac:dyDescent="0.2">
      <c r="A6" s="4" t="s">
        <v>3</v>
      </c>
      <c r="B6" s="6">
        <v>0.03</v>
      </c>
      <c r="D6" s="1"/>
    </row>
    <row r="7" spans="1:7" x14ac:dyDescent="0.2">
      <c r="A7" s="4" t="s">
        <v>5</v>
      </c>
      <c r="B7" s="3">
        <f ca="1">SUMIFS(INDIRECT(B$10&amp;"!$D$2:$D$35"), INDIRECT(B$10&amp;"!$B$2:$B$35"), "Solar PV")
+SUMIFS(INDIRECT(B$10&amp;"!$D$2:$D$35"), INDIRECT(B$10&amp;"!$B$2:$B$35"), "Offshore Wind")
+SUMIFS(INDIRECT(B$10&amp;"!$D$2:$D$35"), INDIRECT(B$10&amp;"!$B$2:$B$35"), "Onshore Wind")
+SUMIFS(INDIRECT(B$10&amp;"!$D$2:$D$35"), INDIRECT(B$10&amp;"!$B$2:$B$35"), "Large Hydro")
+SUMIFS(INDIRECT(B$10&amp;"!$D$2:$D$35"), INDIRECT(B$10&amp;"!$B$2:$B$35"), "Marine Energy")</f>
        <v>123437.01899999999</v>
      </c>
      <c r="D7" s="1"/>
    </row>
    <row r="8" spans="1:7" x14ac:dyDescent="0.2">
      <c r="A8" s="4" t="s">
        <v>16</v>
      </c>
      <c r="B8" s="3">
        <f ca="1">SUMIFS(INDIRECT(B$10&amp;"!$D$2:$D$35"), INDIRECT(B$10&amp;"!$B$2:$B$35"), "Battery Storage")
+SUMIFS(INDIRECT(B$10&amp;"!$D$2:$D$35"), INDIRECT(B$10&amp;"!$B$2:$B$35"), "Domestic Battery Storage")
+SUMIFS(INDIRECT(B$10&amp;"!$D$2:$D$35"), INDIRECT(B$10&amp;"!$B$2:$B$35"), "Liquid Air Energy Storage")
+SUMIFS(INDIRECT(B$10&amp;"!$D$2:$D$35"), INDIRECT(B$10&amp;"!$B$2:$B$35"), "Pumped Storage Hydroelectricity")</f>
        <v>33087.675000000003</v>
      </c>
      <c r="D8" s="1"/>
    </row>
    <row r="10" spans="1:7" x14ac:dyDescent="0.2"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18</v>
      </c>
    </row>
    <row r="11" spans="1:7" x14ac:dyDescent="0.2">
      <c r="A11" s="4" t="s">
        <v>6</v>
      </c>
      <c r="B11" s="3">
        <f ca="1">SUMIFS(INDIRECT(B$10&amp;"!$J$2:$J$35"), INDIRECT(B$10&amp;"!$B$2:$B$35"), "Solar PV")
+SUMIFS(INDIRECT(B$10&amp;"!$J$2:$J$35"), INDIRECT(B$10&amp;"!$B$2:$B$35"), "Offshore Wind")
+SUMIFS(INDIRECT(B$10&amp;"!$J$2:$J$35"), INDIRECT(B$10&amp;"!$B$2:$B$35"), "Onshore Wind")
+SUMIFS(INDIRECT(B$10&amp;"!$J$2:$J$35"), INDIRECT(B$10&amp;"!$B$2:$B$35"), "Large Hydro")
+SUMIFS(INDIRECT(B$10&amp;"!$J$2:$J$35"), INDIRECT(B$10&amp;"!$B$2:$B$35"), "Marine Energy")</f>
        <v>10518757.297669999</v>
      </c>
      <c r="C11" s="3">
        <f t="shared" ref="C11:G11" ca="1" si="0">SUMIFS(INDIRECT(C$10&amp;"!$J$2:$J$35"), INDIRECT(C$10&amp;"!$B$2:$B$35"), "Solar PV")
+SUMIFS(INDIRECT(C$10&amp;"!$J$2:$J$35"), INDIRECT(C$10&amp;"!$B$2:$B$35"), "Offshore Wind")
+SUMIFS(INDIRECT(C$10&amp;"!$J$2:$J$35"), INDIRECT(C$10&amp;"!$B$2:$B$35"), "Onshore Wind")
+SUMIFS(INDIRECT(C$10&amp;"!$J$2:$J$35"), INDIRECT(C$10&amp;"!$B$2:$B$35"), "Large Hydro")
+SUMIFS(INDIRECT(C$10&amp;"!$J$2:$J$35"), INDIRECT(C$10&amp;"!$B$2:$B$35"), "Marine Energy")</f>
        <v>10459850.4531</v>
      </c>
      <c r="D11" s="3">
        <f t="shared" ca="1" si="0"/>
        <v>10898060.499330001</v>
      </c>
      <c r="E11" s="3">
        <f t="shared" ca="1" si="0"/>
        <v>10712070.807480002</v>
      </c>
      <c r="F11" s="3">
        <f t="shared" ca="1" si="0"/>
        <v>0</v>
      </c>
      <c r="G11" s="3">
        <f t="shared" ca="1" si="0"/>
        <v>0</v>
      </c>
    </row>
    <row r="12" spans="1:7" x14ac:dyDescent="0.2">
      <c r="A12" s="4" t="s">
        <v>7</v>
      </c>
      <c r="B12" s="3">
        <f ca="1">SUMIFS(INDIRECT(B$10&amp;"!$J$2:$J$35"), INDIRECT(B$10&amp;"!$B$2:$B$35"), "Offshore Wind")</f>
        <v>5921211.9221599996</v>
      </c>
      <c r="C12" s="3">
        <f t="shared" ref="C12:G12" ca="1" si="1">SUMIFS(INDIRECT(C$10&amp;"!$J$2:$J$35"), INDIRECT(C$10&amp;"!$B$2:$B$35"), "Offshore Wind")</f>
        <v>5669402.0026900005</v>
      </c>
      <c r="D12" s="3">
        <f t="shared" ca="1" si="1"/>
        <v>5912935.0500299996</v>
      </c>
      <c r="E12" s="3">
        <f t="shared" ca="1" si="1"/>
        <v>5873686.1049899999</v>
      </c>
      <c r="F12" s="3">
        <f t="shared" ca="1" si="1"/>
        <v>0</v>
      </c>
      <c r="G12" s="3">
        <f t="shared" ca="1" si="1"/>
        <v>0</v>
      </c>
    </row>
    <row r="13" spans="1:7" x14ac:dyDescent="0.2">
      <c r="A13" s="4" t="s">
        <v>8</v>
      </c>
      <c r="B13" s="5">
        <f ca="1">SUMIFS(INDIRECT(B$10&amp;"!$J$2:$J$35"), INDIRECT(B$10&amp;"!$B$2:$B$35"), "Onshore Wind")</f>
        <v>3100280.2651800001</v>
      </c>
      <c r="C13" s="5">
        <f t="shared" ref="C13:G13" ca="1" si="2">SUMIFS(INDIRECT(C$10&amp;"!$J$2:$J$35"), INDIRECT(C$10&amp;"!$B$2:$B$35"), "Onshore Wind")</f>
        <v>3199822.0095500001</v>
      </c>
      <c r="D13" s="5">
        <f t="shared" ca="1" si="2"/>
        <v>3317049.8511399999</v>
      </c>
      <c r="E13" s="5">
        <f t="shared" ca="1" si="2"/>
        <v>3295245.4199100002</v>
      </c>
      <c r="F13" s="5">
        <f t="shared" ca="1" si="2"/>
        <v>0</v>
      </c>
      <c r="G13" s="5">
        <f t="shared" ca="1" si="2"/>
        <v>0</v>
      </c>
    </row>
    <row r="14" spans="1:7" x14ac:dyDescent="0.2">
      <c r="A14" s="4" t="s">
        <v>9</v>
      </c>
      <c r="B14" s="5">
        <f ca="1">SUMIFS(INDIRECT(B$10&amp;"!$J$2:$J$35"), INDIRECT(B$10&amp;"!$B$2:$B$35"), "Solar PV")</f>
        <v>1184577.20518</v>
      </c>
      <c r="C14" s="5">
        <f t="shared" ref="C14:G14" ca="1" si="3">SUMIFS(INDIRECT(C$10&amp;"!$J$2:$J$35"), INDIRECT(C$10&amp;"!$B$2:$B$35"), "Solar PV")</f>
        <v>1275838.5862700001</v>
      </c>
      <c r="D14" s="5">
        <f t="shared" ca="1" si="3"/>
        <v>1323458.50398</v>
      </c>
      <c r="E14" s="5">
        <f t="shared" ca="1" si="3"/>
        <v>1206265.89937</v>
      </c>
      <c r="F14" s="5">
        <f t="shared" ca="1" si="3"/>
        <v>0</v>
      </c>
      <c r="G14" s="5">
        <f t="shared" ca="1" si="3"/>
        <v>0</v>
      </c>
    </row>
    <row r="15" spans="1:7" x14ac:dyDescent="0.2">
      <c r="A15" s="4" t="s">
        <v>17</v>
      </c>
      <c r="B15" s="3">
        <f ca="1">-SUMIFS(INDIRECT(B$10&amp;"!$M$2:$M$35"), INDIRECT(B$10&amp;"!$B$2:$B$35"), "Data Centre")</f>
        <v>44867995.566610001</v>
      </c>
      <c r="C15" s="3">
        <f t="shared" ref="C15:G15" ca="1" si="4">-SUMIFS(INDIRECT(C$10&amp;"!$M$2:$M$35"), INDIRECT(C$10&amp;"!$B$2:$B$35"), "Data Centre")</f>
        <v>44567723.140649997</v>
      </c>
      <c r="D15" s="3">
        <f t="shared" ca="1" si="4"/>
        <v>44861070.449479997</v>
      </c>
      <c r="E15" s="3">
        <f t="shared" ca="1" si="4"/>
        <v>43972049.800729997</v>
      </c>
      <c r="F15" s="3">
        <f t="shared" ca="1" si="4"/>
        <v>0</v>
      </c>
      <c r="G15" s="3">
        <f t="shared" ca="1" si="4"/>
        <v>0</v>
      </c>
    </row>
    <row r="16" spans="1:7" x14ac:dyDescent="0.2">
      <c r="A16" s="4" t="s">
        <v>10</v>
      </c>
      <c r="B16" s="3">
        <v>107961707.840532</v>
      </c>
      <c r="C16" s="3">
        <v>106778171.802992</v>
      </c>
      <c r="D16" s="3">
        <v>107960173.150599</v>
      </c>
      <c r="E16" s="3">
        <v>104031558.274214</v>
      </c>
      <c r="F16" s="3" t="s">
        <v>77</v>
      </c>
      <c r="G16" s="3" t="s">
        <v>77</v>
      </c>
    </row>
    <row r="17" spans="1:7" x14ac:dyDescent="0.2">
      <c r="A17" s="4"/>
      <c r="B17" s="3"/>
      <c r="C17" s="3"/>
      <c r="D17" s="3"/>
      <c r="E17" s="3"/>
      <c r="F17" s="3"/>
      <c r="G17" s="3"/>
    </row>
    <row r="18" spans="1:7" x14ac:dyDescent="0.2">
      <c r="A18" s="8" t="s">
        <v>21</v>
      </c>
      <c r="C18" s="9">
        <f ca="1">1-C$11/$B$11</f>
        <v>5.600171474918203E-3</v>
      </c>
      <c r="D18" s="9">
        <f t="shared" ref="D18:G18" ca="1" si="5">1-D$11/$B$11</f>
        <v>-3.6059697065548013E-2</v>
      </c>
      <c r="E18" s="9">
        <f t="shared" ca="1" si="5"/>
        <v>-1.8377979863916316E-2</v>
      </c>
      <c r="F18" s="9">
        <f t="shared" ca="1" si="5"/>
        <v>1</v>
      </c>
      <c r="G18" s="9">
        <f t="shared" ca="1" si="5"/>
        <v>1</v>
      </c>
    </row>
    <row r="19" spans="1:7" x14ac:dyDescent="0.2">
      <c r="A19" s="8" t="s">
        <v>22</v>
      </c>
      <c r="C19" s="9">
        <f ca="1">1-C$12/$B$12</f>
        <v>4.2526753438363873E-2</v>
      </c>
      <c r="D19" s="9">
        <f t="shared" ref="D19:G19" ca="1" si="6">1-D$12/$B$12</f>
        <v>1.3978341324052401E-3</v>
      </c>
      <c r="E19" s="9">
        <f t="shared" ca="1" si="6"/>
        <v>8.0263665267806816E-3</v>
      </c>
      <c r="F19" s="9">
        <f t="shared" ca="1" si="6"/>
        <v>1</v>
      </c>
      <c r="G19" s="9">
        <f t="shared" ca="1" si="6"/>
        <v>1</v>
      </c>
    </row>
    <row r="20" spans="1:7" x14ac:dyDescent="0.2">
      <c r="A20" s="8" t="s">
        <v>23</v>
      </c>
      <c r="C20" s="9">
        <f ca="1">1-C$13/$B$13</f>
        <v>-3.2107337355263388E-2</v>
      </c>
      <c r="D20" s="9">
        <f t="shared" ref="D20:G20" ca="1" si="7">1-D$13/$B$13</f>
        <v>-6.9919351613011216E-2</v>
      </c>
      <c r="E20" s="9">
        <f t="shared" ca="1" si="7"/>
        <v>-6.2886299964458381E-2</v>
      </c>
      <c r="F20" s="9">
        <f t="shared" ca="1" si="7"/>
        <v>1</v>
      </c>
      <c r="G20" s="9">
        <f t="shared" ca="1" si="7"/>
        <v>1</v>
      </c>
    </row>
    <row r="21" spans="1:7" x14ac:dyDescent="0.2">
      <c r="A21" s="8" t="s">
        <v>24</v>
      </c>
      <c r="C21" s="9">
        <f ca="1">1-C$14/$B$14</f>
        <v>-7.704131118759161E-2</v>
      </c>
      <c r="D21" s="9">
        <f t="shared" ref="D21:G21" ca="1" si="8">1-D$14/$B$14</f>
        <v>-0.11724123863998925</v>
      </c>
      <c r="E21" s="9">
        <f t="shared" ca="1" si="8"/>
        <v>-1.8309228047912907E-2</v>
      </c>
      <c r="F21" s="9">
        <f t="shared" ca="1" si="8"/>
        <v>1</v>
      </c>
      <c r="G21" s="9">
        <f t="shared" ca="1" si="8"/>
        <v>1</v>
      </c>
    </row>
    <row r="22" spans="1:7" x14ac:dyDescent="0.2">
      <c r="A22" s="8" t="s">
        <v>20</v>
      </c>
      <c r="C22" s="9">
        <f ca="1">1-C$15/$B$15</f>
        <v>6.6923521358164262E-3</v>
      </c>
      <c r="D22" s="9">
        <f t="shared" ref="D22:G22" ca="1" si="9">1-D$15/$B$15</f>
        <v>1.5434425011751074E-4</v>
      </c>
      <c r="E22" s="9">
        <f t="shared" ca="1" si="9"/>
        <v>1.9968482089865236E-2</v>
      </c>
      <c r="F22" s="9">
        <f t="shared" ca="1" si="9"/>
        <v>1</v>
      </c>
      <c r="G22" s="9">
        <f t="shared" ca="1" si="9"/>
        <v>1</v>
      </c>
    </row>
    <row r="23" spans="1:7" x14ac:dyDescent="0.2">
      <c r="A23" s="8" t="s">
        <v>19</v>
      </c>
      <c r="C23" s="9">
        <f>1-C$16/$B$16</f>
        <v>1.0962553864821922E-2</v>
      </c>
      <c r="D23" s="9">
        <f t="shared" ref="D23:G23" si="10">1-D$16/$B$16</f>
        <v>1.4215132047246115E-5</v>
      </c>
      <c r="E23" s="9">
        <f t="shared" si="10"/>
        <v>3.6403180765935517E-2</v>
      </c>
      <c r="F23" s="9" t="e">
        <f t="shared" si="10"/>
        <v>#VALUE!</v>
      </c>
      <c r="G23" s="9" t="e">
        <f t="shared" si="10"/>
        <v>#VALUE!</v>
      </c>
    </row>
    <row r="24" spans="1:7" x14ac:dyDescent="0.2">
      <c r="A24" s="8"/>
    </row>
  </sheetData>
  <conditionalFormatting sqref="B11:G1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G1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G1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G1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G1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:G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6:G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7D60A-77B0-7C4A-941E-35CC21B195F2}">
  <dimension ref="A1:N32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  <c r="N1" s="11" t="s">
        <v>62</v>
      </c>
    </row>
    <row r="2" spans="1:14" x14ac:dyDescent="0.2">
      <c r="A2" s="12" t="s">
        <v>61</v>
      </c>
      <c r="B2" s="11" t="s">
        <v>60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2"/>
      <c r="B3" s="11" t="s">
        <v>59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2"/>
      <c r="B4" s="11" t="s">
        <v>58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2"/>
      <c r="B5" s="11" t="s">
        <v>57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2"/>
      <c r="B6" s="11" t="s">
        <v>56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2"/>
      <c r="B7" s="11" t="s">
        <v>55</v>
      </c>
      <c r="C7" s="10">
        <v>13695</v>
      </c>
      <c r="D7" s="10">
        <v>13695</v>
      </c>
      <c r="E7" s="10">
        <v>4604267.7955799997</v>
      </c>
      <c r="F7" s="10">
        <v>0</v>
      </c>
      <c r="G7" s="10">
        <v>4604267.7955799997</v>
      </c>
      <c r="H7" s="10">
        <v>0</v>
      </c>
      <c r="I7" s="10">
        <v>0.1538675706462212</v>
      </c>
      <c r="J7" s="10">
        <v>25319307.20442</v>
      </c>
      <c r="K7" s="10">
        <v>0</v>
      </c>
      <c r="L7" s="10">
        <v>60088239.498450004</v>
      </c>
      <c r="M7" s="10">
        <v>60088239.498450004</v>
      </c>
      <c r="N7" s="10">
        <v>13.05055271068081</v>
      </c>
    </row>
    <row r="8" spans="1:14" x14ac:dyDescent="0.2">
      <c r="A8" s="12"/>
      <c r="B8" s="11" t="s">
        <v>54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2"/>
      <c r="B9" s="11" t="s">
        <v>53</v>
      </c>
      <c r="C9" s="10">
        <v>11</v>
      </c>
      <c r="D9" s="10">
        <v>11</v>
      </c>
      <c r="E9" s="10">
        <v>5635.8220000000001</v>
      </c>
      <c r="F9" s="10">
        <v>0</v>
      </c>
      <c r="G9" s="10">
        <v>5635.8220000000001</v>
      </c>
      <c r="H9" s="10">
        <v>0</v>
      </c>
      <c r="I9" s="10">
        <v>0.23448363636363639</v>
      </c>
      <c r="J9" s="10">
        <v>18399.178</v>
      </c>
      <c r="K9" s="10">
        <v>0</v>
      </c>
      <c r="L9" s="10">
        <v>70222.342120000001</v>
      </c>
      <c r="M9" s="10">
        <v>129814.01850000001</v>
      </c>
      <c r="N9" s="10">
        <v>23.033764713180219</v>
      </c>
    </row>
    <row r="10" spans="1:14" x14ac:dyDescent="0.2">
      <c r="A10" s="12"/>
      <c r="B10" s="11" t="s">
        <v>52</v>
      </c>
      <c r="C10" s="10">
        <v>834.51107000000002</v>
      </c>
      <c r="D10" s="10">
        <v>834.51107000000002</v>
      </c>
      <c r="E10" s="10">
        <v>13201.84275</v>
      </c>
      <c r="F10" s="10">
        <v>0</v>
      </c>
      <c r="G10" s="10">
        <v>13201.84275</v>
      </c>
      <c r="H10" s="10">
        <v>0</v>
      </c>
      <c r="I10" s="10">
        <v>7.2402035361855636E-3</v>
      </c>
      <c r="J10" s="10">
        <v>1810204.8368800001</v>
      </c>
      <c r="K10" s="10">
        <v>0</v>
      </c>
      <c r="L10" s="10">
        <v>712899.50870000001</v>
      </c>
      <c r="M10" s="10">
        <v>786891.16480000003</v>
      </c>
      <c r="N10" s="10">
        <v>59.604679222049548</v>
      </c>
    </row>
    <row r="11" spans="1:14" x14ac:dyDescent="0.2">
      <c r="A11" s="12"/>
      <c r="B11" s="11" t="s">
        <v>51</v>
      </c>
      <c r="C11" s="10">
        <v>1897.296</v>
      </c>
      <c r="D11" s="10">
        <v>1897.296</v>
      </c>
      <c r="E11" s="10">
        <v>1378993.1879499999</v>
      </c>
      <c r="F11" s="10">
        <v>0</v>
      </c>
      <c r="G11" s="10">
        <v>1378993.1879499999</v>
      </c>
      <c r="H11" s="10">
        <v>0</v>
      </c>
      <c r="I11" s="10">
        <v>0.33264085308776281</v>
      </c>
      <c r="J11" s="10">
        <v>279243.51604999998</v>
      </c>
      <c r="K11" s="10">
        <v>0</v>
      </c>
      <c r="L11" s="10">
        <v>0</v>
      </c>
      <c r="M11" s="10">
        <v>10172452.257759999</v>
      </c>
      <c r="N11" s="10">
        <v>7.3767241303910511</v>
      </c>
    </row>
    <row r="12" spans="1:14" x14ac:dyDescent="0.2">
      <c r="A12" s="12"/>
      <c r="B12" s="11" t="s">
        <v>50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2"/>
      <c r="B13" s="11" t="s">
        <v>49</v>
      </c>
      <c r="C13" s="10">
        <v>254.358</v>
      </c>
      <c r="D13" s="10">
        <v>254.358</v>
      </c>
      <c r="E13" s="10">
        <v>240325.16170999999</v>
      </c>
      <c r="F13" s="10">
        <v>0</v>
      </c>
      <c r="G13" s="10">
        <v>240325.16170999999</v>
      </c>
      <c r="H13" s="10">
        <v>0</v>
      </c>
      <c r="I13" s="10">
        <v>0.43241663324919988</v>
      </c>
      <c r="J13" s="10">
        <v>33444.3891</v>
      </c>
      <c r="K13" s="10">
        <v>0</v>
      </c>
      <c r="L13" s="10">
        <v>0</v>
      </c>
      <c r="M13" s="10">
        <v>2277334.7400600002</v>
      </c>
      <c r="N13" s="10">
        <v>9.4760563887376357</v>
      </c>
    </row>
    <row r="14" spans="1:14" x14ac:dyDescent="0.2">
      <c r="A14" s="12"/>
      <c r="B14" s="11" t="s">
        <v>48</v>
      </c>
      <c r="C14" s="10">
        <v>4570</v>
      </c>
      <c r="D14" s="10">
        <v>4570</v>
      </c>
      <c r="E14" s="10">
        <v>4670544.87861</v>
      </c>
      <c r="F14" s="10">
        <v>0</v>
      </c>
      <c r="G14" s="10">
        <v>4670544.87861</v>
      </c>
      <c r="H14" s="10">
        <v>0</v>
      </c>
      <c r="I14" s="10">
        <v>0.46773504157549228</v>
      </c>
      <c r="J14" s="10">
        <v>5314905.12139</v>
      </c>
      <c r="K14" s="10">
        <v>0</v>
      </c>
      <c r="L14" s="10">
        <v>46705448.786069997</v>
      </c>
      <c r="M14" s="10">
        <v>87127567.950709999</v>
      </c>
      <c r="N14" s="10">
        <v>18.654690268313551</v>
      </c>
    </row>
    <row r="15" spans="1:14" x14ac:dyDescent="0.2">
      <c r="A15" s="12"/>
      <c r="B15" s="11" t="s">
        <v>47</v>
      </c>
      <c r="C15" s="10">
        <v>53544.201999999997</v>
      </c>
      <c r="D15" s="10">
        <v>53544.201999999997</v>
      </c>
      <c r="E15" s="10">
        <v>26193634.187399998</v>
      </c>
      <c r="F15" s="10">
        <v>0</v>
      </c>
      <c r="G15" s="10">
        <v>26193634.187399998</v>
      </c>
      <c r="H15" s="10">
        <v>0</v>
      </c>
      <c r="I15" s="10">
        <v>0.22388854109731621</v>
      </c>
      <c r="J15" s="10">
        <v>5921211.9221599996</v>
      </c>
      <c r="K15" s="10">
        <v>0</v>
      </c>
      <c r="L15" s="10">
        <v>0</v>
      </c>
      <c r="M15" s="10">
        <v>120118460.83393</v>
      </c>
      <c r="N15" s="10">
        <v>4.5857882849226108</v>
      </c>
    </row>
    <row r="16" spans="1:14" x14ac:dyDescent="0.2">
      <c r="A16" s="12"/>
      <c r="B16" s="11" t="s">
        <v>46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2"/>
      <c r="B17" s="11" t="s">
        <v>45</v>
      </c>
      <c r="C17" s="10">
        <v>27270.741000000002</v>
      </c>
      <c r="D17" s="10">
        <v>27270.741000000002</v>
      </c>
      <c r="E17" s="10">
        <v>11234854.09124</v>
      </c>
      <c r="F17" s="10">
        <v>0</v>
      </c>
      <c r="G17" s="10">
        <v>11234854.09124</v>
      </c>
      <c r="H17" s="10">
        <v>0</v>
      </c>
      <c r="I17" s="10">
        <v>0.1885467523599744</v>
      </c>
      <c r="J17" s="10">
        <v>3100280.2651800001</v>
      </c>
      <c r="K17" s="10">
        <v>0</v>
      </c>
      <c r="L17" s="10">
        <v>0</v>
      </c>
      <c r="M17" s="10">
        <v>48585174.796630003</v>
      </c>
      <c r="N17" s="10">
        <v>4.3245042997653558</v>
      </c>
    </row>
    <row r="18" spans="1:14" x14ac:dyDescent="0.2">
      <c r="A18" s="12"/>
      <c r="B18" s="11" t="s">
        <v>44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2"/>
      <c r="B19" s="11" t="s">
        <v>43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2"/>
      <c r="B20" s="11" t="s">
        <v>42</v>
      </c>
      <c r="C20" s="10">
        <v>40470.421999999999</v>
      </c>
      <c r="D20" s="10">
        <v>40470.421999999999</v>
      </c>
      <c r="E20" s="10">
        <v>13380964.254039999</v>
      </c>
      <c r="F20" s="10">
        <v>0</v>
      </c>
      <c r="G20" s="10">
        <v>13380964.254039999</v>
      </c>
      <c r="H20" s="10">
        <v>0</v>
      </c>
      <c r="I20" s="10">
        <v>0.15132066327353841</v>
      </c>
      <c r="J20" s="10">
        <v>1184577.20518</v>
      </c>
      <c r="K20" s="10">
        <v>0</v>
      </c>
      <c r="L20" s="10">
        <v>0</v>
      </c>
      <c r="M20" s="10">
        <v>106490575.08693001</v>
      </c>
      <c r="N20" s="10">
        <v>7.9583633184466311</v>
      </c>
    </row>
    <row r="21" spans="1:14" x14ac:dyDescent="0.2">
      <c r="A21" s="12"/>
      <c r="B21" s="11" t="s">
        <v>41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40</v>
      </c>
      <c r="B22" s="11" t="s">
        <v>39</v>
      </c>
      <c r="C22" s="10">
        <v>230800</v>
      </c>
      <c r="D22" s="10">
        <v>230800</v>
      </c>
      <c r="E22" s="10">
        <v>34611851.615139998</v>
      </c>
      <c r="F22" s="10">
        <v>23494148.448800001</v>
      </c>
      <c r="G22" s="10">
        <v>11117703.166340001</v>
      </c>
      <c r="H22" s="10">
        <v>-11117703.166340001</v>
      </c>
      <c r="I22" s="10">
        <v>0.1152215556325823</v>
      </c>
      <c r="J22" s="10">
        <v>0</v>
      </c>
      <c r="K22" s="10">
        <v>0</v>
      </c>
      <c r="L22" s="10">
        <v>0</v>
      </c>
      <c r="M22" s="10">
        <v>153730342.31905001</v>
      </c>
      <c r="N22" s="10">
        <v>2.6456879177341248</v>
      </c>
    </row>
    <row r="23" spans="1:14" x14ac:dyDescent="0.2">
      <c r="A23" s="12" t="s">
        <v>38</v>
      </c>
      <c r="B23" s="11" t="s">
        <v>37</v>
      </c>
      <c r="C23" s="10">
        <v>12450</v>
      </c>
      <c r="D23" s="10">
        <v>12450</v>
      </c>
      <c r="E23" s="10">
        <v>10257171.09079</v>
      </c>
      <c r="F23" s="10">
        <v>5534845.1466100002</v>
      </c>
      <c r="G23" s="10">
        <v>4722325.9441799996</v>
      </c>
      <c r="H23" s="10">
        <v>-4722325.9441799996</v>
      </c>
      <c r="I23" s="10">
        <v>0.58051946907630525</v>
      </c>
      <c r="J23" s="10">
        <v>31925575.944180001</v>
      </c>
      <c r="K23" s="10">
        <v>0</v>
      </c>
      <c r="L23" s="10">
        <v>0</v>
      </c>
      <c r="M23" s="10">
        <v>103894310.00414</v>
      </c>
      <c r="N23" s="10">
        <v>6.5789135715491627</v>
      </c>
    </row>
    <row r="24" spans="1:14" x14ac:dyDescent="0.2">
      <c r="A24" s="12"/>
      <c r="B24" s="11" t="s">
        <v>36</v>
      </c>
      <c r="C24" s="10">
        <v>3653.0947500000002</v>
      </c>
      <c r="D24" s="10">
        <v>3653.0947500000002</v>
      </c>
      <c r="E24" s="10">
        <v>0</v>
      </c>
      <c r="F24" s="10">
        <v>120524.8161</v>
      </c>
      <c r="G24" s="10">
        <v>-120524.8161</v>
      </c>
      <c r="H24" s="10">
        <v>0</v>
      </c>
      <c r="I24" s="10">
        <v>1.5099553604515731E-2</v>
      </c>
      <c r="J24" s="10">
        <v>7861487.2225299999</v>
      </c>
      <c r="K24" s="10">
        <v>0</v>
      </c>
      <c r="L24" s="10">
        <v>0</v>
      </c>
      <c r="M24" s="10">
        <v>0</v>
      </c>
    </row>
    <row r="25" spans="1:14" x14ac:dyDescent="0.2">
      <c r="A25" s="12"/>
      <c r="B25" s="11" t="s">
        <v>35</v>
      </c>
      <c r="C25" s="10">
        <v>278.38099999999997</v>
      </c>
      <c r="D25" s="10">
        <v>278.38099999999997</v>
      </c>
      <c r="E25" s="10">
        <v>0</v>
      </c>
      <c r="F25" s="10">
        <v>76979.541029999993</v>
      </c>
      <c r="G25" s="10">
        <v>-76979.541029999993</v>
      </c>
      <c r="H25" s="10">
        <v>0</v>
      </c>
      <c r="I25" s="10">
        <v>0.12655644602181901</v>
      </c>
      <c r="J25" s="10">
        <v>531282.94397000002</v>
      </c>
      <c r="K25" s="10">
        <v>0</v>
      </c>
      <c r="L25" s="10">
        <v>384897.70516999997</v>
      </c>
      <c r="M25" s="10">
        <v>0</v>
      </c>
    </row>
    <row r="26" spans="1:14" x14ac:dyDescent="0.2">
      <c r="A26" s="12" t="s">
        <v>34</v>
      </c>
      <c r="B26" s="11" t="s">
        <v>33</v>
      </c>
      <c r="C26" s="10">
        <v>0</v>
      </c>
      <c r="D26" s="10">
        <v>0</v>
      </c>
      <c r="E26" s="10">
        <v>0</v>
      </c>
      <c r="F26" s="10">
        <v>4693920.3252499998</v>
      </c>
      <c r="G26" s="10">
        <v>-4693920.3252499998</v>
      </c>
      <c r="H26" s="10">
        <v>0</v>
      </c>
      <c r="J26" s="10">
        <v>0</v>
      </c>
      <c r="K26" s="10">
        <v>0</v>
      </c>
      <c r="L26" s="10">
        <v>0</v>
      </c>
      <c r="M26" s="10">
        <v>-44867995.566610001</v>
      </c>
      <c r="N26" s="10">
        <v>-9.5587467260345065</v>
      </c>
    </row>
    <row r="27" spans="1:14" x14ac:dyDescent="0.2">
      <c r="A27" s="12"/>
      <c r="B27" s="11" t="s">
        <v>32</v>
      </c>
      <c r="C27" s="10">
        <v>0</v>
      </c>
      <c r="D27" s="10">
        <v>0</v>
      </c>
      <c r="E27" s="10">
        <v>0</v>
      </c>
      <c r="F27" s="10">
        <v>52178335.791649997</v>
      </c>
      <c r="G27" s="10">
        <v>-52178335.791649997</v>
      </c>
      <c r="H27" s="10">
        <v>0</v>
      </c>
      <c r="J27" s="10">
        <v>0</v>
      </c>
      <c r="K27" s="10">
        <v>0</v>
      </c>
      <c r="L27" s="10">
        <v>0</v>
      </c>
      <c r="M27" s="10">
        <v>-485058822.96732998</v>
      </c>
      <c r="N27" s="10">
        <v>-9.2961727443668902</v>
      </c>
    </row>
    <row r="28" spans="1:14" x14ac:dyDescent="0.2">
      <c r="A28" s="12" t="s">
        <v>31</v>
      </c>
      <c r="B28" s="11" t="s">
        <v>30</v>
      </c>
      <c r="C28" s="10">
        <v>26471.973000000002</v>
      </c>
      <c r="D28" s="10">
        <v>26471.973000000002</v>
      </c>
      <c r="E28" s="10">
        <v>2789354.9577799998</v>
      </c>
      <c r="F28" s="10">
        <v>5957108.8775599999</v>
      </c>
      <c r="G28" s="10">
        <v>-3167753.9197800001</v>
      </c>
      <c r="H28" s="10">
        <v>0</v>
      </c>
      <c r="I28" s="10">
        <v>0.15121495779706329</v>
      </c>
      <c r="J28" s="10">
        <v>61009014.924779996</v>
      </c>
      <c r="K28" s="10">
        <v>0</v>
      </c>
      <c r="L28" s="10">
        <v>0</v>
      </c>
      <c r="M28" s="10">
        <v>20061986.806529999</v>
      </c>
      <c r="N28" s="10">
        <v>2.293725461960098</v>
      </c>
    </row>
    <row r="29" spans="1:14" x14ac:dyDescent="0.2">
      <c r="A29" s="12"/>
      <c r="B29" s="11" t="s">
        <v>29</v>
      </c>
      <c r="C29" s="10">
        <v>857.70799999999997</v>
      </c>
      <c r="D29" s="10">
        <v>857.70799999999997</v>
      </c>
      <c r="E29" s="10">
        <v>145157.49414</v>
      </c>
      <c r="F29" s="10">
        <v>268579.85115</v>
      </c>
      <c r="G29" s="10">
        <v>-123422.35701000001</v>
      </c>
      <c r="H29" s="10">
        <v>0</v>
      </c>
      <c r="I29" s="10">
        <v>0.22076683440051861</v>
      </c>
      <c r="J29" s="10">
        <v>1997514.3370099999</v>
      </c>
      <c r="K29" s="10">
        <v>0</v>
      </c>
      <c r="L29" s="10">
        <v>0</v>
      </c>
      <c r="M29" s="10">
        <v>661370.68203000003</v>
      </c>
      <c r="N29" s="10">
        <v>1.598527843269635</v>
      </c>
    </row>
    <row r="30" spans="1:14" x14ac:dyDescent="0.2">
      <c r="A30" s="12"/>
      <c r="B30" s="11" t="s">
        <v>28</v>
      </c>
      <c r="C30" s="10">
        <v>457.99400000000003</v>
      </c>
      <c r="D30" s="10">
        <v>457.99400000000003</v>
      </c>
      <c r="E30" s="10">
        <v>30353.285599999999</v>
      </c>
      <c r="F30" s="10">
        <v>235807.40846000001</v>
      </c>
      <c r="G30" s="10">
        <v>-205454.12286</v>
      </c>
      <c r="H30" s="10">
        <v>0</v>
      </c>
      <c r="I30" s="10">
        <v>0.26597001270759002</v>
      </c>
      <c r="J30" s="10">
        <v>1206171.0128599999</v>
      </c>
      <c r="K30" s="10">
        <v>0</v>
      </c>
      <c r="L30" s="10">
        <v>0</v>
      </c>
      <c r="M30" s="10">
        <v>664144.06697000004</v>
      </c>
      <c r="N30" s="10">
        <v>2.4952748347113651</v>
      </c>
    </row>
    <row r="31" spans="1:14" x14ac:dyDescent="0.2">
      <c r="A31" s="12"/>
      <c r="B31" s="11" t="s">
        <v>27</v>
      </c>
      <c r="C31" s="10">
        <v>5300</v>
      </c>
      <c r="D31" s="10">
        <v>5300</v>
      </c>
      <c r="E31" s="10">
        <v>848198.62251999998</v>
      </c>
      <c r="F31" s="10">
        <v>2237756.43029</v>
      </c>
      <c r="G31" s="10">
        <v>-1389557.80776</v>
      </c>
      <c r="H31" s="10">
        <v>0</v>
      </c>
      <c r="I31" s="10">
        <v>0.26647856792452829</v>
      </c>
      <c r="J31" s="10">
        <v>12970057.80776</v>
      </c>
      <c r="K31" s="10">
        <v>0</v>
      </c>
      <c r="L31" s="10">
        <v>0</v>
      </c>
      <c r="M31" s="10">
        <v>11836150.038690001</v>
      </c>
      <c r="N31" s="10">
        <v>3.8354900940350332</v>
      </c>
    </row>
    <row r="32" spans="1:14" x14ac:dyDescent="0.2">
      <c r="A32" s="11" t="s">
        <v>26</v>
      </c>
      <c r="B32" s="11" t="s">
        <v>25</v>
      </c>
      <c r="C32" s="10">
        <v>46768.008000000002</v>
      </c>
      <c r="D32" s="10">
        <v>46768.008000000002</v>
      </c>
      <c r="E32" s="10">
        <v>74959.810039999997</v>
      </c>
      <c r="F32" s="10">
        <v>82347.640280000007</v>
      </c>
      <c r="G32" s="10">
        <v>-7387.8302400000002</v>
      </c>
      <c r="H32" s="10">
        <v>0</v>
      </c>
      <c r="I32" s="10">
        <v>0.72296386966064496</v>
      </c>
      <c r="J32" s="10">
        <v>0</v>
      </c>
      <c r="K32" s="10">
        <v>0</v>
      </c>
      <c r="L32" s="10">
        <v>0</v>
      </c>
      <c r="M32" s="10">
        <v>0</v>
      </c>
    </row>
  </sheetData>
  <mergeCells count="4">
    <mergeCell ref="A2:A21"/>
    <mergeCell ref="A26:A27"/>
    <mergeCell ref="A23:A25"/>
    <mergeCell ref="A28:A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E6B58-7F69-B649-978F-815A02F61757}">
  <dimension ref="A1:N34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  <c r="N1" s="11" t="s">
        <v>62</v>
      </c>
    </row>
    <row r="2" spans="1:14" x14ac:dyDescent="0.2">
      <c r="A2" s="12" t="s">
        <v>61</v>
      </c>
      <c r="B2" s="11" t="s">
        <v>60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2"/>
      <c r="B3" s="11" t="s">
        <v>59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2"/>
      <c r="B4" s="11" t="s">
        <v>58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2"/>
      <c r="B5" s="11" t="s">
        <v>57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2"/>
      <c r="B6" s="11" t="s">
        <v>56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2"/>
      <c r="B7" s="11" t="s">
        <v>55</v>
      </c>
      <c r="C7" s="10">
        <v>13695</v>
      </c>
      <c r="D7" s="10">
        <v>13695</v>
      </c>
      <c r="E7" s="10">
        <v>4560961.6874399995</v>
      </c>
      <c r="F7" s="10">
        <v>0</v>
      </c>
      <c r="G7" s="10">
        <v>4560961.6874399995</v>
      </c>
      <c r="H7" s="10">
        <v>0</v>
      </c>
      <c r="I7" s="10">
        <v>0.15242034684191311</v>
      </c>
      <c r="J7" s="10">
        <v>25362613.31256</v>
      </c>
      <c r="K7" s="10">
        <v>0</v>
      </c>
      <c r="L7" s="10">
        <v>58915453.720830001</v>
      </c>
      <c r="M7" s="10">
        <v>58915453.720830001</v>
      </c>
      <c r="N7" s="10">
        <v>12.917331442493211</v>
      </c>
    </row>
    <row r="8" spans="1:14" x14ac:dyDescent="0.2">
      <c r="A8" s="12"/>
      <c r="B8" s="11" t="s">
        <v>54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2"/>
      <c r="B9" s="11" t="s">
        <v>53</v>
      </c>
      <c r="C9" s="10">
        <v>11</v>
      </c>
      <c r="D9" s="10">
        <v>11</v>
      </c>
      <c r="E9" s="10">
        <v>5646.8220000000001</v>
      </c>
      <c r="F9" s="10">
        <v>0</v>
      </c>
      <c r="G9" s="10">
        <v>5646.8220000000001</v>
      </c>
      <c r="H9" s="10">
        <v>0</v>
      </c>
      <c r="I9" s="10">
        <v>0.2349418181818182</v>
      </c>
      <c r="J9" s="10">
        <v>18388.178</v>
      </c>
      <c r="K9" s="10">
        <v>0</v>
      </c>
      <c r="L9" s="10">
        <v>70359.402119999999</v>
      </c>
      <c r="M9" s="10">
        <v>129208.75777</v>
      </c>
      <c r="N9" s="10">
        <v>22.88165735423857</v>
      </c>
    </row>
    <row r="10" spans="1:14" x14ac:dyDescent="0.2">
      <c r="A10" s="12"/>
      <c r="B10" s="11" t="s">
        <v>52</v>
      </c>
      <c r="C10" s="10">
        <v>834.51107000000002</v>
      </c>
      <c r="D10" s="10">
        <v>834.51107000000002</v>
      </c>
      <c r="E10" s="10">
        <v>13199.61887</v>
      </c>
      <c r="F10" s="10">
        <v>0</v>
      </c>
      <c r="G10" s="10">
        <v>13199.61887</v>
      </c>
      <c r="H10" s="10">
        <v>0</v>
      </c>
      <c r="I10" s="10">
        <v>7.238993246668375E-3</v>
      </c>
      <c r="J10" s="10">
        <v>1810207.06076</v>
      </c>
      <c r="K10" s="10">
        <v>0</v>
      </c>
      <c r="L10" s="10">
        <v>712779.41917000001</v>
      </c>
      <c r="M10" s="10">
        <v>778614.28965000005</v>
      </c>
      <c r="N10" s="10">
        <v>58.987589844099183</v>
      </c>
    </row>
    <row r="11" spans="1:14" x14ac:dyDescent="0.2">
      <c r="A11" s="12"/>
      <c r="B11" s="11" t="s">
        <v>51</v>
      </c>
      <c r="C11" s="10">
        <v>1897.296</v>
      </c>
      <c r="D11" s="10">
        <v>1897.296</v>
      </c>
      <c r="E11" s="10">
        <v>1377409.9173600001</v>
      </c>
      <c r="F11" s="10">
        <v>0</v>
      </c>
      <c r="G11" s="10">
        <v>1377409.9173600001</v>
      </c>
      <c r="H11" s="10">
        <v>0</v>
      </c>
      <c r="I11" s="10">
        <v>0.33225893587505578</v>
      </c>
      <c r="J11" s="10">
        <v>280826.78664000001</v>
      </c>
      <c r="K11" s="10">
        <v>0</v>
      </c>
      <c r="L11" s="10">
        <v>0</v>
      </c>
      <c r="M11" s="10">
        <v>10130183.86101</v>
      </c>
      <c r="N11" s="10">
        <v>7.3545164762551893</v>
      </c>
    </row>
    <row r="12" spans="1:14" x14ac:dyDescent="0.2">
      <c r="A12" s="12"/>
      <c r="B12" s="11" t="s">
        <v>50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2"/>
      <c r="B13" s="11" t="s">
        <v>49</v>
      </c>
      <c r="C13" s="10">
        <v>254.358</v>
      </c>
      <c r="D13" s="10">
        <v>254.358</v>
      </c>
      <c r="E13" s="10">
        <v>239808.48285999999</v>
      </c>
      <c r="F13" s="10">
        <v>0</v>
      </c>
      <c r="G13" s="10">
        <v>239808.48285999999</v>
      </c>
      <c r="H13" s="10">
        <v>0</v>
      </c>
      <c r="I13" s="10">
        <v>0.43148699863971263</v>
      </c>
      <c r="J13" s="10">
        <v>33961.067949999997</v>
      </c>
      <c r="K13" s="10">
        <v>0</v>
      </c>
      <c r="L13" s="10">
        <v>0</v>
      </c>
      <c r="M13" s="10">
        <v>2264489.4590599998</v>
      </c>
      <c r="N13" s="10">
        <v>9.4429077803199686</v>
      </c>
    </row>
    <row r="14" spans="1:14" x14ac:dyDescent="0.2">
      <c r="A14" s="12"/>
      <c r="B14" s="11" t="s">
        <v>48</v>
      </c>
      <c r="C14" s="10">
        <v>4570</v>
      </c>
      <c r="D14" s="10">
        <v>4570</v>
      </c>
      <c r="E14" s="10">
        <v>4669512.8602999998</v>
      </c>
      <c r="F14" s="10">
        <v>0</v>
      </c>
      <c r="G14" s="10">
        <v>4669512.8602999998</v>
      </c>
      <c r="H14" s="10">
        <v>0</v>
      </c>
      <c r="I14" s="10">
        <v>0.46763168927789939</v>
      </c>
      <c r="J14" s="10">
        <v>5315937.1397000002</v>
      </c>
      <c r="K14" s="10">
        <v>0</v>
      </c>
      <c r="L14" s="10">
        <v>46695128.603040002</v>
      </c>
      <c r="M14" s="10">
        <v>86509176.805580005</v>
      </c>
      <c r="N14" s="10">
        <v>18.526381564514839</v>
      </c>
    </row>
    <row r="15" spans="1:14" x14ac:dyDescent="0.2">
      <c r="A15" s="12"/>
      <c r="B15" s="11" t="s">
        <v>47</v>
      </c>
      <c r="C15" s="10">
        <v>53544.201999999997</v>
      </c>
      <c r="D15" s="10">
        <v>53544.201999999997</v>
      </c>
      <c r="E15" s="10">
        <v>26445444.106880002</v>
      </c>
      <c r="F15" s="10">
        <v>0</v>
      </c>
      <c r="G15" s="10">
        <v>26445444.106880002</v>
      </c>
      <c r="H15" s="10">
        <v>0</v>
      </c>
      <c r="I15" s="10">
        <v>0.22604087142805859</v>
      </c>
      <c r="J15" s="10">
        <v>5669402.0026900005</v>
      </c>
      <c r="K15" s="10">
        <v>0</v>
      </c>
      <c r="L15" s="10">
        <v>0</v>
      </c>
      <c r="M15" s="10">
        <v>119522801.66382</v>
      </c>
      <c r="N15" s="10">
        <v>4.5195989597469426</v>
      </c>
    </row>
    <row r="16" spans="1:14" x14ac:dyDescent="0.2">
      <c r="A16" s="12"/>
      <c r="B16" s="11" t="s">
        <v>46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2"/>
      <c r="B17" s="11" t="s">
        <v>45</v>
      </c>
      <c r="C17" s="10">
        <v>27270.741000000002</v>
      </c>
      <c r="D17" s="10">
        <v>27270.741000000002</v>
      </c>
      <c r="E17" s="10">
        <v>11135312.34687</v>
      </c>
      <c r="F17" s="10">
        <v>0</v>
      </c>
      <c r="G17" s="10">
        <v>11135312.34687</v>
      </c>
      <c r="H17" s="10">
        <v>0</v>
      </c>
      <c r="I17" s="10">
        <v>0.18687621249455591</v>
      </c>
      <c r="J17" s="10">
        <v>3199822.0095500001</v>
      </c>
      <c r="K17" s="10">
        <v>0</v>
      </c>
      <c r="L17" s="10">
        <v>0</v>
      </c>
      <c r="M17" s="10">
        <v>48313924.548009999</v>
      </c>
      <c r="N17" s="10">
        <v>4.3388028147638256</v>
      </c>
    </row>
    <row r="18" spans="1:14" x14ac:dyDescent="0.2">
      <c r="A18" s="12"/>
      <c r="B18" s="11" t="s">
        <v>44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2"/>
      <c r="B19" s="11" t="s">
        <v>43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2"/>
      <c r="B20" s="11" t="s">
        <v>42</v>
      </c>
      <c r="C20" s="10">
        <v>40470.421999999999</v>
      </c>
      <c r="D20" s="10">
        <v>40470.421999999999</v>
      </c>
      <c r="E20" s="10">
        <v>13289702.87294</v>
      </c>
      <c r="F20" s="10">
        <v>0</v>
      </c>
      <c r="G20" s="10">
        <v>13289702.87294</v>
      </c>
      <c r="H20" s="10">
        <v>0</v>
      </c>
      <c r="I20" s="10">
        <v>0.15028862016808231</v>
      </c>
      <c r="J20" s="10">
        <v>1275838.5862700001</v>
      </c>
      <c r="K20" s="10">
        <v>0</v>
      </c>
      <c r="L20" s="10">
        <v>0</v>
      </c>
      <c r="M20" s="10">
        <v>106261576.98968001</v>
      </c>
      <c r="N20" s="10">
        <v>7.9957827472054603</v>
      </c>
    </row>
    <row r="21" spans="1:14" x14ac:dyDescent="0.2">
      <c r="A21" s="12"/>
      <c r="B21" s="11" t="s">
        <v>41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40</v>
      </c>
      <c r="B22" s="11" t="s">
        <v>39</v>
      </c>
      <c r="C22" s="10">
        <v>230800</v>
      </c>
      <c r="D22" s="10">
        <v>230800</v>
      </c>
      <c r="E22" s="10">
        <v>34873468.610239998</v>
      </c>
      <c r="F22" s="10">
        <v>23147539.578230001</v>
      </c>
      <c r="G22" s="10">
        <v>11725929.03201</v>
      </c>
      <c r="H22" s="10">
        <v>-11725929.03201</v>
      </c>
      <c r="I22" s="10">
        <v>0.1150530206239168</v>
      </c>
      <c r="J22" s="10">
        <v>0</v>
      </c>
      <c r="K22" s="10">
        <v>0</v>
      </c>
      <c r="L22" s="10">
        <v>0</v>
      </c>
      <c r="M22" s="10">
        <v>149931224.94837001</v>
      </c>
      <c r="N22" s="10">
        <v>2.5840851377709089</v>
      </c>
    </row>
    <row r="23" spans="1:14" x14ac:dyDescent="0.2">
      <c r="A23" s="12" t="s">
        <v>38</v>
      </c>
      <c r="B23" s="11" t="s">
        <v>37</v>
      </c>
      <c r="C23" s="10">
        <v>12450</v>
      </c>
      <c r="D23" s="10">
        <v>12450</v>
      </c>
      <c r="E23" s="10">
        <v>10226448.548690001</v>
      </c>
      <c r="F23" s="10">
        <v>5548539.1256799996</v>
      </c>
      <c r="G23" s="10">
        <v>4677909.42301</v>
      </c>
      <c r="H23" s="10">
        <v>-4677909.42301</v>
      </c>
      <c r="I23" s="10">
        <v>0.57989349317269079</v>
      </c>
      <c r="J23" s="10">
        <v>31881159.423009999</v>
      </c>
      <c r="K23" s="10">
        <v>0</v>
      </c>
      <c r="L23" s="10">
        <v>0</v>
      </c>
      <c r="M23" s="10">
        <v>101983627.8387</v>
      </c>
      <c r="N23" s="10">
        <v>6.4648942991953566</v>
      </c>
    </row>
    <row r="24" spans="1:14" x14ac:dyDescent="0.2">
      <c r="A24" s="12"/>
      <c r="B24" s="11" t="s">
        <v>74</v>
      </c>
      <c r="C24" s="10">
        <v>28000000</v>
      </c>
      <c r="D24" s="10">
        <v>28000000</v>
      </c>
      <c r="E24" s="10">
        <v>0</v>
      </c>
      <c r="F24" s="10">
        <v>300411.14143000002</v>
      </c>
      <c r="G24" s="10">
        <v>-300411.14143000002</v>
      </c>
      <c r="H24" s="10">
        <v>0</v>
      </c>
      <c r="I24" s="10">
        <v>4.9102835714285716E-6</v>
      </c>
      <c r="J24" s="10">
        <v>61179699588.858566</v>
      </c>
      <c r="K24" s="10">
        <v>0</v>
      </c>
      <c r="L24" s="10">
        <v>3.0041099999999998</v>
      </c>
      <c r="M24" s="10">
        <v>-2703789.6800099998</v>
      </c>
      <c r="N24" s="10">
        <v>-9.0002974079035578</v>
      </c>
    </row>
    <row r="25" spans="1:14" x14ac:dyDescent="0.2">
      <c r="A25" s="12"/>
      <c r="B25" s="11" t="s">
        <v>36</v>
      </c>
      <c r="C25" s="10">
        <v>3653.0947500000002</v>
      </c>
      <c r="D25" s="10">
        <v>3653.0947500000002</v>
      </c>
      <c r="E25" s="10">
        <v>0</v>
      </c>
      <c r="F25" s="10">
        <v>121034.45402</v>
      </c>
      <c r="G25" s="10">
        <v>-121034.45402</v>
      </c>
      <c r="H25" s="10">
        <v>0</v>
      </c>
      <c r="I25" s="10">
        <v>1.5163400839794811E-2</v>
      </c>
      <c r="J25" s="10">
        <v>7860977.5846100003</v>
      </c>
      <c r="K25" s="10">
        <v>0</v>
      </c>
      <c r="L25" s="10">
        <v>0</v>
      </c>
      <c r="M25" s="10">
        <v>0</v>
      </c>
    </row>
    <row r="26" spans="1:14" x14ac:dyDescent="0.2">
      <c r="A26" s="12"/>
      <c r="B26" s="11" t="s">
        <v>35</v>
      </c>
      <c r="C26" s="10">
        <v>278.38099999999997</v>
      </c>
      <c r="D26" s="10">
        <v>278.38099999999997</v>
      </c>
      <c r="E26" s="10">
        <v>0</v>
      </c>
      <c r="F26" s="10">
        <v>76889.530740000002</v>
      </c>
      <c r="G26" s="10">
        <v>-76889.530740000002</v>
      </c>
      <c r="H26" s="10">
        <v>0</v>
      </c>
      <c r="I26" s="10">
        <v>0.12640848333758409</v>
      </c>
      <c r="J26" s="10">
        <v>531372.95426000003</v>
      </c>
      <c r="K26" s="10">
        <v>0</v>
      </c>
      <c r="L26" s="10">
        <v>384447.65369000001</v>
      </c>
      <c r="M26" s="10">
        <v>0</v>
      </c>
    </row>
    <row r="27" spans="1:14" x14ac:dyDescent="0.2">
      <c r="A27" s="12" t="s">
        <v>34</v>
      </c>
      <c r="B27" s="11" t="s">
        <v>33</v>
      </c>
      <c r="C27" s="10">
        <v>0</v>
      </c>
      <c r="D27" s="10">
        <v>0</v>
      </c>
      <c r="E27" s="10">
        <v>0</v>
      </c>
      <c r="F27" s="10">
        <v>4693920.3252499998</v>
      </c>
      <c r="G27" s="10">
        <v>-4693920.3252499998</v>
      </c>
      <c r="H27" s="10">
        <v>0</v>
      </c>
      <c r="J27" s="10">
        <v>0</v>
      </c>
      <c r="K27" s="10">
        <v>0</v>
      </c>
      <c r="L27" s="10">
        <v>0</v>
      </c>
      <c r="M27" s="10">
        <v>-44567723.140649997</v>
      </c>
      <c r="N27" s="10">
        <v>-9.4947762275543255</v>
      </c>
    </row>
    <row r="28" spans="1:14" x14ac:dyDescent="0.2">
      <c r="A28" s="12"/>
      <c r="B28" s="11" t="s">
        <v>32</v>
      </c>
      <c r="C28" s="10">
        <v>0</v>
      </c>
      <c r="D28" s="10">
        <v>0</v>
      </c>
      <c r="E28" s="10">
        <v>0</v>
      </c>
      <c r="F28" s="10">
        <v>52178335.791649997</v>
      </c>
      <c r="G28" s="10">
        <v>-52178335.791649997</v>
      </c>
      <c r="H28" s="10">
        <v>0</v>
      </c>
      <c r="J28" s="10">
        <v>0</v>
      </c>
      <c r="K28" s="10">
        <v>0</v>
      </c>
      <c r="L28" s="10">
        <v>0</v>
      </c>
      <c r="M28" s="10">
        <v>-481951063.07266003</v>
      </c>
      <c r="N28" s="10">
        <v>-9.2366123953213801</v>
      </c>
    </row>
    <row r="29" spans="1:14" x14ac:dyDescent="0.2">
      <c r="A29" s="12" t="s">
        <v>31</v>
      </c>
      <c r="B29" s="11" t="s">
        <v>30</v>
      </c>
      <c r="C29" s="10">
        <v>26471.973000000002</v>
      </c>
      <c r="D29" s="10">
        <v>26471.973000000002</v>
      </c>
      <c r="E29" s="10">
        <v>2692713.5789000001</v>
      </c>
      <c r="F29" s="10">
        <v>5886634.7238999996</v>
      </c>
      <c r="G29" s="10">
        <v>-3193921.145</v>
      </c>
      <c r="H29" s="10">
        <v>0</v>
      </c>
      <c r="I29" s="10">
        <v>0.1483257481412511</v>
      </c>
      <c r="J29" s="10">
        <v>61035182.149999999</v>
      </c>
      <c r="K29" s="10">
        <v>0</v>
      </c>
      <c r="L29" s="10">
        <v>0</v>
      </c>
      <c r="M29" s="10">
        <v>19550641.743159998</v>
      </c>
      <c r="N29" s="10">
        <v>2.278802659953131</v>
      </c>
    </row>
    <row r="30" spans="1:14" x14ac:dyDescent="0.2">
      <c r="A30" s="12"/>
      <c r="B30" s="11" t="s">
        <v>29</v>
      </c>
      <c r="C30" s="10">
        <v>857.70799999999997</v>
      </c>
      <c r="D30" s="10">
        <v>857.70799999999997</v>
      </c>
      <c r="E30" s="10">
        <v>136921.69055</v>
      </c>
      <c r="F30" s="10">
        <v>261788.39551</v>
      </c>
      <c r="G30" s="10">
        <v>-124866.70496</v>
      </c>
      <c r="H30" s="10">
        <v>0</v>
      </c>
      <c r="I30" s="10">
        <v>0.2127484062175006</v>
      </c>
      <c r="J30" s="10">
        <v>1998958.68496</v>
      </c>
      <c r="K30" s="10">
        <v>0</v>
      </c>
      <c r="L30" s="10">
        <v>0</v>
      </c>
      <c r="M30" s="10">
        <v>644270.96432000003</v>
      </c>
      <c r="N30" s="10">
        <v>1.6158883022486079</v>
      </c>
    </row>
    <row r="31" spans="1:14" x14ac:dyDescent="0.2">
      <c r="A31" s="12"/>
      <c r="B31" s="11" t="s">
        <v>28</v>
      </c>
      <c r="C31" s="10">
        <v>457.99400000000003</v>
      </c>
      <c r="D31" s="10">
        <v>457.99400000000003</v>
      </c>
      <c r="E31" s="10">
        <v>30683.005099999998</v>
      </c>
      <c r="F31" s="10">
        <v>232249.53099</v>
      </c>
      <c r="G31" s="10">
        <v>-201566.52590000001</v>
      </c>
      <c r="H31" s="10">
        <v>0</v>
      </c>
      <c r="I31" s="10">
        <v>0.26274418442163</v>
      </c>
      <c r="J31" s="10">
        <v>1202283.4158999999</v>
      </c>
      <c r="K31" s="10">
        <v>0</v>
      </c>
      <c r="L31" s="10">
        <v>0</v>
      </c>
      <c r="M31" s="10">
        <v>651369.11332</v>
      </c>
      <c r="N31" s="10">
        <v>2.4773240195766388</v>
      </c>
    </row>
    <row r="32" spans="1:14" x14ac:dyDescent="0.2">
      <c r="A32" s="12"/>
      <c r="B32" s="11" t="s">
        <v>27</v>
      </c>
      <c r="C32" s="10">
        <v>5300</v>
      </c>
      <c r="D32" s="10">
        <v>5300</v>
      </c>
      <c r="E32" s="10">
        <v>857733.27489</v>
      </c>
      <c r="F32" s="10">
        <v>2236479.54458</v>
      </c>
      <c r="G32" s="10">
        <v>-1378746.26969</v>
      </c>
      <c r="H32" s="10">
        <v>0</v>
      </c>
      <c r="I32" s="10">
        <v>0.26719164339622642</v>
      </c>
      <c r="J32" s="10">
        <v>12959246.26969</v>
      </c>
      <c r="K32" s="10">
        <v>0</v>
      </c>
      <c r="L32" s="10">
        <v>0</v>
      </c>
      <c r="M32" s="10">
        <v>11663643.17881</v>
      </c>
      <c r="N32" s="10">
        <v>3.769502564165466</v>
      </c>
    </row>
    <row r="33" spans="1:13" x14ac:dyDescent="0.2">
      <c r="A33" s="12" t="s">
        <v>26</v>
      </c>
      <c r="B33" s="11" t="s">
        <v>74</v>
      </c>
      <c r="C33" s="10">
        <v>14000000</v>
      </c>
      <c r="D33" s="10">
        <v>14000000</v>
      </c>
      <c r="E33" s="10">
        <v>150205.57071</v>
      </c>
      <c r="F33" s="10">
        <v>150205.57071</v>
      </c>
      <c r="G33" s="10">
        <v>0</v>
      </c>
      <c r="H33" s="10">
        <v>0</v>
      </c>
      <c r="I33" s="10">
        <v>0.99983367359571429</v>
      </c>
      <c r="J33" s="10">
        <v>0</v>
      </c>
      <c r="K33" s="10">
        <v>0</v>
      </c>
      <c r="L33" s="10">
        <v>0</v>
      </c>
      <c r="M33" s="10">
        <v>0</v>
      </c>
    </row>
    <row r="34" spans="1:13" x14ac:dyDescent="0.2">
      <c r="A34" s="12"/>
      <c r="B34" s="11" t="s">
        <v>25</v>
      </c>
      <c r="C34" s="10">
        <v>46768.008000000002</v>
      </c>
      <c r="D34" s="10">
        <v>46768.008000000002</v>
      </c>
      <c r="E34" s="10">
        <v>75516.604330000002</v>
      </c>
      <c r="F34" s="10">
        <v>83351.191399999996</v>
      </c>
      <c r="G34" s="10">
        <v>-7834.5870800000002</v>
      </c>
      <c r="H34" s="10">
        <v>0</v>
      </c>
      <c r="I34" s="10">
        <v>0.76668293761838224</v>
      </c>
      <c r="J34" s="10">
        <v>0</v>
      </c>
      <c r="K34" s="10">
        <v>0</v>
      </c>
      <c r="L34" s="10">
        <v>0</v>
      </c>
      <c r="M34" s="10">
        <v>0</v>
      </c>
    </row>
  </sheetData>
  <mergeCells count="5">
    <mergeCell ref="A27:A28"/>
    <mergeCell ref="A23:A26"/>
    <mergeCell ref="A2:A21"/>
    <mergeCell ref="A33:A34"/>
    <mergeCell ref="A29:A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73A0A-3E5E-DF4E-84F0-9C5685F5F313}">
  <dimension ref="A1:N33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  <c r="N1" s="11" t="s">
        <v>62</v>
      </c>
    </row>
    <row r="2" spans="1:14" x14ac:dyDescent="0.2">
      <c r="A2" s="12" t="s">
        <v>61</v>
      </c>
      <c r="B2" s="11" t="s">
        <v>60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2"/>
      <c r="B3" s="11" t="s">
        <v>59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2"/>
      <c r="B4" s="11" t="s">
        <v>58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2"/>
      <c r="B5" s="11" t="s">
        <v>57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2"/>
      <c r="B6" s="11" t="s">
        <v>56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2"/>
      <c r="B7" s="11" t="s">
        <v>55</v>
      </c>
      <c r="C7" s="10">
        <v>13695</v>
      </c>
      <c r="D7" s="10">
        <v>13695</v>
      </c>
      <c r="E7" s="10">
        <v>4623573.6345600002</v>
      </c>
      <c r="F7" s="10">
        <v>0</v>
      </c>
      <c r="G7" s="10">
        <v>4623573.6345600002</v>
      </c>
      <c r="H7" s="10">
        <v>0</v>
      </c>
      <c r="I7" s="10">
        <v>0.15451274260679079</v>
      </c>
      <c r="J7" s="10">
        <v>25300001.36544</v>
      </c>
      <c r="K7" s="10">
        <v>0</v>
      </c>
      <c r="L7" s="10">
        <v>60086721.677259997</v>
      </c>
      <c r="M7" s="10">
        <v>60086721.677259997</v>
      </c>
      <c r="N7" s="10">
        <v>12.9957315132344</v>
      </c>
    </row>
    <row r="8" spans="1:14" x14ac:dyDescent="0.2">
      <c r="A8" s="12"/>
      <c r="B8" s="11" t="s">
        <v>54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2"/>
      <c r="B9" s="11" t="s">
        <v>53</v>
      </c>
      <c r="C9" s="10">
        <v>11</v>
      </c>
      <c r="D9" s="10">
        <v>11</v>
      </c>
      <c r="E9" s="10">
        <v>5643.7049999999999</v>
      </c>
      <c r="F9" s="10">
        <v>0</v>
      </c>
      <c r="G9" s="10">
        <v>5643.7049999999999</v>
      </c>
      <c r="H9" s="10">
        <v>0</v>
      </c>
      <c r="I9" s="10">
        <v>0.2348118181818182</v>
      </c>
      <c r="J9" s="10">
        <v>18391.294999999998</v>
      </c>
      <c r="K9" s="10">
        <v>0</v>
      </c>
      <c r="L9" s="10">
        <v>70320.564299999998</v>
      </c>
      <c r="M9" s="10">
        <v>129909.05704</v>
      </c>
      <c r="N9" s="10">
        <v>23.018413197415331</v>
      </c>
    </row>
    <row r="10" spans="1:14" x14ac:dyDescent="0.2">
      <c r="A10" s="12"/>
      <c r="B10" s="11" t="s">
        <v>52</v>
      </c>
      <c r="C10" s="10">
        <v>834.51107000000002</v>
      </c>
      <c r="D10" s="10">
        <v>834.51107000000002</v>
      </c>
      <c r="E10" s="10">
        <v>13201.84275</v>
      </c>
      <c r="F10" s="10">
        <v>0</v>
      </c>
      <c r="G10" s="10">
        <v>13201.84275</v>
      </c>
      <c r="H10" s="10">
        <v>0</v>
      </c>
      <c r="I10" s="10">
        <v>7.2402035361855636E-3</v>
      </c>
      <c r="J10" s="10">
        <v>1810204.8368800001</v>
      </c>
      <c r="K10" s="10">
        <v>0</v>
      </c>
      <c r="L10" s="10">
        <v>712899.50870000001</v>
      </c>
      <c r="M10" s="10">
        <v>786891.16480000003</v>
      </c>
      <c r="N10" s="10">
        <v>59.604679222049548</v>
      </c>
    </row>
    <row r="11" spans="1:14" x14ac:dyDescent="0.2">
      <c r="A11" s="12"/>
      <c r="B11" s="11" t="s">
        <v>51</v>
      </c>
      <c r="C11" s="10">
        <v>1897.296</v>
      </c>
      <c r="D11" s="10">
        <v>1897.296</v>
      </c>
      <c r="E11" s="10">
        <v>1348647.3019399999</v>
      </c>
      <c r="F11" s="10">
        <v>0</v>
      </c>
      <c r="G11" s="10">
        <v>1348647.3019399999</v>
      </c>
      <c r="H11" s="10">
        <v>0</v>
      </c>
      <c r="I11" s="10">
        <v>0.32532081973503341</v>
      </c>
      <c r="J11" s="10">
        <v>309589.40205999999</v>
      </c>
      <c r="K11" s="10">
        <v>0</v>
      </c>
      <c r="L11" s="10">
        <v>0</v>
      </c>
      <c r="M11" s="10">
        <v>10169580.455460001</v>
      </c>
      <c r="N11" s="10">
        <v>7.5405781628624631</v>
      </c>
    </row>
    <row r="12" spans="1:14" x14ac:dyDescent="0.2">
      <c r="A12" s="12"/>
      <c r="B12" s="11" t="s">
        <v>50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2"/>
      <c r="B13" s="11" t="s">
        <v>49</v>
      </c>
      <c r="C13" s="10">
        <v>254.358</v>
      </c>
      <c r="D13" s="10">
        <v>254.358</v>
      </c>
      <c r="E13" s="10">
        <v>238741.85870000001</v>
      </c>
      <c r="F13" s="10">
        <v>0</v>
      </c>
      <c r="G13" s="10">
        <v>238741.85870000001</v>
      </c>
      <c r="H13" s="10">
        <v>0</v>
      </c>
      <c r="I13" s="10">
        <v>0.42956781386864179</v>
      </c>
      <c r="J13" s="10">
        <v>35027.69212</v>
      </c>
      <c r="K13" s="10">
        <v>0</v>
      </c>
      <c r="L13" s="10">
        <v>0</v>
      </c>
      <c r="M13" s="10">
        <v>2277171.6315899999</v>
      </c>
      <c r="N13" s="10">
        <v>9.5382167467586072</v>
      </c>
    </row>
    <row r="14" spans="1:14" x14ac:dyDescent="0.2">
      <c r="A14" s="12"/>
      <c r="B14" s="11" t="s">
        <v>48</v>
      </c>
      <c r="C14" s="10">
        <v>4570</v>
      </c>
      <c r="D14" s="10">
        <v>4570</v>
      </c>
      <c r="E14" s="10">
        <v>4670840.1218100004</v>
      </c>
      <c r="F14" s="10">
        <v>0</v>
      </c>
      <c r="G14" s="10">
        <v>4670840.1218100004</v>
      </c>
      <c r="H14" s="10">
        <v>0</v>
      </c>
      <c r="I14" s="10">
        <v>0.46776461050328227</v>
      </c>
      <c r="J14" s="10">
        <v>5314609.8781899996</v>
      </c>
      <c r="K14" s="10">
        <v>0</v>
      </c>
      <c r="L14" s="10">
        <v>46708401.218079999</v>
      </c>
      <c r="M14" s="10">
        <v>87130688.787929997</v>
      </c>
      <c r="N14" s="10">
        <v>18.65417919737979</v>
      </c>
    </row>
    <row r="15" spans="1:14" x14ac:dyDescent="0.2">
      <c r="A15" s="12"/>
      <c r="B15" s="11" t="s">
        <v>47</v>
      </c>
      <c r="C15" s="10">
        <v>53544.201999999997</v>
      </c>
      <c r="D15" s="10">
        <v>53544.201999999997</v>
      </c>
      <c r="E15" s="10">
        <v>26201911.059530001</v>
      </c>
      <c r="F15" s="10">
        <v>0</v>
      </c>
      <c r="G15" s="10">
        <v>26201911.059530001</v>
      </c>
      <c r="H15" s="10">
        <v>0</v>
      </c>
      <c r="I15" s="10">
        <v>0.2239592871325265</v>
      </c>
      <c r="J15" s="10">
        <v>5912935.0500299996</v>
      </c>
      <c r="K15" s="10">
        <v>0</v>
      </c>
      <c r="L15" s="10">
        <v>0</v>
      </c>
      <c r="M15" s="10">
        <v>120074081.58400001</v>
      </c>
      <c r="N15" s="10">
        <v>4.5826459487657987</v>
      </c>
    </row>
    <row r="16" spans="1:14" x14ac:dyDescent="0.2">
      <c r="A16" s="12"/>
      <c r="B16" s="11" t="s">
        <v>46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2"/>
      <c r="B17" s="11" t="s">
        <v>45</v>
      </c>
      <c r="C17" s="10">
        <v>27270.741000000002</v>
      </c>
      <c r="D17" s="10">
        <v>27270.741000000002</v>
      </c>
      <c r="E17" s="10">
        <v>11018084.505279999</v>
      </c>
      <c r="F17" s="10">
        <v>0</v>
      </c>
      <c r="G17" s="10">
        <v>11018084.505279999</v>
      </c>
      <c r="H17" s="10">
        <v>0</v>
      </c>
      <c r="I17" s="10">
        <v>0.18490885891219461</v>
      </c>
      <c r="J17" s="10">
        <v>3317049.8511399999</v>
      </c>
      <c r="K17" s="10">
        <v>0</v>
      </c>
      <c r="L17" s="10">
        <v>0</v>
      </c>
      <c r="M17" s="10">
        <v>48556210.651139997</v>
      </c>
      <c r="N17" s="10">
        <v>4.4069557349127084</v>
      </c>
    </row>
    <row r="18" spans="1:14" x14ac:dyDescent="0.2">
      <c r="A18" s="12"/>
      <c r="B18" s="11" t="s">
        <v>44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2"/>
      <c r="B19" s="11" t="s">
        <v>43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2"/>
      <c r="B20" s="11" t="s">
        <v>42</v>
      </c>
      <c r="C20" s="10">
        <v>40470.421999999999</v>
      </c>
      <c r="D20" s="10">
        <v>40470.421999999999</v>
      </c>
      <c r="E20" s="10">
        <v>13242082.95524</v>
      </c>
      <c r="F20" s="10">
        <v>0</v>
      </c>
      <c r="G20" s="10">
        <v>13242082.95524</v>
      </c>
      <c r="H20" s="10">
        <v>0</v>
      </c>
      <c r="I20" s="10">
        <v>0.14975010317411569</v>
      </c>
      <c r="J20" s="10">
        <v>1323458.50398</v>
      </c>
      <c r="K20" s="10">
        <v>0</v>
      </c>
      <c r="L20" s="10">
        <v>0</v>
      </c>
      <c r="M20" s="10">
        <v>106455250.19882999</v>
      </c>
      <c r="N20" s="10">
        <v>8.0391620020115759</v>
      </c>
    </row>
    <row r="21" spans="1:14" x14ac:dyDescent="0.2">
      <c r="A21" s="12"/>
      <c r="B21" s="11" t="s">
        <v>41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40</v>
      </c>
      <c r="B22" s="11" t="s">
        <v>39</v>
      </c>
      <c r="C22" s="10">
        <v>230800</v>
      </c>
      <c r="D22" s="10">
        <v>230800</v>
      </c>
      <c r="E22" s="10">
        <v>34930475.167730004</v>
      </c>
      <c r="F22" s="10">
        <v>23309869.761089999</v>
      </c>
      <c r="G22" s="10">
        <v>11620605.40663</v>
      </c>
      <c r="H22" s="10">
        <v>-11620605.40663</v>
      </c>
      <c r="I22" s="10">
        <v>0.115487955372617</v>
      </c>
      <c r="J22" s="10">
        <v>0</v>
      </c>
      <c r="K22" s="10">
        <v>0</v>
      </c>
      <c r="L22" s="10">
        <v>0</v>
      </c>
      <c r="M22" s="10">
        <v>152798567.63955</v>
      </c>
      <c r="N22" s="10">
        <v>2.6235862416212039</v>
      </c>
    </row>
    <row r="23" spans="1:14" x14ac:dyDescent="0.2">
      <c r="A23" s="12" t="s">
        <v>38</v>
      </c>
      <c r="B23" s="11" t="s">
        <v>37</v>
      </c>
      <c r="C23" s="10">
        <v>12450</v>
      </c>
      <c r="D23" s="10">
        <v>12450</v>
      </c>
      <c r="E23" s="10">
        <v>10280469.439990001</v>
      </c>
      <c r="F23" s="10">
        <v>5538342.6353099998</v>
      </c>
      <c r="G23" s="10">
        <v>4742126.8046800001</v>
      </c>
      <c r="H23" s="10">
        <v>-4742126.8046800001</v>
      </c>
      <c r="I23" s="10">
        <v>0.58150449236947788</v>
      </c>
      <c r="J23" s="10">
        <v>31945376.804680001</v>
      </c>
      <c r="K23" s="10">
        <v>0</v>
      </c>
      <c r="L23" s="10">
        <v>0</v>
      </c>
      <c r="M23" s="10">
        <v>103889485.59574001</v>
      </c>
      <c r="N23" s="10">
        <v>6.5674644250901739</v>
      </c>
    </row>
    <row r="24" spans="1:14" x14ac:dyDescent="0.2">
      <c r="A24" s="12"/>
      <c r="B24" s="11" t="s">
        <v>36</v>
      </c>
      <c r="C24" s="10">
        <v>3653.0947500000002</v>
      </c>
      <c r="D24" s="10">
        <v>3653.0947500000002</v>
      </c>
      <c r="E24" s="10">
        <v>0</v>
      </c>
      <c r="F24" s="10">
        <v>112603.08177</v>
      </c>
      <c r="G24" s="10">
        <v>-112603.08177</v>
      </c>
      <c r="H24" s="10">
        <v>0</v>
      </c>
      <c r="I24" s="10">
        <v>1.410710466789836E-2</v>
      </c>
      <c r="J24" s="10">
        <v>7869408.9568699999</v>
      </c>
      <c r="K24" s="10">
        <v>0</v>
      </c>
      <c r="L24" s="10">
        <v>0</v>
      </c>
      <c r="M24" s="10">
        <v>0</v>
      </c>
    </row>
    <row r="25" spans="1:14" x14ac:dyDescent="0.2">
      <c r="A25" s="12"/>
      <c r="B25" s="11" t="s">
        <v>35</v>
      </c>
      <c r="C25" s="10">
        <v>278.38099999999997</v>
      </c>
      <c r="D25" s="10">
        <v>278.38099999999997</v>
      </c>
      <c r="E25" s="10">
        <v>0</v>
      </c>
      <c r="F25" s="10">
        <v>76366.031650000004</v>
      </c>
      <c r="G25" s="10">
        <v>-76366.031650000004</v>
      </c>
      <c r="H25" s="10">
        <v>0</v>
      </c>
      <c r="I25" s="10">
        <v>0.1255478283359856</v>
      </c>
      <c r="J25" s="10">
        <v>531896.45334999997</v>
      </c>
      <c r="K25" s="10">
        <v>0</v>
      </c>
      <c r="L25" s="10">
        <v>381830.15827000001</v>
      </c>
      <c r="M25" s="10">
        <v>0</v>
      </c>
    </row>
    <row r="26" spans="1:14" x14ac:dyDescent="0.2">
      <c r="A26" s="12"/>
      <c r="B26" s="11" t="s">
        <v>75</v>
      </c>
      <c r="C26" s="10">
        <v>182000000</v>
      </c>
      <c r="D26" s="10">
        <v>182000000</v>
      </c>
      <c r="E26" s="10">
        <v>0</v>
      </c>
      <c r="F26" s="10">
        <v>2396.50245</v>
      </c>
      <c r="G26" s="10">
        <v>-2396.50245</v>
      </c>
      <c r="H26" s="10">
        <v>2396.50245</v>
      </c>
      <c r="I26" s="10">
        <v>6.0263736263736261E-9</v>
      </c>
      <c r="J26" s="10">
        <v>397669997603.4975</v>
      </c>
      <c r="K26" s="10">
        <v>0</v>
      </c>
      <c r="L26" s="10">
        <v>2.3970000000000002E-2</v>
      </c>
      <c r="M26" s="10">
        <v>-23395.344160000001</v>
      </c>
      <c r="N26" s="10">
        <v>-9.7622629467541948</v>
      </c>
    </row>
    <row r="27" spans="1:14" x14ac:dyDescent="0.2">
      <c r="A27" s="12" t="s">
        <v>34</v>
      </c>
      <c r="B27" s="11" t="s">
        <v>33</v>
      </c>
      <c r="C27" s="10">
        <v>0</v>
      </c>
      <c r="D27" s="10">
        <v>0</v>
      </c>
      <c r="E27" s="10">
        <v>0</v>
      </c>
      <c r="F27" s="10">
        <v>4693920.3252499998</v>
      </c>
      <c r="G27" s="10">
        <v>-4693920.3252499998</v>
      </c>
      <c r="H27" s="10">
        <v>0</v>
      </c>
      <c r="J27" s="10">
        <v>0</v>
      </c>
      <c r="K27" s="10">
        <v>0</v>
      </c>
      <c r="L27" s="10">
        <v>0</v>
      </c>
      <c r="M27" s="10">
        <v>-44861070.449479997</v>
      </c>
      <c r="N27" s="10">
        <v>-9.5572713884349891</v>
      </c>
    </row>
    <row r="28" spans="1:14" x14ac:dyDescent="0.2">
      <c r="A28" s="12"/>
      <c r="B28" s="11" t="s">
        <v>32</v>
      </c>
      <c r="C28" s="10">
        <v>0</v>
      </c>
      <c r="D28" s="10">
        <v>0</v>
      </c>
      <c r="E28" s="10">
        <v>0</v>
      </c>
      <c r="F28" s="10">
        <v>52178335.791649997</v>
      </c>
      <c r="G28" s="10">
        <v>-52178335.791649997</v>
      </c>
      <c r="H28" s="10">
        <v>0</v>
      </c>
      <c r="J28" s="10">
        <v>0</v>
      </c>
      <c r="K28" s="10">
        <v>0</v>
      </c>
      <c r="L28" s="10">
        <v>0</v>
      </c>
      <c r="M28" s="10">
        <v>-484948903.70841998</v>
      </c>
      <c r="N28" s="10">
        <v>-9.2940661374389641</v>
      </c>
    </row>
    <row r="29" spans="1:14" x14ac:dyDescent="0.2">
      <c r="A29" s="12" t="s">
        <v>31</v>
      </c>
      <c r="B29" s="11" t="s">
        <v>30</v>
      </c>
      <c r="C29" s="10">
        <v>26471.973000000002</v>
      </c>
      <c r="D29" s="10">
        <v>26471.973000000002</v>
      </c>
      <c r="E29" s="10">
        <v>3744410.5064099999</v>
      </c>
      <c r="F29" s="10">
        <v>6725292.5463500004</v>
      </c>
      <c r="G29" s="10">
        <v>-2980882.03994</v>
      </c>
      <c r="H29" s="10">
        <v>0</v>
      </c>
      <c r="I29" s="10">
        <v>0.18100751727119091</v>
      </c>
      <c r="J29" s="10">
        <v>60822143.044940002</v>
      </c>
      <c r="K29" s="10">
        <v>0</v>
      </c>
      <c r="L29" s="10">
        <v>0</v>
      </c>
      <c r="M29" s="10">
        <v>20085133.605760001</v>
      </c>
      <c r="N29" s="10">
        <v>1.9184052801649001</v>
      </c>
    </row>
    <row r="30" spans="1:14" x14ac:dyDescent="0.2">
      <c r="A30" s="12"/>
      <c r="B30" s="11" t="s">
        <v>29</v>
      </c>
      <c r="C30" s="10">
        <v>857.70799999999997</v>
      </c>
      <c r="D30" s="10">
        <v>857.70799999999997</v>
      </c>
      <c r="E30" s="10">
        <v>195340.68638</v>
      </c>
      <c r="F30" s="10">
        <v>306696.80979000003</v>
      </c>
      <c r="G30" s="10">
        <v>-111356.12341</v>
      </c>
      <c r="H30" s="10">
        <v>0</v>
      </c>
      <c r="I30" s="10">
        <v>0.26788305577189442</v>
      </c>
      <c r="J30" s="10">
        <v>1985448.10341</v>
      </c>
      <c r="K30" s="10">
        <v>0</v>
      </c>
      <c r="L30" s="10">
        <v>0</v>
      </c>
      <c r="M30" s="10">
        <v>661865.17778999999</v>
      </c>
      <c r="N30" s="10">
        <v>1.318358061160112</v>
      </c>
    </row>
    <row r="31" spans="1:14" x14ac:dyDescent="0.2">
      <c r="A31" s="12"/>
      <c r="B31" s="11" t="s">
        <v>28</v>
      </c>
      <c r="C31" s="10">
        <v>457.99400000000003</v>
      </c>
      <c r="D31" s="10">
        <v>457.99400000000003</v>
      </c>
      <c r="E31" s="10">
        <v>33101.341780000002</v>
      </c>
      <c r="F31" s="10">
        <v>228254.64658</v>
      </c>
      <c r="G31" s="10">
        <v>-195153.30481</v>
      </c>
      <c r="H31" s="10">
        <v>0</v>
      </c>
      <c r="I31" s="10">
        <v>0.26116874893557562</v>
      </c>
      <c r="J31" s="10">
        <v>1195870.19481</v>
      </c>
      <c r="K31" s="10">
        <v>0</v>
      </c>
      <c r="L31" s="10">
        <v>0</v>
      </c>
      <c r="M31" s="10">
        <v>665008.25740999996</v>
      </c>
      <c r="N31" s="10">
        <v>2.5444540141381768</v>
      </c>
    </row>
    <row r="32" spans="1:14" x14ac:dyDescent="0.2">
      <c r="A32" s="12"/>
      <c r="B32" s="11" t="s">
        <v>27</v>
      </c>
      <c r="C32" s="10">
        <v>5300</v>
      </c>
      <c r="D32" s="10">
        <v>5300</v>
      </c>
      <c r="E32" s="10">
        <v>1087872.8696300001</v>
      </c>
      <c r="F32" s="10">
        <v>2335085.3735600002</v>
      </c>
      <c r="G32" s="10">
        <v>-1247212.5039299999</v>
      </c>
      <c r="H32" s="10">
        <v>0</v>
      </c>
      <c r="I32" s="10">
        <v>0.29557948679245277</v>
      </c>
      <c r="J32" s="10">
        <v>12827712.503930001</v>
      </c>
      <c r="K32" s="10">
        <v>0</v>
      </c>
      <c r="L32" s="10">
        <v>0</v>
      </c>
      <c r="M32" s="10">
        <v>11845912.29394</v>
      </c>
      <c r="N32" s="10">
        <v>3.460723574608108</v>
      </c>
    </row>
    <row r="33" spans="1:13" x14ac:dyDescent="0.2">
      <c r="A33" s="11" t="s">
        <v>26</v>
      </c>
      <c r="B33" s="11" t="s">
        <v>25</v>
      </c>
      <c r="C33" s="10">
        <v>46768.008000000002</v>
      </c>
      <c r="D33" s="10">
        <v>46768.008000000002</v>
      </c>
      <c r="E33" s="10">
        <v>74928.758449999994</v>
      </c>
      <c r="F33" s="10">
        <v>77384.884030000001</v>
      </c>
      <c r="G33" s="10">
        <v>-2456.1255799999999</v>
      </c>
      <c r="H33" s="10">
        <v>0</v>
      </c>
      <c r="I33" s="10">
        <v>0.2403533917886774</v>
      </c>
      <c r="J33" s="10">
        <v>0</v>
      </c>
      <c r="K33" s="10">
        <v>0</v>
      </c>
      <c r="L33" s="10">
        <v>0</v>
      </c>
      <c r="M33" s="10">
        <v>0</v>
      </c>
    </row>
  </sheetData>
  <mergeCells count="4">
    <mergeCell ref="A27:A28"/>
    <mergeCell ref="A2:A21"/>
    <mergeCell ref="A29:A32"/>
    <mergeCell ref="A23:A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68CAA-2E80-7440-B300-72A695C04C9B}">
  <dimension ref="A1:N35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  <c r="N1" s="11" t="s">
        <v>62</v>
      </c>
    </row>
    <row r="2" spans="1:14" x14ac:dyDescent="0.2">
      <c r="A2" s="12" t="s">
        <v>61</v>
      </c>
      <c r="B2" s="11" t="s">
        <v>60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2"/>
      <c r="B3" s="11" t="s">
        <v>59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2"/>
      <c r="B4" s="11" t="s">
        <v>58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2"/>
      <c r="B5" s="11" t="s">
        <v>57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2"/>
      <c r="B6" s="11" t="s">
        <v>56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2"/>
      <c r="B7" s="11" t="s">
        <v>55</v>
      </c>
      <c r="C7" s="10">
        <v>13695</v>
      </c>
      <c r="D7" s="10">
        <v>13695</v>
      </c>
      <c r="E7" s="10">
        <v>4424704.8877499998</v>
      </c>
      <c r="F7" s="10">
        <v>0</v>
      </c>
      <c r="G7" s="10">
        <v>4424704.8877499998</v>
      </c>
      <c r="H7" s="10">
        <v>0</v>
      </c>
      <c r="I7" s="10">
        <v>0.147866853596203</v>
      </c>
      <c r="J7" s="10">
        <v>25498870.11225</v>
      </c>
      <c r="K7" s="10">
        <v>0</v>
      </c>
      <c r="L7" s="10">
        <v>56724086.341349997</v>
      </c>
      <c r="M7" s="10">
        <v>56724086.341349997</v>
      </c>
      <c r="N7" s="10">
        <v>12.819857558522299</v>
      </c>
    </row>
    <row r="8" spans="1:14" x14ac:dyDescent="0.2">
      <c r="A8" s="12"/>
      <c r="B8" s="11" t="s">
        <v>54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2"/>
      <c r="B9" s="11" t="s">
        <v>53</v>
      </c>
      <c r="C9" s="10">
        <v>11</v>
      </c>
      <c r="D9" s="10">
        <v>11</v>
      </c>
      <c r="E9" s="10">
        <v>5596.4070000000002</v>
      </c>
      <c r="F9" s="10">
        <v>0</v>
      </c>
      <c r="G9" s="10">
        <v>5596.4070000000002</v>
      </c>
      <c r="H9" s="10">
        <v>0</v>
      </c>
      <c r="I9" s="10">
        <v>0.23284363636363639</v>
      </c>
      <c r="J9" s="10">
        <v>18438.593000000001</v>
      </c>
      <c r="K9" s="10">
        <v>0</v>
      </c>
      <c r="L9" s="10">
        <v>69731.231220000001</v>
      </c>
      <c r="M9" s="10">
        <v>125776.24849</v>
      </c>
      <c r="N9" s="10">
        <v>22.474504935032481</v>
      </c>
    </row>
    <row r="10" spans="1:14" x14ac:dyDescent="0.2">
      <c r="A10" s="12"/>
      <c r="B10" s="11" t="s">
        <v>52</v>
      </c>
      <c r="C10" s="10">
        <v>834.51107000000002</v>
      </c>
      <c r="D10" s="10">
        <v>834.51107000000002</v>
      </c>
      <c r="E10" s="10">
        <v>13201.84275</v>
      </c>
      <c r="F10" s="10">
        <v>0</v>
      </c>
      <c r="G10" s="10">
        <v>13201.84275</v>
      </c>
      <c r="H10" s="10">
        <v>0</v>
      </c>
      <c r="I10" s="10">
        <v>7.2402035361855636E-3</v>
      </c>
      <c r="J10" s="10">
        <v>1810204.8368800001</v>
      </c>
      <c r="K10" s="10">
        <v>0</v>
      </c>
      <c r="L10" s="10">
        <v>712899.50870000001</v>
      </c>
      <c r="M10" s="10">
        <v>761605.38538999995</v>
      </c>
      <c r="N10" s="10">
        <v>57.68935606079414</v>
      </c>
    </row>
    <row r="11" spans="1:14" x14ac:dyDescent="0.2">
      <c r="A11" s="12"/>
      <c r="B11" s="11" t="s">
        <v>51</v>
      </c>
      <c r="C11" s="10">
        <v>1897.296</v>
      </c>
      <c r="D11" s="10">
        <v>1897.296</v>
      </c>
      <c r="E11" s="10">
        <v>1356105.7807199999</v>
      </c>
      <c r="F11" s="10">
        <v>0</v>
      </c>
      <c r="G11" s="10">
        <v>1356105.7807199999</v>
      </c>
      <c r="H11" s="10">
        <v>0</v>
      </c>
      <c r="I11" s="10">
        <v>0.32711995387119353</v>
      </c>
      <c r="J11" s="10">
        <v>302130.92327999999</v>
      </c>
      <c r="K11" s="10">
        <v>0</v>
      </c>
      <c r="L11" s="10">
        <v>0</v>
      </c>
      <c r="M11" s="10">
        <v>9938540.0255699996</v>
      </c>
      <c r="N11" s="10">
        <v>7.3287350619932496</v>
      </c>
    </row>
    <row r="12" spans="1:14" x14ac:dyDescent="0.2">
      <c r="A12" s="12"/>
      <c r="B12" s="11" t="s">
        <v>50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2"/>
      <c r="B13" s="11" t="s">
        <v>49</v>
      </c>
      <c r="C13" s="10">
        <v>254.358</v>
      </c>
      <c r="D13" s="10">
        <v>254.358</v>
      </c>
      <c r="E13" s="10">
        <v>239027.09088</v>
      </c>
      <c r="F13" s="10">
        <v>0</v>
      </c>
      <c r="G13" s="10">
        <v>239027.09088</v>
      </c>
      <c r="H13" s="10">
        <v>0</v>
      </c>
      <c r="I13" s="10">
        <v>0.4300810275281296</v>
      </c>
      <c r="J13" s="10">
        <v>34742.459929999997</v>
      </c>
      <c r="K13" s="10">
        <v>0</v>
      </c>
      <c r="L13" s="10">
        <v>0</v>
      </c>
      <c r="M13" s="10">
        <v>2227731.6037699999</v>
      </c>
      <c r="N13" s="10">
        <v>9.3199962886633756</v>
      </c>
    </row>
    <row r="14" spans="1:14" x14ac:dyDescent="0.2">
      <c r="A14" s="12"/>
      <c r="B14" s="11" t="s">
        <v>48</v>
      </c>
      <c r="C14" s="10">
        <v>4570</v>
      </c>
      <c r="D14" s="10">
        <v>4570</v>
      </c>
      <c r="E14" s="10">
        <v>4614434.9876699997</v>
      </c>
      <c r="F14" s="10">
        <v>0</v>
      </c>
      <c r="G14" s="10">
        <v>4614434.9876699997</v>
      </c>
      <c r="H14" s="10">
        <v>0</v>
      </c>
      <c r="I14" s="10">
        <v>0.46211587746170679</v>
      </c>
      <c r="J14" s="10">
        <v>5371015.0123300003</v>
      </c>
      <c r="K14" s="10">
        <v>0</v>
      </c>
      <c r="L14" s="10">
        <v>46144349.87669</v>
      </c>
      <c r="M14" s="10">
        <v>84585096.190799996</v>
      </c>
      <c r="N14" s="10">
        <v>18.33054239391565</v>
      </c>
    </row>
    <row r="15" spans="1:14" x14ac:dyDescent="0.2">
      <c r="A15" s="12"/>
      <c r="B15" s="11" t="s">
        <v>47</v>
      </c>
      <c r="C15" s="10">
        <v>53544.201999999997</v>
      </c>
      <c r="D15" s="10">
        <v>53544.201999999997</v>
      </c>
      <c r="E15" s="10">
        <v>26241160.004579999</v>
      </c>
      <c r="F15" s="10">
        <v>0</v>
      </c>
      <c r="G15" s="10">
        <v>26241160.004579999</v>
      </c>
      <c r="H15" s="10">
        <v>0</v>
      </c>
      <c r="I15" s="10">
        <v>0.22429476509893639</v>
      </c>
      <c r="J15" s="10">
        <v>5873686.1049899999</v>
      </c>
      <c r="K15" s="10">
        <v>0</v>
      </c>
      <c r="L15" s="10">
        <v>0</v>
      </c>
      <c r="M15" s="10">
        <v>118260885.67418</v>
      </c>
      <c r="N15" s="10">
        <v>4.5066942805151413</v>
      </c>
    </row>
    <row r="16" spans="1:14" x14ac:dyDescent="0.2">
      <c r="A16" s="12"/>
      <c r="B16" s="11" t="s">
        <v>46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2"/>
      <c r="B17" s="11" t="s">
        <v>45</v>
      </c>
      <c r="C17" s="10">
        <v>27270.741000000002</v>
      </c>
      <c r="D17" s="10">
        <v>27270.741000000002</v>
      </c>
      <c r="E17" s="10">
        <v>11039888.9365</v>
      </c>
      <c r="F17" s="10">
        <v>0</v>
      </c>
      <c r="G17" s="10">
        <v>11039888.9365</v>
      </c>
      <c r="H17" s="10">
        <v>0</v>
      </c>
      <c r="I17" s="10">
        <v>0.18527478772945699</v>
      </c>
      <c r="J17" s="10">
        <v>3295245.4199100002</v>
      </c>
      <c r="K17" s="10">
        <v>0</v>
      </c>
      <c r="L17" s="10">
        <v>0</v>
      </c>
      <c r="M17" s="10">
        <v>47764884.122560002</v>
      </c>
      <c r="N17" s="10">
        <v>4.3265728845600337</v>
      </c>
    </row>
    <row r="18" spans="1:14" x14ac:dyDescent="0.2">
      <c r="A18" s="12"/>
      <c r="B18" s="11" t="s">
        <v>44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2"/>
      <c r="B19" s="11" t="s">
        <v>43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2"/>
      <c r="B20" s="11" t="s">
        <v>42</v>
      </c>
      <c r="C20" s="10">
        <v>40470.421999999999</v>
      </c>
      <c r="D20" s="10">
        <v>40470.421999999999</v>
      </c>
      <c r="E20" s="10">
        <v>13359275.55985</v>
      </c>
      <c r="F20" s="10">
        <v>0</v>
      </c>
      <c r="G20" s="10">
        <v>13359275.55985</v>
      </c>
      <c r="H20" s="10">
        <v>0</v>
      </c>
      <c r="I20" s="10">
        <v>0.15107539328351949</v>
      </c>
      <c r="J20" s="10">
        <v>1206265.89937</v>
      </c>
      <c r="K20" s="10">
        <v>0</v>
      </c>
      <c r="L20" s="10">
        <v>0</v>
      </c>
      <c r="M20" s="10">
        <v>104793838.28625999</v>
      </c>
      <c r="N20" s="10">
        <v>7.8442755289699182</v>
      </c>
    </row>
    <row r="21" spans="1:14" x14ac:dyDescent="0.2">
      <c r="A21" s="12"/>
      <c r="B21" s="11" t="s">
        <v>41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40</v>
      </c>
      <c r="B22" s="11" t="s">
        <v>39</v>
      </c>
      <c r="C22" s="10">
        <v>230800</v>
      </c>
      <c r="D22" s="10">
        <v>230800</v>
      </c>
      <c r="E22" s="10">
        <v>34380051.060230002</v>
      </c>
      <c r="F22" s="10">
        <v>23350522.3508</v>
      </c>
      <c r="G22" s="10">
        <v>11029528.70943</v>
      </c>
      <c r="H22" s="10">
        <v>-11029528.70943</v>
      </c>
      <c r="I22" s="10">
        <v>0.1144771016464471</v>
      </c>
      <c r="J22" s="10">
        <v>0</v>
      </c>
      <c r="K22" s="10">
        <v>0</v>
      </c>
      <c r="L22" s="10">
        <v>0</v>
      </c>
      <c r="M22" s="10">
        <v>144431803.52017</v>
      </c>
      <c r="N22" s="10">
        <v>2.501825202867098</v>
      </c>
    </row>
    <row r="23" spans="1:14" x14ac:dyDescent="0.2">
      <c r="A23" s="12" t="s">
        <v>38</v>
      </c>
      <c r="B23" s="11" t="s">
        <v>37</v>
      </c>
      <c r="C23" s="10">
        <v>12450</v>
      </c>
      <c r="D23" s="10">
        <v>12450</v>
      </c>
      <c r="E23" s="10">
        <v>10157671.278279999</v>
      </c>
      <c r="F23" s="10">
        <v>5619512.4190499997</v>
      </c>
      <c r="G23" s="10">
        <v>4538158.8592299996</v>
      </c>
      <c r="H23" s="10">
        <v>-4538158.8592299996</v>
      </c>
      <c r="I23" s="10">
        <v>0.57997422008032129</v>
      </c>
      <c r="J23" s="10">
        <v>31741408.859230001</v>
      </c>
      <c r="K23" s="10">
        <v>0</v>
      </c>
      <c r="L23" s="10">
        <v>0</v>
      </c>
      <c r="M23" s="10">
        <v>97900389.966299996</v>
      </c>
      <c r="N23" s="10">
        <v>6.2051879361750437</v>
      </c>
    </row>
    <row r="24" spans="1:14" x14ac:dyDescent="0.2">
      <c r="A24" s="12"/>
      <c r="B24" s="11" t="s">
        <v>74</v>
      </c>
      <c r="C24" s="10">
        <v>28000000</v>
      </c>
      <c r="D24" s="10">
        <v>28000000</v>
      </c>
      <c r="E24" s="10">
        <v>0</v>
      </c>
      <c r="F24" s="10">
        <v>467454.78142999997</v>
      </c>
      <c r="G24" s="10">
        <v>-467454.78142999997</v>
      </c>
      <c r="H24" s="10">
        <v>0</v>
      </c>
      <c r="I24" s="10">
        <v>7.6406471428571426E-6</v>
      </c>
      <c r="J24" s="10">
        <v>61179532545.218582</v>
      </c>
      <c r="K24" s="10">
        <v>0</v>
      </c>
      <c r="L24" s="10">
        <v>4.67455</v>
      </c>
      <c r="M24" s="10">
        <v>-2583908.3659199998</v>
      </c>
      <c r="N24" s="10">
        <v>-5.5276112550675869</v>
      </c>
    </row>
    <row r="25" spans="1:14" x14ac:dyDescent="0.2">
      <c r="A25" s="12"/>
      <c r="B25" s="11" t="s">
        <v>36</v>
      </c>
      <c r="C25" s="10">
        <v>3653.0947500000002</v>
      </c>
      <c r="D25" s="10">
        <v>3653.0947500000002</v>
      </c>
      <c r="E25" s="10">
        <v>0</v>
      </c>
      <c r="F25" s="10">
        <v>112315.75186</v>
      </c>
      <c r="G25" s="10">
        <v>-112315.75186</v>
      </c>
      <c r="H25" s="10">
        <v>0</v>
      </c>
      <c r="I25" s="10">
        <v>1.407110779155126E-2</v>
      </c>
      <c r="J25" s="10">
        <v>7869696.2867799997</v>
      </c>
      <c r="K25" s="10">
        <v>0</v>
      </c>
      <c r="L25" s="10">
        <v>0</v>
      </c>
      <c r="M25" s="10">
        <v>0</v>
      </c>
    </row>
    <row r="26" spans="1:14" x14ac:dyDescent="0.2">
      <c r="A26" s="12"/>
      <c r="B26" s="11" t="s">
        <v>35</v>
      </c>
      <c r="C26" s="10">
        <v>278.38099999999997</v>
      </c>
      <c r="D26" s="10">
        <v>278.38099999999997</v>
      </c>
      <c r="E26" s="10">
        <v>0</v>
      </c>
      <c r="F26" s="10">
        <v>76097.328339999993</v>
      </c>
      <c r="G26" s="10">
        <v>-76097.328339999993</v>
      </c>
      <c r="H26" s="10">
        <v>0</v>
      </c>
      <c r="I26" s="10">
        <v>0.12510605968079719</v>
      </c>
      <c r="J26" s="10">
        <v>532165.15665999998</v>
      </c>
      <c r="K26" s="10">
        <v>0</v>
      </c>
      <c r="L26" s="10">
        <v>380486.64169999998</v>
      </c>
      <c r="M26" s="10">
        <v>0</v>
      </c>
    </row>
    <row r="27" spans="1:14" x14ac:dyDescent="0.2">
      <c r="A27" s="12"/>
      <c r="B27" s="11" t="s">
        <v>75</v>
      </c>
      <c r="C27" s="10">
        <v>182000000</v>
      </c>
      <c r="D27" s="10">
        <v>182000000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397670000000</v>
      </c>
      <c r="K27" s="10">
        <v>0</v>
      </c>
      <c r="L27" s="10">
        <v>0</v>
      </c>
      <c r="M27" s="10">
        <v>0</v>
      </c>
    </row>
    <row r="28" spans="1:14" x14ac:dyDescent="0.2">
      <c r="A28" s="12" t="s">
        <v>34</v>
      </c>
      <c r="B28" s="11" t="s">
        <v>33</v>
      </c>
      <c r="C28" s="10">
        <v>0</v>
      </c>
      <c r="D28" s="10">
        <v>0</v>
      </c>
      <c r="E28" s="10">
        <v>0</v>
      </c>
      <c r="F28" s="10">
        <v>4693920.3252499998</v>
      </c>
      <c r="G28" s="10">
        <v>-4693920.3252499998</v>
      </c>
      <c r="H28" s="10">
        <v>0</v>
      </c>
      <c r="J28" s="10">
        <v>0</v>
      </c>
      <c r="K28" s="10">
        <v>0</v>
      </c>
      <c r="L28" s="10">
        <v>0</v>
      </c>
      <c r="M28" s="10">
        <v>-43972049.800729997</v>
      </c>
      <c r="N28" s="10">
        <v>-9.3678730626956828</v>
      </c>
    </row>
    <row r="29" spans="1:14" x14ac:dyDescent="0.2">
      <c r="A29" s="12"/>
      <c r="B29" s="11" t="s">
        <v>32</v>
      </c>
      <c r="C29" s="10">
        <v>0</v>
      </c>
      <c r="D29" s="10">
        <v>0</v>
      </c>
      <c r="E29" s="10">
        <v>0</v>
      </c>
      <c r="F29" s="10">
        <v>52178335.791649997</v>
      </c>
      <c r="G29" s="10">
        <v>-52178335.791649997</v>
      </c>
      <c r="H29" s="10">
        <v>0</v>
      </c>
      <c r="J29" s="10">
        <v>0</v>
      </c>
      <c r="K29" s="10">
        <v>0</v>
      </c>
      <c r="L29" s="10">
        <v>0</v>
      </c>
      <c r="M29" s="10">
        <v>-475169274.52468002</v>
      </c>
      <c r="N29" s="10">
        <v>-9.1066391327897094</v>
      </c>
    </row>
    <row r="30" spans="1:14" x14ac:dyDescent="0.2">
      <c r="A30" s="12" t="s">
        <v>31</v>
      </c>
      <c r="B30" s="11" t="s">
        <v>30</v>
      </c>
      <c r="C30" s="10">
        <v>26471.973000000002</v>
      </c>
      <c r="D30" s="10">
        <v>26471.973000000002</v>
      </c>
      <c r="E30" s="10">
        <v>3849126.7437999998</v>
      </c>
      <c r="F30" s="10">
        <v>6768274.7479699999</v>
      </c>
      <c r="G30" s="10">
        <v>-2919148.0041800002</v>
      </c>
      <c r="H30" s="10">
        <v>0</v>
      </c>
      <c r="I30" s="10">
        <v>0.1835610307550555</v>
      </c>
      <c r="J30" s="10">
        <v>60760409.009180002</v>
      </c>
      <c r="K30" s="10">
        <v>0</v>
      </c>
      <c r="L30" s="10">
        <v>0</v>
      </c>
      <c r="M30" s="10">
        <v>19348980.45572</v>
      </c>
      <c r="N30" s="10">
        <v>1.822383798363304</v>
      </c>
    </row>
    <row r="31" spans="1:14" x14ac:dyDescent="0.2">
      <c r="A31" s="12"/>
      <c r="B31" s="11" t="s">
        <v>29</v>
      </c>
      <c r="C31" s="10">
        <v>857.70799999999997</v>
      </c>
      <c r="D31" s="10">
        <v>857.70799999999997</v>
      </c>
      <c r="E31" s="10">
        <v>189258.97099</v>
      </c>
      <c r="F31" s="10">
        <v>300589.77091000002</v>
      </c>
      <c r="G31" s="10">
        <v>-111330.79992</v>
      </c>
      <c r="H31" s="10">
        <v>0</v>
      </c>
      <c r="I31" s="10">
        <v>0.26137924561738962</v>
      </c>
      <c r="J31" s="10">
        <v>1985422.7799199999</v>
      </c>
      <c r="K31" s="10">
        <v>0</v>
      </c>
      <c r="L31" s="10">
        <v>0</v>
      </c>
      <c r="M31" s="10">
        <v>637627.77587999997</v>
      </c>
      <c r="N31" s="10">
        <v>1.301682965034513</v>
      </c>
    </row>
    <row r="32" spans="1:14" x14ac:dyDescent="0.2">
      <c r="A32" s="12"/>
      <c r="B32" s="11" t="s">
        <v>28</v>
      </c>
      <c r="C32" s="10">
        <v>457.99400000000003</v>
      </c>
      <c r="D32" s="10">
        <v>457.99400000000003</v>
      </c>
      <c r="E32" s="10">
        <v>34079.630570000001</v>
      </c>
      <c r="F32" s="10">
        <v>226827.36958999999</v>
      </c>
      <c r="G32" s="10">
        <v>-192747.73902000001</v>
      </c>
      <c r="H32" s="10">
        <v>0</v>
      </c>
      <c r="I32" s="10">
        <v>0.26072009676982671</v>
      </c>
      <c r="J32" s="10">
        <v>1193464.6290200001</v>
      </c>
      <c r="K32" s="10">
        <v>0</v>
      </c>
      <c r="L32" s="10">
        <v>0</v>
      </c>
      <c r="M32" s="10">
        <v>643440.39951999998</v>
      </c>
      <c r="N32" s="10">
        <v>2.4661675777149048</v>
      </c>
    </row>
    <row r="33" spans="1:14" x14ac:dyDescent="0.2">
      <c r="A33" s="12"/>
      <c r="B33" s="11" t="s">
        <v>27</v>
      </c>
      <c r="C33" s="10">
        <v>5300</v>
      </c>
      <c r="D33" s="10">
        <v>5300</v>
      </c>
      <c r="E33" s="10">
        <v>1085733.87858</v>
      </c>
      <c r="F33" s="10">
        <v>2322833.6000799998</v>
      </c>
      <c r="G33" s="10">
        <v>-1237099.7214899999</v>
      </c>
      <c r="H33" s="10">
        <v>0</v>
      </c>
      <c r="I33" s="10">
        <v>0.29433681509433962</v>
      </c>
      <c r="J33" s="10">
        <v>12817599.721489999</v>
      </c>
      <c r="K33" s="10">
        <v>0</v>
      </c>
      <c r="L33" s="10">
        <v>0</v>
      </c>
      <c r="M33" s="10">
        <v>11435444.7719</v>
      </c>
      <c r="N33" s="10">
        <v>3.3549122378808329</v>
      </c>
    </row>
    <row r="34" spans="1:14" x14ac:dyDescent="0.2">
      <c r="A34" s="12" t="s">
        <v>26</v>
      </c>
      <c r="B34" s="11" t="s">
        <v>74</v>
      </c>
      <c r="C34" s="10">
        <v>14000000</v>
      </c>
      <c r="D34" s="10">
        <v>14000000</v>
      </c>
      <c r="E34" s="10">
        <v>233727.39071000001</v>
      </c>
      <c r="F34" s="10">
        <v>233727.39071000001</v>
      </c>
      <c r="G34" s="10">
        <v>0</v>
      </c>
      <c r="H34" s="10">
        <v>0</v>
      </c>
      <c r="I34" s="10">
        <v>0.99805665786785713</v>
      </c>
      <c r="J34" s="10">
        <v>0</v>
      </c>
      <c r="K34" s="10">
        <v>0</v>
      </c>
      <c r="L34" s="10">
        <v>0</v>
      </c>
      <c r="M34" s="10">
        <v>0</v>
      </c>
    </row>
    <row r="35" spans="1:14" x14ac:dyDescent="0.2">
      <c r="A35" s="12"/>
      <c r="B35" s="11" t="s">
        <v>25</v>
      </c>
      <c r="C35" s="10">
        <v>46768.008000000002</v>
      </c>
      <c r="D35" s="10">
        <v>46768.008000000002</v>
      </c>
      <c r="E35" s="10">
        <v>74713.556039999996</v>
      </c>
      <c r="F35" s="10">
        <v>77237.254000000001</v>
      </c>
      <c r="G35" s="10">
        <v>-2523.69796</v>
      </c>
      <c r="H35" s="10">
        <v>0</v>
      </c>
      <c r="I35" s="10">
        <v>0.24696594047794379</v>
      </c>
      <c r="J35" s="10">
        <v>0</v>
      </c>
      <c r="K35" s="10">
        <v>0</v>
      </c>
      <c r="L35" s="10">
        <v>0</v>
      </c>
      <c r="M35" s="10">
        <v>0</v>
      </c>
    </row>
  </sheetData>
  <mergeCells count="5">
    <mergeCell ref="A34:A35"/>
    <mergeCell ref="A28:A29"/>
    <mergeCell ref="A2:A21"/>
    <mergeCell ref="A30:A33"/>
    <mergeCell ref="A23:A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AD5BD-2A50-C441-9202-778DA4CB31A1}">
  <dimension ref="A1:M30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3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</row>
    <row r="2" spans="1:13" x14ac:dyDescent="0.2">
      <c r="A2" s="12" t="s">
        <v>61</v>
      </c>
      <c r="B2" s="11" t="s">
        <v>60</v>
      </c>
      <c r="C2" s="10">
        <v>0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</row>
    <row r="3" spans="1:13" x14ac:dyDescent="0.2">
      <c r="A3" s="12"/>
      <c r="B3" s="11" t="s">
        <v>59</v>
      </c>
      <c r="C3" s="10">
        <v>0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</row>
    <row r="4" spans="1:13" x14ac:dyDescent="0.2">
      <c r="A4" s="12"/>
      <c r="B4" s="11" t="s">
        <v>58</v>
      </c>
      <c r="C4" s="10">
        <v>0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</row>
    <row r="5" spans="1:13" x14ac:dyDescent="0.2">
      <c r="A5" s="12"/>
      <c r="B5" s="11" t="s">
        <v>57</v>
      </c>
      <c r="C5" s="10">
        <v>0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</row>
    <row r="6" spans="1:13" x14ac:dyDescent="0.2">
      <c r="A6" s="12"/>
      <c r="B6" s="11" t="s">
        <v>56</v>
      </c>
      <c r="C6" s="10">
        <v>0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</row>
    <row r="7" spans="1:13" x14ac:dyDescent="0.2">
      <c r="A7" s="12"/>
      <c r="B7" s="11" t="s">
        <v>55</v>
      </c>
      <c r="C7" s="10">
        <v>0</v>
      </c>
      <c r="D7" s="10">
        <v>13695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 spans="1:13" x14ac:dyDescent="0.2">
      <c r="A8" s="12"/>
      <c r="B8" s="11" t="s">
        <v>54</v>
      </c>
      <c r="C8" s="10">
        <v>0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</row>
    <row r="9" spans="1:13" x14ac:dyDescent="0.2">
      <c r="A9" s="12"/>
      <c r="B9" s="11" t="s">
        <v>53</v>
      </c>
      <c r="C9" s="10">
        <v>0</v>
      </c>
      <c r="D9" s="10">
        <v>11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 spans="1:13" x14ac:dyDescent="0.2">
      <c r="A10" s="12"/>
      <c r="B10" s="11" t="s">
        <v>52</v>
      </c>
      <c r="C10" s="10">
        <v>0</v>
      </c>
      <c r="D10" s="10">
        <v>834.51107000000002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</row>
    <row r="11" spans="1:13" x14ac:dyDescent="0.2">
      <c r="A11" s="12"/>
      <c r="B11" s="11" t="s">
        <v>51</v>
      </c>
      <c r="C11" s="10">
        <v>0</v>
      </c>
      <c r="D11" s="10">
        <v>1897.296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 spans="1:13" x14ac:dyDescent="0.2">
      <c r="A12" s="12"/>
      <c r="B12" s="11" t="s">
        <v>50</v>
      </c>
      <c r="C12" s="10">
        <v>0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</row>
    <row r="13" spans="1:13" x14ac:dyDescent="0.2">
      <c r="A13" s="12"/>
      <c r="B13" s="11" t="s">
        <v>49</v>
      </c>
      <c r="C13" s="10">
        <v>0</v>
      </c>
      <c r="D13" s="10">
        <v>254.358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 spans="1:13" x14ac:dyDescent="0.2">
      <c r="A14" s="12"/>
      <c r="B14" s="11" t="s">
        <v>48</v>
      </c>
      <c r="C14" s="10">
        <v>0</v>
      </c>
      <c r="D14" s="10">
        <v>4570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</row>
    <row r="15" spans="1:13" x14ac:dyDescent="0.2">
      <c r="A15" s="12"/>
      <c r="B15" s="11" t="s">
        <v>47</v>
      </c>
      <c r="C15" s="10">
        <v>0</v>
      </c>
      <c r="D15" s="10">
        <v>53544.201999999997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 spans="1:13" x14ac:dyDescent="0.2">
      <c r="A16" s="12"/>
      <c r="B16" s="11" t="s">
        <v>46</v>
      </c>
      <c r="C16" s="10">
        <v>0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</row>
    <row r="17" spans="1:13" x14ac:dyDescent="0.2">
      <c r="A17" s="12"/>
      <c r="B17" s="11" t="s">
        <v>45</v>
      </c>
      <c r="C17" s="10">
        <v>0</v>
      </c>
      <c r="D17" s="10">
        <v>27270.741000000002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 spans="1:13" x14ac:dyDescent="0.2">
      <c r="A18" s="12"/>
      <c r="B18" s="11" t="s">
        <v>44</v>
      </c>
      <c r="C18" s="10">
        <v>0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</row>
    <row r="19" spans="1:13" x14ac:dyDescent="0.2">
      <c r="A19" s="12"/>
      <c r="B19" s="11" t="s">
        <v>43</v>
      </c>
      <c r="C19" s="10">
        <v>0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 spans="1:13" x14ac:dyDescent="0.2">
      <c r="A20" s="12"/>
      <c r="B20" s="11" t="s">
        <v>42</v>
      </c>
      <c r="C20" s="10">
        <v>0</v>
      </c>
      <c r="D20" s="10">
        <v>40470.421999999999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</row>
    <row r="21" spans="1:13" x14ac:dyDescent="0.2">
      <c r="A21" s="12"/>
      <c r="B21" s="11" t="s">
        <v>41</v>
      </c>
      <c r="C21" s="10">
        <v>0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 spans="1:13" x14ac:dyDescent="0.2">
      <c r="A22" s="11" t="s">
        <v>40</v>
      </c>
      <c r="B22" s="11" t="s">
        <v>39</v>
      </c>
      <c r="C22" s="10">
        <v>0</v>
      </c>
      <c r="D22" s="10">
        <v>230800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</row>
    <row r="23" spans="1:13" x14ac:dyDescent="0.2">
      <c r="A23" s="12" t="s">
        <v>38</v>
      </c>
      <c r="B23" s="11" t="s">
        <v>37</v>
      </c>
      <c r="C23" s="10">
        <v>0</v>
      </c>
      <c r="D23" s="10">
        <v>12450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 spans="1:13" x14ac:dyDescent="0.2">
      <c r="A24" s="12"/>
      <c r="B24" s="11" t="s">
        <v>36</v>
      </c>
      <c r="C24" s="10">
        <v>0</v>
      </c>
      <c r="D24" s="10">
        <v>3653.0947500000002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</row>
    <row r="25" spans="1:13" x14ac:dyDescent="0.2">
      <c r="A25" s="12"/>
      <c r="B25" s="11" t="s">
        <v>35</v>
      </c>
      <c r="C25" s="10">
        <v>0</v>
      </c>
      <c r="D25" s="10">
        <v>278.38099999999997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 spans="1:13" x14ac:dyDescent="0.2">
      <c r="A26" s="12" t="s">
        <v>31</v>
      </c>
      <c r="B26" s="11" t="s">
        <v>30</v>
      </c>
      <c r="C26" s="10">
        <v>0</v>
      </c>
      <c r="D26" s="10">
        <v>26471.973000000002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</row>
    <row r="27" spans="1:13" x14ac:dyDescent="0.2">
      <c r="A27" s="12"/>
      <c r="B27" s="11" t="s">
        <v>29</v>
      </c>
      <c r="C27" s="10">
        <v>0</v>
      </c>
      <c r="D27" s="10">
        <v>857.70799999999997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 spans="1:13" x14ac:dyDescent="0.2">
      <c r="A28" s="12"/>
      <c r="B28" s="11" t="s">
        <v>28</v>
      </c>
      <c r="C28" s="10">
        <v>0</v>
      </c>
      <c r="D28" s="10">
        <v>457.99400000000003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</row>
    <row r="29" spans="1:13" x14ac:dyDescent="0.2">
      <c r="A29" s="12"/>
      <c r="B29" s="11" t="s">
        <v>27</v>
      </c>
      <c r="C29" s="10">
        <v>0</v>
      </c>
      <c r="D29" s="10">
        <v>5300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 spans="1:13" x14ac:dyDescent="0.2">
      <c r="A30" s="11" t="s">
        <v>26</v>
      </c>
      <c r="B30" s="11" t="s">
        <v>25</v>
      </c>
      <c r="C30" s="10">
        <v>0</v>
      </c>
      <c r="D30" s="10">
        <v>46768.008000000002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</row>
  </sheetData>
  <mergeCells count="3">
    <mergeCell ref="A26:A29"/>
    <mergeCell ref="A2:A21"/>
    <mergeCell ref="A23:A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84112-51A4-9A4C-A020-A48A15871351}">
  <dimension ref="A1:M33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3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</row>
    <row r="2" spans="1:13" x14ac:dyDescent="0.2">
      <c r="A2" s="12" t="s">
        <v>61</v>
      </c>
      <c r="B2" s="11" t="s">
        <v>60</v>
      </c>
      <c r="C2" s="10">
        <v>0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</row>
    <row r="3" spans="1:13" x14ac:dyDescent="0.2">
      <c r="A3" s="12"/>
      <c r="B3" s="11" t="s">
        <v>59</v>
      </c>
      <c r="C3" s="10">
        <v>0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</row>
    <row r="4" spans="1:13" x14ac:dyDescent="0.2">
      <c r="A4" s="12"/>
      <c r="B4" s="11" t="s">
        <v>58</v>
      </c>
      <c r="C4" s="10">
        <v>0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</row>
    <row r="5" spans="1:13" x14ac:dyDescent="0.2">
      <c r="A5" s="12"/>
      <c r="B5" s="11" t="s">
        <v>57</v>
      </c>
      <c r="C5" s="10">
        <v>0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</row>
    <row r="6" spans="1:13" x14ac:dyDescent="0.2">
      <c r="A6" s="12"/>
      <c r="B6" s="11" t="s">
        <v>56</v>
      </c>
      <c r="C6" s="10">
        <v>0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</row>
    <row r="7" spans="1:13" x14ac:dyDescent="0.2">
      <c r="A7" s="12"/>
      <c r="B7" s="11" t="s">
        <v>55</v>
      </c>
      <c r="C7" s="10">
        <v>0</v>
      </c>
      <c r="D7" s="10">
        <v>13695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 spans="1:13" x14ac:dyDescent="0.2">
      <c r="A8" s="12"/>
      <c r="B8" s="11" t="s">
        <v>54</v>
      </c>
      <c r="C8" s="10">
        <v>0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</row>
    <row r="9" spans="1:13" x14ac:dyDescent="0.2">
      <c r="A9" s="12"/>
      <c r="B9" s="11" t="s">
        <v>53</v>
      </c>
      <c r="C9" s="10">
        <v>0</v>
      </c>
      <c r="D9" s="10">
        <v>11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 spans="1:13" x14ac:dyDescent="0.2">
      <c r="A10" s="12"/>
      <c r="B10" s="11" t="s">
        <v>52</v>
      </c>
      <c r="C10" s="10">
        <v>0</v>
      </c>
      <c r="D10" s="10">
        <v>834.51107000000002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</row>
    <row r="11" spans="1:13" x14ac:dyDescent="0.2">
      <c r="A11" s="12"/>
      <c r="B11" s="11" t="s">
        <v>51</v>
      </c>
      <c r="C11" s="10">
        <v>0</v>
      </c>
      <c r="D11" s="10">
        <v>1897.296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 spans="1:13" x14ac:dyDescent="0.2">
      <c r="A12" s="12"/>
      <c r="B12" s="11" t="s">
        <v>50</v>
      </c>
      <c r="C12" s="10">
        <v>0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</row>
    <row r="13" spans="1:13" x14ac:dyDescent="0.2">
      <c r="A13" s="12"/>
      <c r="B13" s="11" t="s">
        <v>49</v>
      </c>
      <c r="C13" s="10">
        <v>0</v>
      </c>
      <c r="D13" s="10">
        <v>254.358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 spans="1:13" x14ac:dyDescent="0.2">
      <c r="A14" s="12"/>
      <c r="B14" s="11" t="s">
        <v>48</v>
      </c>
      <c r="C14" s="10">
        <v>0</v>
      </c>
      <c r="D14" s="10">
        <v>4570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</row>
    <row r="15" spans="1:13" x14ac:dyDescent="0.2">
      <c r="A15" s="12"/>
      <c r="B15" s="11" t="s">
        <v>47</v>
      </c>
      <c r="C15" s="10">
        <v>0</v>
      </c>
      <c r="D15" s="10">
        <v>53544.201999999997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 spans="1:13" x14ac:dyDescent="0.2">
      <c r="A16" s="12"/>
      <c r="B16" s="11" t="s">
        <v>46</v>
      </c>
      <c r="C16" s="10">
        <v>0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</row>
    <row r="17" spans="1:13" x14ac:dyDescent="0.2">
      <c r="A17" s="12"/>
      <c r="B17" s="11" t="s">
        <v>45</v>
      </c>
      <c r="C17" s="10">
        <v>0</v>
      </c>
      <c r="D17" s="10">
        <v>27270.741000000002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 spans="1:13" x14ac:dyDescent="0.2">
      <c r="A18" s="12"/>
      <c r="B18" s="11" t="s">
        <v>44</v>
      </c>
      <c r="C18" s="10">
        <v>0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</row>
    <row r="19" spans="1:13" x14ac:dyDescent="0.2">
      <c r="A19" s="12"/>
      <c r="B19" s="11" t="s">
        <v>43</v>
      </c>
      <c r="C19" s="10">
        <v>0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 spans="1:13" x14ac:dyDescent="0.2">
      <c r="A20" s="12"/>
      <c r="B20" s="11" t="s">
        <v>42</v>
      </c>
      <c r="C20" s="10">
        <v>0</v>
      </c>
      <c r="D20" s="10">
        <v>40470.421999999999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</row>
    <row r="21" spans="1:13" x14ac:dyDescent="0.2">
      <c r="A21" s="12"/>
      <c r="B21" s="11" t="s">
        <v>41</v>
      </c>
      <c r="C21" s="10">
        <v>0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 spans="1:13" x14ac:dyDescent="0.2">
      <c r="A22" s="11" t="s">
        <v>40</v>
      </c>
      <c r="B22" s="11" t="s">
        <v>39</v>
      </c>
      <c r="C22" s="10">
        <v>0</v>
      </c>
      <c r="D22" s="10">
        <v>230800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</row>
    <row r="23" spans="1:13" x14ac:dyDescent="0.2">
      <c r="A23" s="12" t="s">
        <v>38</v>
      </c>
      <c r="B23" s="11" t="s">
        <v>37</v>
      </c>
      <c r="C23" s="10">
        <v>0</v>
      </c>
      <c r="D23" s="10">
        <v>12450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 spans="1:13" x14ac:dyDescent="0.2">
      <c r="A24" s="12"/>
      <c r="B24" s="11" t="s">
        <v>74</v>
      </c>
      <c r="C24" s="10">
        <v>0</v>
      </c>
      <c r="D24" s="10">
        <v>28000000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</row>
    <row r="25" spans="1:13" x14ac:dyDescent="0.2">
      <c r="A25" s="12"/>
      <c r="B25" s="11" t="s">
        <v>36</v>
      </c>
      <c r="C25" s="10">
        <v>0</v>
      </c>
      <c r="D25" s="10">
        <v>3653.0947500000002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 spans="1:13" x14ac:dyDescent="0.2">
      <c r="A26" s="12"/>
      <c r="B26" s="11" t="s">
        <v>35</v>
      </c>
      <c r="C26" s="10">
        <v>0</v>
      </c>
      <c r="D26" s="10">
        <v>278.38099999999997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</row>
    <row r="27" spans="1:13" x14ac:dyDescent="0.2">
      <c r="A27" s="12"/>
      <c r="B27" s="11" t="s">
        <v>75</v>
      </c>
      <c r="C27" s="10">
        <v>0</v>
      </c>
      <c r="D27" s="10">
        <v>182000000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 spans="1:13" x14ac:dyDescent="0.2">
      <c r="A28" s="12" t="s">
        <v>31</v>
      </c>
      <c r="B28" s="11" t="s">
        <v>30</v>
      </c>
      <c r="C28" s="10">
        <v>0</v>
      </c>
      <c r="D28" s="10">
        <v>26471.973000000002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</row>
    <row r="29" spans="1:13" x14ac:dyDescent="0.2">
      <c r="A29" s="12"/>
      <c r="B29" s="11" t="s">
        <v>29</v>
      </c>
      <c r="C29" s="10">
        <v>0</v>
      </c>
      <c r="D29" s="10">
        <v>857.70799999999997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 spans="1:13" x14ac:dyDescent="0.2">
      <c r="A30" s="12"/>
      <c r="B30" s="11" t="s">
        <v>28</v>
      </c>
      <c r="C30" s="10">
        <v>0</v>
      </c>
      <c r="D30" s="10">
        <v>457.99400000000003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</row>
    <row r="31" spans="1:13" x14ac:dyDescent="0.2">
      <c r="A31" s="12"/>
      <c r="B31" s="11" t="s">
        <v>27</v>
      </c>
      <c r="C31" s="10">
        <v>0</v>
      </c>
      <c r="D31" s="10">
        <v>5300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 spans="1:13" x14ac:dyDescent="0.2">
      <c r="A32" s="12" t="s">
        <v>26</v>
      </c>
      <c r="B32" s="11" t="s">
        <v>74</v>
      </c>
      <c r="C32" s="10">
        <v>0</v>
      </c>
      <c r="D32" s="10">
        <v>14000000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</row>
    <row r="33" spans="1:13" x14ac:dyDescent="0.2">
      <c r="A33" s="12"/>
      <c r="B33" s="11" t="s">
        <v>25</v>
      </c>
      <c r="C33" s="10">
        <v>0</v>
      </c>
      <c r="D33" s="10">
        <v>46768.008000000002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</sheetData>
  <mergeCells count="4">
    <mergeCell ref="A32:A33"/>
    <mergeCell ref="A23:A27"/>
    <mergeCell ref="A2:A21"/>
    <mergeCell ref="A28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Inflexible</vt:lpstr>
      <vt:lpstr>Temporal</vt:lpstr>
      <vt:lpstr>Spatial</vt:lpstr>
      <vt:lpstr>Both</vt:lpstr>
      <vt:lpstr>CFE</vt:lpstr>
      <vt:lpstr>CFE_both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Górecka</dc:creator>
  <cp:lastModifiedBy>Marta Górecka</cp:lastModifiedBy>
  <dcterms:created xsi:type="dcterms:W3CDTF">2026-08-14T09:11:44Z</dcterms:created>
  <dcterms:modified xsi:type="dcterms:W3CDTF">2026-08-18T12:37:38Z</dcterms:modified>
</cp:coreProperties>
</file>