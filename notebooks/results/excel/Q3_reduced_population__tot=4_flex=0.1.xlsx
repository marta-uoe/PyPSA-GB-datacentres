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33F7FF91-3717-CA48-8050-92B6061FDD26}" xr6:coauthVersionLast="47" xr6:coauthVersionMax="47" xr10:uidLastSave="{00000000-0000-0000-0000-000000000000}"/>
  <bookViews>
    <workbookView xWindow="0" yWindow="660" windowWidth="13540" windowHeight="17400" xr2:uid="{00000000-000D-0000-FFFF-FFFF00000000}"/>
  </bookViews>
  <sheets>
    <sheet name="Summary" sheetId="9" r:id="rId1"/>
    <sheet name="Inflexible" sheetId="1" r:id="rId2"/>
    <sheet name="Temporal" sheetId="2" r:id="rId3"/>
    <sheet name="Spatial" sheetId="3" r:id="rId4"/>
    <sheet name="Both" sheetId="4" r:id="rId5"/>
    <sheet name="CFE" sheetId="5" r:id="rId6"/>
    <sheet name="CFE_both" sheetId="6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9" l="1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B7" i="9"/>
</calcChain>
</file>

<file path=xl/sharedStrings.xml><?xml version="1.0" encoding="utf-8"?>
<sst xmlns="http://schemas.openxmlformats.org/spreadsheetml/2006/main" count="319" uniqueCount="71">
  <si>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</si>
  <si>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</si>
  <si>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</si>
  <si>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</si>
  <si>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</si>
  <si>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</si>
  <si>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</si>
  <si>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</si>
  <si>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</si>
  <si>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</si>
  <si>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</si>
  <si>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</si>
  <si>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</si>
  <si>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</si>
  <si>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</si>
  <si>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</si>
  <si>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</si>
  <si>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Combined Heat &amp; Power</t>
  </si>
  <si>
    <t>European Imports</t>
  </si>
  <si>
    <t>Gas Engine</t>
  </si>
  <si>
    <t>Geothermal</t>
  </si>
  <si>
    <t>Landfill Gas</t>
  </si>
  <si>
    <t>Large Hydro</t>
  </si>
  <si>
    <t>Load Shedding</t>
  </si>
  <si>
    <t>Marine Energy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</si>
  <si>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</si>
  <si>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</si>
  <si>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</si>
  <si>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</si>
  <si>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</si>
  <si>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</si>
  <si>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</si>
  <si>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</si>
  <si>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Line</t>
  </si>
  <si>
    <t>AC</t>
  </si>
  <si>
    <t>Link</t>
  </si>
  <si>
    <t>DC</t>
  </si>
  <si>
    <t>Electrolysis</t>
  </si>
  <si>
    <t>H2 Power Generation</t>
  </si>
  <si>
    <t>Load</t>
  </si>
  <si>
    <t>Data Centre</t>
  </si>
  <si>
    <t>Electricity</t>
  </si>
  <si>
    <t>StorageUnit</t>
  </si>
  <si>
    <t>Battery Storage</t>
  </si>
  <si>
    <t>Domestic Battery Storage</t>
  </si>
  <si>
    <t>Liquid Air Energy Storage</t>
  </si>
  <si>
    <t>Pumped Storage Hydroelectricity</t>
  </si>
  <si>
    <t>Store</t>
  </si>
  <si>
    <t>Hydrogen Gas</t>
  </si>
  <si>
    <t>DSM</t>
  </si>
  <si>
    <t>Virtual Link</t>
  </si>
  <si>
    <t xml:space="preserve"> Network objective</t>
  </si>
  <si>
    <t>DC Cost</t>
  </si>
  <si>
    <t>Total Solar PV Curtailment</t>
  </si>
  <si>
    <t>Total Wind Onshore Curtailment</t>
  </si>
  <si>
    <t>Total Wind Offshore Curtailment</t>
  </si>
  <si>
    <t>Total Green Energy Curtailment</t>
  </si>
  <si>
    <t>CFE + Both</t>
  </si>
  <si>
    <t>CFE</t>
  </si>
  <si>
    <t>Both</t>
  </si>
  <si>
    <t>Spatial</t>
  </si>
  <si>
    <t>Temporal</t>
  </si>
  <si>
    <t>Inflexible</t>
  </si>
  <si>
    <t>Total Storage</t>
  </si>
  <si>
    <t>Total Green Energy</t>
  </si>
  <si>
    <t>x_CFE:</t>
  </si>
  <si>
    <t>Flexibility:</t>
  </si>
  <si>
    <t>Total Capacity [GW]:</t>
  </si>
  <si>
    <t>Scotland</t>
  </si>
  <si>
    <t xml:space="preserve">Data Centre Allocation: </t>
  </si>
  <si>
    <t>BIG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</si>
</sst>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1"/>
    <xf numFmtId="43" fontId="1" fillId="0" borderId="0" xfId="1" applyNumberFormat="1"/>
    <xf numFmtId="0" fontId="3" fillId="0" borderId="0" xfId="1" applyFont="1"/>
    <xf numFmtId="43" fontId="0" fillId="0" borderId="0" xfId="2" applyFont="1"/>
    <xf numFmtId="9" fontId="1" fillId="0" borderId="0" xfId="1" applyNumberFormat="1"/>
    <xf numFmtId="0" fontId="4" fillId="0" borderId="0" xfId="1" applyFont="1"/>
  </cellXfs>
  <cellStyles count="3">
    <cellStyle name="Comma 2" xfId="2" xr:uid="{5E138E76-8C6C-C941-A5DE-CDEA7159F957}"/>
    <cellStyle name="Normal" xfId="0" builtinId="0"/>
    <cellStyle name="Normal 2" xfId="1" xr:uid="{2405E6BB-41A4-2845-8BCE-D2BA2AC9F74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MPLATE.xlsx" TargetMode="External"/><Relationship Id="rId2" Type="http://schemas.openxmlformats.org/officeDocument/2006/relationships/externalLinkPath" Target="/Users/marta/Documents/MSc%20CAM/Dissertation/PyPSA-GB/notebooks/results/TEMPLATE.xlsx" TargetMode="External"/><Relationship Id="rId1" Type="http://schemas.openxmlformats.org/officeDocument/2006/relationships/externalLinkPath" Target="/Users/marta/Documents/MSc%20CAM/Dissertation/PyPSA-GB/notebooks/results/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Inflexible"/>
      <sheetName val="Temporal"/>
      <sheetName val="Spatial"/>
      <sheetName val="Both"/>
      <sheetName val="CFE"/>
      <sheetName val="CFE_both"/>
    </sheetNames>
    <sheetDataSet>
      <sheetData sheetId="0" refreshError="1"/>
      <sheetData sheetId="1">
        <row r="2">
          <cell r="B2" t="str">
            <v>Advanced Biofuel</v>
          </cell>
          <cell r="D2">
            <v>372.43929000000003</v>
          </cell>
          <cell r="J2">
            <v>813779.8</v>
          </cell>
        </row>
        <row r="3">
          <cell r="B3" t="str">
            <v>Biogas</v>
          </cell>
          <cell r="D3">
            <v>1642.8915400000001</v>
          </cell>
          <cell r="J3">
            <v>3589718</v>
          </cell>
        </row>
        <row r="4">
          <cell r="B4" t="str">
            <v>Biomass</v>
          </cell>
          <cell r="D4">
            <v>9185.8067100000007</v>
          </cell>
          <cell r="J4">
            <v>20070990</v>
          </cell>
        </row>
        <row r="5">
          <cell r="B5" t="str">
            <v>Combined Cycle Gas Turbine</v>
          </cell>
          <cell r="D5">
            <v>23586</v>
          </cell>
          <cell r="J5">
            <v>51535410</v>
          </cell>
        </row>
        <row r="6">
          <cell r="B6" t="str">
            <v>Combined Heat &amp; Power</v>
          </cell>
          <cell r="D6">
            <v>3534.0360000000001</v>
          </cell>
          <cell r="J6">
            <v>7721869</v>
          </cell>
        </row>
        <row r="7">
          <cell r="B7" t="str">
            <v>European Imports</v>
          </cell>
          <cell r="D7">
            <v>13695</v>
          </cell>
          <cell r="J7">
            <v>26351820</v>
          </cell>
        </row>
        <row r="8">
          <cell r="B8" t="str">
            <v>Gas Engine</v>
          </cell>
          <cell r="D8">
            <v>4067.2939999999999</v>
          </cell>
          <cell r="J8">
            <v>8887037</v>
          </cell>
        </row>
        <row r="9">
          <cell r="B9" t="str">
            <v>Geothermal</v>
          </cell>
          <cell r="D9">
            <v>11</v>
          </cell>
          <cell r="J9">
            <v>19391.490000000002</v>
          </cell>
        </row>
        <row r="10">
          <cell r="B10" t="str">
            <v>Landfill Gas</v>
          </cell>
          <cell r="D10">
            <v>834.51107000000002</v>
          </cell>
          <cell r="J10">
            <v>1822079</v>
          </cell>
        </row>
        <row r="11">
          <cell r="B11" t="str">
            <v>Large Hydro</v>
          </cell>
          <cell r="D11">
            <v>1897.296</v>
          </cell>
          <cell r="J11">
            <v>241164.7</v>
          </cell>
        </row>
        <row r="12">
          <cell r="B12" t="str">
            <v>Load Shedding</v>
          </cell>
          <cell r="D12">
            <v>48629.190949999997</v>
          </cell>
          <cell r="J12">
            <v>52178340</v>
          </cell>
        </row>
        <row r="13">
          <cell r="B13" t="str">
            <v>Marine Energy</v>
          </cell>
          <cell r="D13">
            <v>254.358</v>
          </cell>
          <cell r="J13">
            <v>35189.86</v>
          </cell>
        </row>
        <row r="14">
          <cell r="B14" t="str">
            <v>Nuclear</v>
          </cell>
          <cell r="D14">
            <v>4570</v>
          </cell>
          <cell r="J14">
            <v>5924094</v>
          </cell>
        </row>
        <row r="15">
          <cell r="B15" t="str">
            <v>Offshore Wind</v>
          </cell>
          <cell r="D15">
            <v>53544.201999999997</v>
          </cell>
          <cell r="J15">
            <v>6642041</v>
          </cell>
        </row>
        <row r="16">
          <cell r="B16" t="str">
            <v>Oil</v>
          </cell>
          <cell r="D16">
            <v>78.5</v>
          </cell>
          <cell r="J16">
            <v>171522.5</v>
          </cell>
        </row>
        <row r="17">
          <cell r="B17" t="str">
            <v>Onshore Wind</v>
          </cell>
          <cell r="D17">
            <v>27270.741000000002</v>
          </cell>
          <cell r="J17">
            <v>3145740</v>
          </cell>
        </row>
        <row r="18">
          <cell r="B18" t="str">
            <v>Open Cycle Gas Turbine</v>
          </cell>
          <cell r="D18">
            <v>3662.89</v>
          </cell>
          <cell r="J18">
            <v>8003415</v>
          </cell>
        </row>
        <row r="19">
          <cell r="B19" t="str">
            <v>Sewage Gas</v>
          </cell>
          <cell r="D19">
            <v>55.819389999999999</v>
          </cell>
          <cell r="J19">
            <v>121965.4</v>
          </cell>
        </row>
        <row r="20">
          <cell r="B20" t="str">
            <v>Solar PV</v>
          </cell>
          <cell r="D20">
            <v>40470.421999999999</v>
          </cell>
          <cell r="J20">
            <v>1348080</v>
          </cell>
        </row>
        <row r="21">
          <cell r="B21" t="str">
            <v>Waste to Energy</v>
          </cell>
          <cell r="D21">
            <v>4643.1779999999999</v>
          </cell>
          <cell r="J21">
            <v>10145340</v>
          </cell>
        </row>
        <row r="22">
          <cell r="B22" t="str">
            <v>AC</v>
          </cell>
          <cell r="D22">
            <v>230800</v>
          </cell>
          <cell r="J22">
            <v>0</v>
          </cell>
        </row>
        <row r="23">
          <cell r="B23" t="str">
            <v>DC</v>
          </cell>
          <cell r="D23">
            <v>12450</v>
          </cell>
          <cell r="J23">
            <v>30866580</v>
          </cell>
        </row>
        <row r="24">
          <cell r="B24" t="str">
            <v>Electrolysis</v>
          </cell>
          <cell r="D24">
            <v>3653.0947500000002</v>
          </cell>
          <cell r="J24">
            <v>7847184</v>
          </cell>
        </row>
        <row r="25">
          <cell r="B25" t="str">
            <v>H2 Power Generation</v>
          </cell>
          <cell r="D25">
            <v>278.38099999999997</v>
          </cell>
          <cell r="J25">
            <v>521271.9</v>
          </cell>
        </row>
        <row r="26">
          <cell r="B26" t="str">
            <v>Data Centre</v>
          </cell>
          <cell r="D26">
            <v>0</v>
          </cell>
          <cell r="J26">
            <v>0</v>
          </cell>
          <cell r="M26">
            <v>-14118940</v>
          </cell>
        </row>
        <row r="27">
          <cell r="B27" t="str">
            <v>Electricity</v>
          </cell>
          <cell r="D27">
            <v>0</v>
          </cell>
          <cell r="J27">
            <v>0</v>
          </cell>
        </row>
        <row r="28">
          <cell r="B28" t="str">
            <v>Battery Storage</v>
          </cell>
          <cell r="D28">
            <v>26471.973000000002</v>
          </cell>
          <cell r="J28">
            <v>61226880</v>
          </cell>
        </row>
        <row r="29">
          <cell r="B29" t="str">
            <v>Domestic Battery Storage</v>
          </cell>
          <cell r="D29">
            <v>857.70799999999997</v>
          </cell>
          <cell r="J29">
            <v>2002066</v>
          </cell>
        </row>
        <row r="30">
          <cell r="B30" t="str">
            <v>Liquid Air Energy Storage</v>
          </cell>
          <cell r="D30">
            <v>457.99400000000003</v>
          </cell>
          <cell r="J30">
            <v>1220288</v>
          </cell>
        </row>
        <row r="31">
          <cell r="B31" t="str">
            <v>Pumped Storage Hydroelectricity</v>
          </cell>
          <cell r="D31">
            <v>5300</v>
          </cell>
          <cell r="J31">
            <v>12966100</v>
          </cell>
        </row>
        <row r="32">
          <cell r="B32" t="str">
            <v>Hydrogen Gas</v>
          </cell>
          <cell r="D32">
            <v>46768.008000000002</v>
          </cell>
          <cell r="J32">
            <v>0</v>
          </cell>
        </row>
      </sheetData>
      <sheetData sheetId="2">
        <row r="2">
          <cell r="B2" t="str">
            <v>Advanced Biofuel</v>
          </cell>
          <cell r="J2">
            <v>813779.8</v>
          </cell>
        </row>
        <row r="3">
          <cell r="B3" t="str">
            <v>Biogas</v>
          </cell>
          <cell r="J3">
            <v>3589718</v>
          </cell>
        </row>
        <row r="4">
          <cell r="B4" t="str">
            <v>Biomass</v>
          </cell>
          <cell r="J4">
            <v>20070990</v>
          </cell>
        </row>
        <row r="5">
          <cell r="B5" t="str">
            <v>Combined Cycle Gas Turbine</v>
          </cell>
          <cell r="J5">
            <v>51535410</v>
          </cell>
        </row>
        <row r="6">
          <cell r="B6" t="str">
            <v>Combined Heat &amp; Power</v>
          </cell>
          <cell r="J6">
            <v>7721869</v>
          </cell>
        </row>
        <row r="7">
          <cell r="B7" t="str">
            <v>European Imports</v>
          </cell>
          <cell r="J7">
            <v>26379320</v>
          </cell>
        </row>
        <row r="8">
          <cell r="B8" t="str">
            <v>Gas Engine</v>
          </cell>
          <cell r="J8">
            <v>8887037</v>
          </cell>
        </row>
        <row r="9">
          <cell r="B9" t="str">
            <v>Geothermal</v>
          </cell>
          <cell r="J9">
            <v>19475.39</v>
          </cell>
        </row>
        <row r="10">
          <cell r="B10" t="str">
            <v>Landfill Gas</v>
          </cell>
          <cell r="J10">
            <v>1822421</v>
          </cell>
        </row>
        <row r="11">
          <cell r="B11" t="str">
            <v>Large Hydro</v>
          </cell>
          <cell r="J11">
            <v>241849.9</v>
          </cell>
        </row>
        <row r="12">
          <cell r="B12" t="str">
            <v>Load Shedding</v>
          </cell>
          <cell r="J12">
            <v>52178340</v>
          </cell>
        </row>
        <row r="13">
          <cell r="B13" t="str">
            <v>Marine Energy</v>
          </cell>
          <cell r="J13">
            <v>36666.589999999997</v>
          </cell>
        </row>
        <row r="14">
          <cell r="B14" t="str">
            <v>Nuclear</v>
          </cell>
          <cell r="J14">
            <v>5925364</v>
          </cell>
        </row>
        <row r="15">
          <cell r="B15" t="str">
            <v>Offshore Wind</v>
          </cell>
          <cell r="J15">
            <v>6615477</v>
          </cell>
        </row>
        <row r="16">
          <cell r="B16" t="str">
            <v>Oil</v>
          </cell>
          <cell r="J16">
            <v>171522.5</v>
          </cell>
        </row>
        <row r="17">
          <cell r="B17" t="str">
            <v>Onshore Wind</v>
          </cell>
          <cell r="J17">
            <v>2920392</v>
          </cell>
        </row>
        <row r="18">
          <cell r="B18" t="str">
            <v>Open Cycle Gas Turbine</v>
          </cell>
          <cell r="J18">
            <v>8003415</v>
          </cell>
        </row>
        <row r="19">
          <cell r="B19" t="str">
            <v>Sewage Gas</v>
          </cell>
          <cell r="J19">
            <v>121965.4</v>
          </cell>
        </row>
        <row r="20">
          <cell r="B20" t="str">
            <v>Solar PV</v>
          </cell>
          <cell r="J20">
            <v>1570499</v>
          </cell>
        </row>
        <row r="21">
          <cell r="B21" t="str">
            <v>Waste to Energy</v>
          </cell>
          <cell r="J21">
            <v>10145340</v>
          </cell>
        </row>
        <row r="22">
          <cell r="B22" t="str">
            <v>AC</v>
          </cell>
          <cell r="J22">
            <v>0</v>
          </cell>
        </row>
        <row r="23">
          <cell r="B23" t="str">
            <v>DC</v>
          </cell>
          <cell r="J23">
            <v>30838380</v>
          </cell>
        </row>
        <row r="24">
          <cell r="B24" t="str">
            <v>DSM</v>
          </cell>
          <cell r="J24">
            <v>56809890000</v>
          </cell>
        </row>
        <row r="25">
          <cell r="B25" t="str">
            <v>Electrolysis</v>
          </cell>
          <cell r="J25">
            <v>7850596</v>
          </cell>
        </row>
        <row r="26">
          <cell r="B26" t="str">
            <v>H2 Power Generation</v>
          </cell>
          <cell r="J26">
            <v>519959.7</v>
          </cell>
        </row>
        <row r="27">
          <cell r="B27" t="str">
            <v>Data Centre</v>
          </cell>
          <cell r="J27">
            <v>0</v>
          </cell>
          <cell r="M27">
            <v>-14097900</v>
          </cell>
        </row>
        <row r="28">
          <cell r="B28" t="str">
            <v>Electricity</v>
          </cell>
          <cell r="J28">
            <v>0</v>
          </cell>
        </row>
        <row r="29">
          <cell r="B29" t="str">
            <v>Battery Storage</v>
          </cell>
          <cell r="J29">
            <v>61233530</v>
          </cell>
        </row>
        <row r="30">
          <cell r="B30" t="str">
            <v>Domestic Battery Storage</v>
          </cell>
          <cell r="J30">
            <v>2004243</v>
          </cell>
        </row>
        <row r="31">
          <cell r="B31" t="str">
            <v>Liquid Air Energy Storage</v>
          </cell>
          <cell r="J31">
            <v>1222500</v>
          </cell>
        </row>
        <row r="32">
          <cell r="B32" t="str">
            <v>Pumped Storage Hydroelectricity</v>
          </cell>
          <cell r="J32">
            <v>12956560</v>
          </cell>
        </row>
        <row r="33">
          <cell r="B33" t="str">
            <v>DSM</v>
          </cell>
          <cell r="J33">
            <v>0</v>
          </cell>
        </row>
        <row r="34">
          <cell r="B34" t="str">
            <v>Hydrogen Gas</v>
          </cell>
          <cell r="J34">
            <v>0</v>
          </cell>
        </row>
      </sheetData>
      <sheetData sheetId="3">
        <row r="2">
          <cell r="B2" t="str">
            <v>Advanced Biofuel</v>
          </cell>
          <cell r="J2">
            <v>813779.8</v>
          </cell>
        </row>
        <row r="3">
          <cell r="B3" t="str">
            <v>Biogas</v>
          </cell>
          <cell r="J3">
            <v>3589718</v>
          </cell>
        </row>
        <row r="4">
          <cell r="B4" t="str">
            <v>Biomass</v>
          </cell>
          <cell r="J4">
            <v>20070990</v>
          </cell>
        </row>
        <row r="5">
          <cell r="B5" t="str">
            <v>Combined Cycle Gas Turbine</v>
          </cell>
          <cell r="J5">
            <v>51535410</v>
          </cell>
        </row>
        <row r="6">
          <cell r="B6" t="str">
            <v>Combined Heat &amp; Power</v>
          </cell>
          <cell r="J6">
            <v>7721869</v>
          </cell>
        </row>
        <row r="7">
          <cell r="B7" t="str">
            <v>European Imports</v>
          </cell>
          <cell r="J7">
            <v>26382520</v>
          </cell>
        </row>
        <row r="8">
          <cell r="B8" t="str">
            <v>Gas Engine</v>
          </cell>
          <cell r="J8">
            <v>8887037</v>
          </cell>
        </row>
        <row r="9">
          <cell r="B9" t="str">
            <v>Geothermal</v>
          </cell>
          <cell r="J9">
            <v>19391.490000000002</v>
          </cell>
        </row>
        <row r="10">
          <cell r="B10" t="str">
            <v>Landfill Gas</v>
          </cell>
          <cell r="J10">
            <v>1822033</v>
          </cell>
        </row>
        <row r="11">
          <cell r="B11" t="str">
            <v>Large Hydro</v>
          </cell>
          <cell r="J11">
            <v>258630.3</v>
          </cell>
        </row>
        <row r="12">
          <cell r="B12" t="str">
            <v>Load Shedding</v>
          </cell>
          <cell r="J12">
            <v>52178340</v>
          </cell>
        </row>
        <row r="13">
          <cell r="B13" t="str">
            <v>Marine Energy</v>
          </cell>
          <cell r="J13">
            <v>33762.400000000001</v>
          </cell>
        </row>
        <row r="14">
          <cell r="B14" t="str">
            <v>Nuclear</v>
          </cell>
          <cell r="J14">
            <v>5931811</v>
          </cell>
        </row>
        <row r="15">
          <cell r="B15" t="str">
            <v>Offshore Wind</v>
          </cell>
          <cell r="J15">
            <v>6930775</v>
          </cell>
        </row>
        <row r="16">
          <cell r="B16" t="str">
            <v>Oil</v>
          </cell>
          <cell r="J16">
            <v>171522.5</v>
          </cell>
        </row>
        <row r="17">
          <cell r="B17" t="str">
            <v>Onshore Wind</v>
          </cell>
          <cell r="J17">
            <v>3064199</v>
          </cell>
        </row>
        <row r="18">
          <cell r="B18" t="str">
            <v>Open Cycle Gas Turbine</v>
          </cell>
          <cell r="J18">
            <v>8003415</v>
          </cell>
        </row>
        <row r="19">
          <cell r="B19" t="str">
            <v>Sewage Gas</v>
          </cell>
          <cell r="J19">
            <v>121965.4</v>
          </cell>
        </row>
        <row r="20">
          <cell r="B20" t="str">
            <v>Solar PV</v>
          </cell>
          <cell r="J20">
            <v>1344158</v>
          </cell>
        </row>
        <row r="21">
          <cell r="B21" t="str">
            <v>Waste to Energy</v>
          </cell>
          <cell r="J21">
            <v>10145340</v>
          </cell>
        </row>
        <row r="22">
          <cell r="B22" t="str">
            <v>AC</v>
          </cell>
          <cell r="J22">
            <v>0</v>
          </cell>
        </row>
        <row r="23">
          <cell r="B23" t="str">
            <v>DC</v>
          </cell>
          <cell r="J23">
            <v>30835100</v>
          </cell>
        </row>
        <row r="24">
          <cell r="B24" t="str">
            <v>Electrolysis</v>
          </cell>
          <cell r="J24">
            <v>7844508</v>
          </cell>
        </row>
        <row r="25">
          <cell r="B25" t="str">
            <v>H2 Power Generation</v>
          </cell>
          <cell r="J25">
            <v>516096</v>
          </cell>
        </row>
        <row r="26">
          <cell r="B26" t="str">
            <v>Virtual Link</v>
          </cell>
          <cell r="J26">
            <v>340860000000</v>
          </cell>
        </row>
        <row r="27">
          <cell r="B27" t="str">
            <v>Data Centre</v>
          </cell>
          <cell r="J27">
            <v>0</v>
          </cell>
          <cell r="M27">
            <v>-14124690</v>
          </cell>
        </row>
        <row r="28">
          <cell r="B28" t="str">
            <v>Electricity</v>
          </cell>
          <cell r="J28">
            <v>0</v>
          </cell>
        </row>
        <row r="29">
          <cell r="B29" t="str">
            <v>Battery Storage</v>
          </cell>
          <cell r="J29">
            <v>61077030</v>
          </cell>
        </row>
        <row r="30">
          <cell r="B30" t="str">
            <v>Domestic Battery Storage</v>
          </cell>
          <cell r="J30">
            <v>1994939</v>
          </cell>
        </row>
        <row r="31">
          <cell r="B31" t="str">
            <v>Liquid Air Energy Storage</v>
          </cell>
          <cell r="J31">
            <v>1214004</v>
          </cell>
        </row>
        <row r="32">
          <cell r="B32" t="str">
            <v>Pumped Storage Hydroelectricity</v>
          </cell>
          <cell r="J32">
            <v>12870810</v>
          </cell>
        </row>
        <row r="33">
          <cell r="B33" t="str">
            <v>Hydrogen Gas</v>
          </cell>
          <cell r="J33">
            <v>0</v>
          </cell>
        </row>
      </sheetData>
      <sheetData sheetId="4">
        <row r="2">
          <cell r="B2" t="str">
            <v>Advanced Biofuel</v>
          </cell>
          <cell r="J2">
            <v>813779.8</v>
          </cell>
        </row>
        <row r="3">
          <cell r="B3" t="str">
            <v>Biogas</v>
          </cell>
          <cell r="J3">
            <v>3589718</v>
          </cell>
        </row>
        <row r="4">
          <cell r="B4" t="str">
            <v>Biomass</v>
          </cell>
          <cell r="J4">
            <v>20070990</v>
          </cell>
        </row>
        <row r="5">
          <cell r="B5" t="str">
            <v>Combined Cycle Gas Turbine</v>
          </cell>
          <cell r="J5">
            <v>51535410</v>
          </cell>
        </row>
        <row r="6">
          <cell r="B6" t="str">
            <v>Combined Heat &amp; Power</v>
          </cell>
          <cell r="J6">
            <v>7721869</v>
          </cell>
        </row>
        <row r="7">
          <cell r="B7" t="str">
            <v>European Imports</v>
          </cell>
          <cell r="J7">
            <v>26401120</v>
          </cell>
        </row>
        <row r="8">
          <cell r="B8" t="str">
            <v>Gas Engine</v>
          </cell>
          <cell r="J8">
            <v>8887037</v>
          </cell>
        </row>
        <row r="9">
          <cell r="B9" t="str">
            <v>Geothermal</v>
          </cell>
          <cell r="J9">
            <v>19470.32</v>
          </cell>
        </row>
        <row r="10">
          <cell r="B10" t="str">
            <v>Landfill Gas</v>
          </cell>
          <cell r="J10">
            <v>1822467</v>
          </cell>
        </row>
        <row r="11">
          <cell r="B11" t="str">
            <v>Large Hydro</v>
          </cell>
          <cell r="J11">
            <v>272558.8</v>
          </cell>
        </row>
        <row r="12">
          <cell r="B12" t="str">
            <v>Load Shedding</v>
          </cell>
          <cell r="J12">
            <v>52178340</v>
          </cell>
        </row>
        <row r="13">
          <cell r="B13" t="str">
            <v>Marine Energy</v>
          </cell>
          <cell r="J13">
            <v>34556.69</v>
          </cell>
        </row>
        <row r="14">
          <cell r="B14" t="str">
            <v>Nuclear</v>
          </cell>
          <cell r="J14">
            <v>5933055</v>
          </cell>
        </row>
        <row r="15">
          <cell r="B15" t="str">
            <v>Offshore Wind</v>
          </cell>
          <cell r="J15">
            <v>6816858</v>
          </cell>
        </row>
        <row r="16">
          <cell r="B16" t="str">
            <v>Oil</v>
          </cell>
          <cell r="J16">
            <v>171522.5</v>
          </cell>
        </row>
        <row r="17">
          <cell r="B17" t="str">
            <v>Onshore Wind</v>
          </cell>
          <cell r="J17">
            <v>3168929</v>
          </cell>
        </row>
        <row r="18">
          <cell r="B18" t="str">
            <v>Open Cycle Gas Turbine</v>
          </cell>
          <cell r="J18">
            <v>8003415</v>
          </cell>
        </row>
        <row r="19">
          <cell r="B19" t="str">
            <v>Sewage Gas</v>
          </cell>
          <cell r="J19">
            <v>121965.4</v>
          </cell>
        </row>
        <row r="20">
          <cell r="B20" t="str">
            <v>Solar PV</v>
          </cell>
          <cell r="J20">
            <v>1412444</v>
          </cell>
        </row>
        <row r="21">
          <cell r="B21" t="str">
            <v>Waste to Energy</v>
          </cell>
          <cell r="J21">
            <v>10145340</v>
          </cell>
        </row>
        <row r="22">
          <cell r="B22" t="str">
            <v>AC</v>
          </cell>
          <cell r="J22">
            <v>0</v>
          </cell>
        </row>
        <row r="23">
          <cell r="B23" t="str">
            <v>DC</v>
          </cell>
          <cell r="J23">
            <v>30816020</v>
          </cell>
        </row>
        <row r="24">
          <cell r="B24" t="str">
            <v>DSM</v>
          </cell>
          <cell r="J24">
            <v>56809890000</v>
          </cell>
        </row>
        <row r="25">
          <cell r="B25" t="str">
            <v>Electrolysis</v>
          </cell>
          <cell r="J25">
            <v>7845534</v>
          </cell>
        </row>
        <row r="26">
          <cell r="B26" t="str">
            <v>H2 Power Generation</v>
          </cell>
          <cell r="J26">
            <v>516764.6</v>
          </cell>
        </row>
        <row r="27">
          <cell r="B27" t="str">
            <v>Virtual Link</v>
          </cell>
          <cell r="J27">
            <v>340860000000</v>
          </cell>
        </row>
        <row r="28">
          <cell r="B28" t="str">
            <v>Data Centre</v>
          </cell>
          <cell r="J28">
            <v>0</v>
          </cell>
          <cell r="M28">
            <v>-14080300</v>
          </cell>
        </row>
        <row r="29">
          <cell r="B29" t="str">
            <v>Electricity</v>
          </cell>
          <cell r="J29">
            <v>0</v>
          </cell>
        </row>
        <row r="30">
          <cell r="B30" t="str">
            <v>Battery Storage</v>
          </cell>
          <cell r="J30">
            <v>61028250</v>
          </cell>
        </row>
        <row r="31">
          <cell r="B31" t="str">
            <v>Domestic Battery Storage</v>
          </cell>
          <cell r="J31">
            <v>1992670</v>
          </cell>
        </row>
        <row r="32">
          <cell r="B32" t="str">
            <v>Liquid Air Energy Storage</v>
          </cell>
          <cell r="J32">
            <v>1206732</v>
          </cell>
        </row>
        <row r="33">
          <cell r="B33" t="str">
            <v>Pumped Storage Hydroelectricity</v>
          </cell>
          <cell r="J33">
            <v>12835170</v>
          </cell>
        </row>
        <row r="34">
          <cell r="B34" t="str">
            <v>DSM</v>
          </cell>
          <cell r="J34">
            <v>0</v>
          </cell>
        </row>
        <row r="35">
          <cell r="B35" t="str">
            <v>Hydrogen Gas</v>
          </cell>
          <cell r="J35">
            <v>0</v>
          </cell>
        </row>
      </sheetData>
      <sheetData sheetId="5">
        <row r="2">
          <cell r="B2" t="str">
            <v>Advanced Biofuel</v>
          </cell>
          <cell r="J2">
            <v>813779.8</v>
          </cell>
        </row>
        <row r="3">
          <cell r="B3" t="str">
            <v>Biogas</v>
          </cell>
          <cell r="J3">
            <v>3589718</v>
          </cell>
        </row>
        <row r="4">
          <cell r="B4" t="str">
            <v>Biomass</v>
          </cell>
          <cell r="J4">
            <v>20070990</v>
          </cell>
        </row>
        <row r="5">
          <cell r="B5" t="str">
            <v>Combined Cycle Gas Turbine</v>
          </cell>
          <cell r="J5">
            <v>51535410</v>
          </cell>
        </row>
        <row r="6">
          <cell r="B6" t="str">
            <v>Combined Heat &amp; Power</v>
          </cell>
          <cell r="J6">
            <v>7721869</v>
          </cell>
        </row>
        <row r="7">
          <cell r="B7" t="str">
            <v>European Imports</v>
          </cell>
          <cell r="J7">
            <v>26356820</v>
          </cell>
        </row>
        <row r="8">
          <cell r="B8" t="str">
            <v>Gas Engine</v>
          </cell>
          <cell r="J8">
            <v>8887037</v>
          </cell>
        </row>
        <row r="9">
          <cell r="B9" t="str">
            <v>Geothermal</v>
          </cell>
          <cell r="J9">
            <v>19391.490000000002</v>
          </cell>
        </row>
        <row r="10">
          <cell r="B10" t="str">
            <v>Landfill Gas</v>
          </cell>
          <cell r="J10">
            <v>1822079</v>
          </cell>
        </row>
        <row r="11">
          <cell r="B11" t="str">
            <v>Large Hydro</v>
          </cell>
          <cell r="J11">
            <v>250065.7</v>
          </cell>
        </row>
        <row r="12">
          <cell r="B12" t="str">
            <v>Load Shedding</v>
          </cell>
          <cell r="J12">
            <v>52178340</v>
          </cell>
        </row>
        <row r="13">
          <cell r="B13" t="str">
            <v>Marine Energy</v>
          </cell>
          <cell r="J13">
            <v>33010.379999999997</v>
          </cell>
        </row>
        <row r="14">
          <cell r="B14" t="str">
            <v>Nuclear</v>
          </cell>
          <cell r="J14">
            <v>5924418</v>
          </cell>
        </row>
        <row r="15">
          <cell r="B15" t="str">
            <v>Offshore Wind</v>
          </cell>
          <cell r="J15">
            <v>6546350</v>
          </cell>
        </row>
        <row r="16">
          <cell r="B16" t="str">
            <v>Oil</v>
          </cell>
          <cell r="J16">
            <v>171522.5</v>
          </cell>
        </row>
        <row r="17">
          <cell r="B17" t="str">
            <v>Onshore Wind</v>
          </cell>
          <cell r="J17">
            <v>3116530</v>
          </cell>
        </row>
        <row r="18">
          <cell r="B18" t="str">
            <v>Open Cycle Gas Turbine</v>
          </cell>
          <cell r="J18">
            <v>8003415</v>
          </cell>
        </row>
        <row r="19">
          <cell r="B19" t="str">
            <v>Sewage Gas</v>
          </cell>
          <cell r="J19">
            <v>121965.4</v>
          </cell>
        </row>
        <row r="20">
          <cell r="B20" t="str">
            <v>Solar PV</v>
          </cell>
          <cell r="J20">
            <v>1349598</v>
          </cell>
        </row>
        <row r="21">
          <cell r="B21" t="str">
            <v>Waste to Energy</v>
          </cell>
          <cell r="J21">
            <v>10145340</v>
          </cell>
        </row>
        <row r="22">
          <cell r="B22" t="str">
            <v>AC</v>
          </cell>
          <cell r="J22">
            <v>0</v>
          </cell>
        </row>
        <row r="23">
          <cell r="B23" t="str">
            <v>DC</v>
          </cell>
          <cell r="J23">
            <v>30861460</v>
          </cell>
        </row>
        <row r="24">
          <cell r="B24" t="str">
            <v>Electrolysis</v>
          </cell>
          <cell r="J24">
            <v>7845787</v>
          </cell>
        </row>
        <row r="25">
          <cell r="B25" t="str">
            <v>H2 Power Generation</v>
          </cell>
          <cell r="J25">
            <v>520624.8</v>
          </cell>
        </row>
        <row r="26">
          <cell r="B26" t="str">
            <v>Data Centre</v>
          </cell>
          <cell r="J26">
            <v>0</v>
          </cell>
          <cell r="M26">
            <v>-14118940</v>
          </cell>
        </row>
        <row r="27">
          <cell r="B27" t="str">
            <v>Electricity</v>
          </cell>
          <cell r="J27">
            <v>0</v>
          </cell>
        </row>
        <row r="28">
          <cell r="B28" t="str">
            <v>Battery Storage</v>
          </cell>
          <cell r="J28">
            <v>61302430</v>
          </cell>
        </row>
        <row r="29">
          <cell r="B29" t="str">
            <v>Domestic Battery Storage</v>
          </cell>
          <cell r="J29">
            <v>2007434</v>
          </cell>
        </row>
        <row r="30">
          <cell r="B30" t="str">
            <v>Liquid Air Energy Storage</v>
          </cell>
          <cell r="J30">
            <v>1219172</v>
          </cell>
        </row>
        <row r="31">
          <cell r="B31" t="str">
            <v>Pumped Storage Hydroelectricity</v>
          </cell>
          <cell r="J31">
            <v>12996440</v>
          </cell>
        </row>
        <row r="32">
          <cell r="B32" t="str">
            <v>Hydrogen Gas</v>
          </cell>
          <cell r="J32">
            <v>0</v>
          </cell>
        </row>
      </sheetData>
      <sheetData sheetId="6">
        <row r="2">
          <cell r="B2" t="str">
            <v>Advanced Biofuel</v>
          </cell>
          <cell r="J2">
            <v>813779.8</v>
          </cell>
        </row>
        <row r="3">
          <cell r="B3" t="str">
            <v>Biogas</v>
          </cell>
          <cell r="J3">
            <v>3589718</v>
          </cell>
        </row>
        <row r="4">
          <cell r="B4" t="str">
            <v>Biomass</v>
          </cell>
          <cell r="J4">
            <v>20070990</v>
          </cell>
        </row>
        <row r="5">
          <cell r="B5" t="str">
            <v>Combined Cycle Gas Turbine</v>
          </cell>
          <cell r="J5">
            <v>51535410</v>
          </cell>
        </row>
        <row r="6">
          <cell r="B6" t="str">
            <v>Combined Heat &amp; Power</v>
          </cell>
          <cell r="J6">
            <v>7721869</v>
          </cell>
        </row>
        <row r="7">
          <cell r="B7" t="str">
            <v>European Imports</v>
          </cell>
          <cell r="J7">
            <v>26410860</v>
          </cell>
        </row>
        <row r="8">
          <cell r="B8" t="str">
            <v>Gas Engine</v>
          </cell>
          <cell r="J8">
            <v>8887037</v>
          </cell>
        </row>
        <row r="9">
          <cell r="B9" t="str">
            <v>Geothermal</v>
          </cell>
          <cell r="J9">
            <v>19470.32</v>
          </cell>
        </row>
        <row r="10">
          <cell r="B10" t="str">
            <v>Landfill Gas</v>
          </cell>
          <cell r="J10">
            <v>1823369</v>
          </cell>
        </row>
        <row r="11">
          <cell r="B11" t="str">
            <v>Large Hydro</v>
          </cell>
          <cell r="J11">
            <v>260633.9</v>
          </cell>
        </row>
        <row r="12">
          <cell r="B12" t="str">
            <v>Load Shedding</v>
          </cell>
          <cell r="J12">
            <v>52178340</v>
          </cell>
        </row>
        <row r="13">
          <cell r="B13" t="str">
            <v>Marine Energy</v>
          </cell>
          <cell r="J13">
            <v>34246.1</v>
          </cell>
        </row>
        <row r="14">
          <cell r="B14" t="str">
            <v>Nuclear</v>
          </cell>
          <cell r="J14">
            <v>5958713</v>
          </cell>
        </row>
        <row r="15">
          <cell r="B15" t="str">
            <v>Offshore Wind</v>
          </cell>
          <cell r="J15">
            <v>6855179</v>
          </cell>
        </row>
        <row r="16">
          <cell r="B16" t="str">
            <v>Oil</v>
          </cell>
          <cell r="J16">
            <v>171522.5</v>
          </cell>
        </row>
        <row r="17">
          <cell r="B17" t="str">
            <v>Onshore Wind</v>
          </cell>
          <cell r="J17">
            <v>3078499</v>
          </cell>
        </row>
        <row r="18">
          <cell r="B18" t="str">
            <v>Open Cycle Gas Turbine</v>
          </cell>
          <cell r="J18">
            <v>8003415</v>
          </cell>
        </row>
        <row r="19">
          <cell r="B19" t="str">
            <v>Sewage Gas</v>
          </cell>
          <cell r="J19">
            <v>121965.4</v>
          </cell>
        </row>
        <row r="20">
          <cell r="B20" t="str">
            <v>Solar PV</v>
          </cell>
          <cell r="J20">
            <v>1380241</v>
          </cell>
        </row>
        <row r="21">
          <cell r="B21" t="str">
            <v>Waste to Energy</v>
          </cell>
          <cell r="J21">
            <v>10145340</v>
          </cell>
        </row>
        <row r="22">
          <cell r="B22" t="str">
            <v>AC</v>
          </cell>
          <cell r="J22">
            <v>0</v>
          </cell>
        </row>
        <row r="23">
          <cell r="B23" t="str">
            <v>DC</v>
          </cell>
          <cell r="J23">
            <v>30806040</v>
          </cell>
        </row>
        <row r="24">
          <cell r="B24" t="str">
            <v>DSM</v>
          </cell>
          <cell r="J24">
            <v>56809830000</v>
          </cell>
        </row>
        <row r="25">
          <cell r="B25" t="str">
            <v>Electrolysis</v>
          </cell>
          <cell r="J25">
            <v>7856904</v>
          </cell>
        </row>
        <row r="26">
          <cell r="B26" t="str">
            <v>H2 Power Generation</v>
          </cell>
          <cell r="J26">
            <v>524194.5</v>
          </cell>
        </row>
        <row r="27">
          <cell r="B27" t="str">
            <v>Virtual Link</v>
          </cell>
          <cell r="J27">
            <v>340860000000</v>
          </cell>
        </row>
        <row r="28">
          <cell r="B28" t="str">
            <v>Data Centre</v>
          </cell>
          <cell r="J28">
            <v>0</v>
          </cell>
          <cell r="M28">
            <v>-13965940</v>
          </cell>
        </row>
        <row r="29">
          <cell r="B29" t="str">
            <v>Electricity</v>
          </cell>
          <cell r="J29">
            <v>0</v>
          </cell>
        </row>
        <row r="30">
          <cell r="B30" t="str">
            <v>Battery Storage</v>
          </cell>
          <cell r="J30">
            <v>61063750</v>
          </cell>
        </row>
        <row r="31">
          <cell r="B31" t="str">
            <v>Domestic Battery Storage</v>
          </cell>
          <cell r="J31">
            <v>1993641</v>
          </cell>
        </row>
        <row r="32">
          <cell r="B32" t="str">
            <v>Liquid Air Energy Storage</v>
          </cell>
          <cell r="J32">
            <v>1209608</v>
          </cell>
        </row>
        <row r="33">
          <cell r="B33" t="str">
            <v>Pumped Storage Hydroelectricity</v>
          </cell>
          <cell r="J33">
            <v>12863470</v>
          </cell>
        </row>
        <row r="34">
          <cell r="B34" t="str">
            <v>DSM</v>
          </cell>
          <cell r="J34">
            <v>0</v>
          </cell>
        </row>
        <row r="35">
          <cell r="B35" t="str">
            <v>Hydrogen Gas</v>
          </cell>
          <cell r="J3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E8F6-F027-F742-9844-17897A9A4448}">
  <dimension ref="A1:G16"/>
  <sheetViews>
    <sheetView tabSelected="1" workbookViewId="0">
      <selection activeCell="C7" sqref="C7"/>
    </sheetView>
  </sheetViews>
  <sheetFormatPr baseColWidth="10" defaultRowHeight="16" x14ac:dyDescent="0.2"/>
  <cols>
    <col min="1" max="1" width="31.6640625" style="3" customWidth="1"/>
    <col min="2" max="2" width="17.83203125" style="3" customWidth="1"/>
    <col min="3" max="3" width="17" style="3" customWidth="1"/>
    <col min="4" max="4" width="20" style="3" customWidth="1"/>
    <col min="5" max="5" width="17.1640625" style="3" customWidth="1"/>
    <col min="6" max="6" width="16.5" style="3" customWidth="1"/>
    <col min="7" max="7" width="16.6640625" style="3" customWidth="1"/>
    <col min="8" max="16384" width="10.83203125" style="3"/>
  </cols>
  <sheetData>
    <row r="1" spans="1:7" ht="26" x14ac:dyDescent="0.3">
      <c r="A1" s="8" t="s">
        <v>70</v>
      </c>
    </row>
    <row r="3" spans="1:7" x14ac:dyDescent="0.2">
      <c r="A3" s="5" t="s">
        <v>69</v>
      </c>
      <c r="B3" s="3" t="s">
        <v>68</v>
      </c>
    </row>
    <row r="4" spans="1:7" x14ac:dyDescent="0.2">
      <c r="A4" s="5" t="s">
        <v>67</v>
      </c>
      <c r="B4" s="3">
        <v>4</v>
      </c>
    </row>
    <row r="5" spans="1:7" x14ac:dyDescent="0.2">
      <c r="A5" s="5" t="s">
        <v>66</v>
      </c>
      <c r="B5" s="7">
        <v>0.1</v>
      </c>
    </row>
    <row r="6" spans="1:7" x14ac:dyDescent="0.2">
      <c r="A6" s="5" t="s">
        <v>65</v>
      </c>
      <c r="B6" s="7">
        <v>0.03</v>
      </c>
    </row>
    <row r="7" spans="1:7" x14ac:dyDescent="0.2">
      <c r="A7" s="5" t="s">
        <v>64</v>
      </c>
      <c r="B7" s="4">
        <f>SUMIFS([1]Inflexible!$D$2:$D$32,[1]Inflexible!$B$2:$B$32,"Solar PV")+SUMIFS([1]Inflexible!$D$2:$D$32,[1]Inflexible!$B$2:$B$32,"Offshore Wind")+SUMIFS([1]Inflexible!$D$2:$D$32,[1]Inflexible!$B$2:$B$32,"Onshore Wind")+SUMIFS([1]Inflexible!$D$2:$D$32,[1]Inflexible!$B$2:$B$32,"Large Hydro")</f>
        <v>123182.66099999999</v>
      </c>
    </row>
    <row r="8" spans="1:7" x14ac:dyDescent="0.2">
      <c r="A8" s="5" t="s">
        <v>63</v>
      </c>
    </row>
    <row r="10" spans="1:7" x14ac:dyDescent="0.2">
      <c r="B10" s="5" t="s">
        <v>62</v>
      </c>
      <c r="C10" s="5" t="s">
        <v>61</v>
      </c>
      <c r="D10" s="5" t="s">
        <v>60</v>
      </c>
      <c r="E10" s="5" t="s">
        <v>59</v>
      </c>
      <c r="F10" s="5" t="s">
        <v>58</v>
      </c>
      <c r="G10" s="5" t="s">
        <v>57</v>
      </c>
    </row>
    <row r="11" spans="1:7" x14ac:dyDescent="0.2">
      <c r="A11" s="5" t="s">
        <v>56</v>
      </c>
      <c r="B11" s="4">
        <f>SUMIFS([1]Inflexible!$J$2:$J$34,[1]Inflexible!$B$2:$B$34, "Solar PV")+SUMIFS([1]Inflexible!$J$2:$J$34,[1]Inflexible!$B$2:$B$34, "Offshore Wind")+SUMIFS([1]Inflexible!$J$2:$J$34,[1]Inflexible!$B$2:$B$34, "Onshore Wind")+SUMIFS([1]Inflexible!$J$2:$J$34,[1]Inflexible!$B$2:$B$34, "Large Hydro")+SUMIFS([1]Inflexible!$J$2:$J$34,[1]Inflexible!$B$2:$B$34, "Marine Energy")</f>
        <v>11412215.559999999</v>
      </c>
      <c r="C11" s="4">
        <f>SUMIFS([1]Temporal!$J$2:$J$34,[1]Inflexible!$B$2:$B$34, "Solar PV")+SUMIFS([1]Temporal!$J$2:$J$34,[1]Temporal!$B$2:$B$34, "Offshore Wind")+SUMIFS([1]Temporal!$J$2:$J$34,[1]Temporal!$B$2:$B$34, "Onshore Wind")+SUMIFS([1]Temporal!$J$2:$J$34,[1]Temporal!$B$2:$B$34, "Large Hydro")+SUMIFS([1]Inflexible!$J$2:$J$34,[1]Temporal!$B$2:$B$34, "Marine Energy")</f>
        <v>11383407.76</v>
      </c>
      <c r="D11" s="4">
        <f>SUMIFS([1]Spatial!$J$2:$J$34,[1]Spatial!$B$2:$B$34, "Solar PV")+SUMIFS([1]Spatial!$J$2:$J$34,[1]Spatial!$B$2:$B$34, "Offshore Wind")+SUMIFS([1]Spatial!$J$2:$J$34,[1]Spatial!$B$2:$B$34, "Onshore Wind")+SUMIFS([1]Spatial!$J$2:$J$34,[1]Spatial!$B$2:$B$34, "Large Hydro")+SUMIFS([1]Spatial!$J$2:$J$34,[1]Spatial!$B$2:$B$34, "Marine Energy")</f>
        <v>11631524.700000001</v>
      </c>
      <c r="E11" s="4">
        <f>SUMIFS([1]Both!$J$2:$J$35,[1]Both!$B$2:$B$35, "Solar PV")+SUMIFS([1]Both!$J$2:$J$35,[1]Both!$B$2:$B$35, "Offshore Wind")+SUMIFS([1]Both!$J$2:$J$35,[1]Both!$B$2:$B$35, "Onshore Wind")+SUMIFS([1]Both!$J$2:$J$35,[1]Both!$B$2:$B$35, "Large Hydro")+SUMIFS([1]Both!$J$2:$J$35,[1]Both!$B$2:$B$35, "Marine Energy")</f>
        <v>11705346.49</v>
      </c>
      <c r="F11" s="4">
        <f>SUMIFS([1]CFE!$J$2:$J$34,[1]CFE!$B$2:$B$34, "Solar PV")+SUMIFS([1]CFE!$J$2:$J$34,[1]CFE!$B$2:$B$34, "Offshore Wind")+SUMIFS([1]CFE!$J$2:$J$34,[1]CFE!$B$2:$B$34, "Onshore Wind")+SUMIFS([1]CFE!$J$2:$J$34,[1]CFE!$B$2:$B$34, "Large Hydro")+SUMIFS([1]CFE!$J$2:$J$34,[1]CFE!$B$2:$B$34, "Marine Energy")</f>
        <v>11295554.08</v>
      </c>
      <c r="G11" s="4">
        <f>SUMIFS([1]CFE_both!$J$2:$J$35,[1]CFE_both!$B$2:$B$35, "Solar PV")+SUMIFS([1]CFE_both!$J$2:$J$35,[1]CFE_both!$B$2:$B$35, "Offshore Wind")+SUMIFS([1]CFE_both!$J$2:$J$35,[1]CFE_both!$B$2:$B$35, "Onshore Wind")+SUMIFS([1]CFE_both!$J$2:$J$35,[1]CFE_both!$B$2:$B$35, "Large Hydro")+SUMIFS([1]CFE_both!$J$2:$J$35,[1]CFE_both!$B$2:$B$35, "Marine Energy")</f>
        <v>11608799</v>
      </c>
    </row>
    <row r="12" spans="1:7" x14ac:dyDescent="0.2">
      <c r="A12" s="5" t="s">
        <v>55</v>
      </c>
      <c r="B12" s="4">
        <f>SUMIFS([1]Inflexible!$J$2:$J$34,[1]Inflexible!$B$2:$B$34, "Offshore Wind")</f>
        <v>6642041</v>
      </c>
      <c r="C12" s="4">
        <f>SUMIFS([1]Temporal!$J$2:$J$34,[1]Temporal!$B$2:$B$34, "Offshore Wind")</f>
        <v>6615477</v>
      </c>
      <c r="D12" s="4">
        <f>SUMIFS([1]Spatial!$J$2:$J$34,[1]Spatial!$B$2:$B$34, "Offshore Wind")</f>
        <v>6930775</v>
      </c>
      <c r="E12" s="4">
        <f>SUMIFS([1]Both!$J$2:$J$35,[1]Both!$B$2:$B$35, "Offshore Wind")</f>
        <v>6816858</v>
      </c>
      <c r="F12" s="4">
        <f>SUMIFS([1]CFE!$J$2:$J$34,[1]CFE!$B$2:$B$34, "Offshore Wind")</f>
        <v>6546350</v>
      </c>
      <c r="G12" s="4">
        <f>SUMIFS([1]CFE_both!$J$2:$J$35,[1]CFE_both!$B$2:$B$35, "Offshore Wind")</f>
        <v>6855179</v>
      </c>
    </row>
    <row r="13" spans="1:7" x14ac:dyDescent="0.2">
      <c r="A13" s="5" t="s">
        <v>54</v>
      </c>
      <c r="B13" s="6">
        <f>SUMIFS([1]Inflexible!$J$2:$J$34,[1]Inflexible!$B$2:$B$34, "Onshore Wind")</f>
        <v>3145740</v>
      </c>
      <c r="C13" s="6">
        <f>SUMIFS([1]Temporal!$J$2:$J$34,[1]Temporal!$B$2:$B$34, "Onshore Wind")</f>
        <v>2920392</v>
      </c>
      <c r="D13" s="6">
        <f>SUMIFS([1]Spatial!$J$2:$J$34,[1]Spatial!$B$2:$B$34, "Onshore Wind")</f>
        <v>3064199</v>
      </c>
      <c r="E13" s="6">
        <f>SUMIFS([1]Both!$J$2:$J$35,[1]Both!$B$2:$B$35, "Onshore Wind")</f>
        <v>3168929</v>
      </c>
      <c r="F13" s="6">
        <f>SUMIFS([1]CFE!$J$2:$J$34,[1]CFE!$B$2:$B$34, "Onshore Wind")</f>
        <v>3116530</v>
      </c>
      <c r="G13" s="6">
        <f>SUMIFS([1]CFE_both!$J$2:$J$35,[1]CFE_both!$B$2:$B$35, "Onshore Wind")</f>
        <v>3078499</v>
      </c>
    </row>
    <row r="14" spans="1:7" x14ac:dyDescent="0.2">
      <c r="A14" s="5" t="s">
        <v>53</v>
      </c>
      <c r="B14" s="6">
        <f>SUMIFS([1]Inflexible!$J$2:$J$34,[1]Inflexible!$B$2:$B$34, "Solar PV")</f>
        <v>1348080</v>
      </c>
      <c r="C14" s="6">
        <f>SUMIFS([1]Temporal!$J$2:$J$34,[1]Temporal!$B$2:$B$34, "Solar PV")</f>
        <v>1570499</v>
      </c>
      <c r="D14" s="6">
        <f>SUMIFS([1]Spatial!$J$2:$J$34,[1]Spatial!$B$2:$B$34, "Solar PV")</f>
        <v>1344158</v>
      </c>
      <c r="E14" s="6">
        <f>SUMIFS([1]Both!$J$2:$J$35,[1]Both!$B$2:$B$35, "Solar PV")</f>
        <v>1412444</v>
      </c>
      <c r="F14" s="6">
        <f>SUMIFS([1]CFE!$J$2:$J$34,[1]CFE!$B$2:$B$34, "Solar PV")</f>
        <v>1349598</v>
      </c>
      <c r="G14" s="6">
        <f>SUMIFS([1]CFE_both!$J$2:$J$35,[1]CFE_both!$B$2:$B$35, "Solar PV")</f>
        <v>1380241</v>
      </c>
    </row>
    <row r="15" spans="1:7" x14ac:dyDescent="0.2">
      <c r="A15" s="5" t="s">
        <v>52</v>
      </c>
      <c r="B15" s="4">
        <f>-[1]Inflexible!$M$26</f>
        <v>14118940</v>
      </c>
      <c r="C15" s="4">
        <f>-[1]Temporal!$M$27</f>
        <v>14097900</v>
      </c>
      <c r="D15" s="4">
        <f>-[1]Spatial!$M$27</f>
        <v>14124690</v>
      </c>
      <c r="E15" s="4">
        <f>-[1]Both!$M$28</f>
        <v>14080300</v>
      </c>
      <c r="F15" s="4">
        <f>-[1]CFE!$M$26</f>
        <v>14118940</v>
      </c>
      <c r="G15" s="6">
        <f>-[1]CFE_both!$M$28</f>
        <v>13965940</v>
      </c>
    </row>
    <row r="16" spans="1:7" x14ac:dyDescent="0.2">
      <c r="A16" s="5" t="s">
        <v>51</v>
      </c>
      <c r="B16" s="4">
        <v>81875276.025471702</v>
      </c>
      <c r="C16" s="4">
        <v>81501280.325065807</v>
      </c>
      <c r="D16" s="4">
        <v>81690989.652186498</v>
      </c>
      <c r="E16" s="4">
        <v>81316953.880585298</v>
      </c>
      <c r="F16" s="4">
        <v>81875276.025472298</v>
      </c>
      <c r="G16" s="4">
        <v>80486835.0225036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/>
  </sheetViews>
  <sheetFormatPr baseColWidth="10" defaultColWidth="8.83203125" defaultRowHeight="15" x14ac:dyDescent="0.2"/>
  <sheetData>
    <row r="1" spans="1:14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2" t="s">
        <v>12</v>
      </c>
      <c r="B2" s="1" t="s">
        <v>13</v>
      </c>
      <c r="C2">
        <v>372.43929000000003</v>
      </c>
      <c r="D2">
        <v>372.43929000000003</v>
      </c>
      <c r="E2">
        <v>0</v>
      </c>
      <c r="F2">
        <v>0</v>
      </c>
      <c r="G2">
        <v>0</v>
      </c>
      <c r="H2">
        <v>0</v>
      </c>
      <c r="I2">
        <v>0</v>
      </c>
      <c r="J2">
        <v>813779.84346</v>
      </c>
      <c r="K2">
        <v>0</v>
      </c>
      <c r="L2">
        <v>0</v>
      </c>
      <c r="M2">
        <v>0</v>
      </c>
    </row>
    <row r="3" spans="1:14" x14ac:dyDescent="0.2">
      <c r="A3" s="2"/>
      <c r="B3" s="1" t="s">
        <v>14</v>
      </c>
      <c r="C3">
        <v>1642.8915400000001</v>
      </c>
      <c r="D3">
        <v>1642.8915400000001</v>
      </c>
      <c r="E3">
        <v>0</v>
      </c>
      <c r="F3">
        <v>0</v>
      </c>
      <c r="G3">
        <v>0</v>
      </c>
      <c r="H3">
        <v>0</v>
      </c>
      <c r="I3">
        <v>0</v>
      </c>
      <c r="J3">
        <v>3589718.0135300001</v>
      </c>
      <c r="K3">
        <v>0</v>
      </c>
      <c r="L3">
        <v>0</v>
      </c>
      <c r="M3">
        <v>0</v>
      </c>
    </row>
    <row r="4" spans="1:14" x14ac:dyDescent="0.2">
      <c r="A4" s="2"/>
      <c r="B4" s="1" t="s">
        <v>15</v>
      </c>
      <c r="C4">
        <v>9185.8067100000007</v>
      </c>
      <c r="D4">
        <v>9185.8067100000007</v>
      </c>
      <c r="E4">
        <v>0</v>
      </c>
      <c r="F4">
        <v>0</v>
      </c>
      <c r="G4">
        <v>0</v>
      </c>
      <c r="H4">
        <v>0</v>
      </c>
      <c r="I4">
        <v>0</v>
      </c>
      <c r="J4">
        <v>20070987.666540001</v>
      </c>
      <c r="K4">
        <v>0</v>
      </c>
      <c r="L4">
        <v>0</v>
      </c>
      <c r="M4">
        <v>0</v>
      </c>
    </row>
    <row r="5" spans="1:14" x14ac:dyDescent="0.2">
      <c r="A5" s="2"/>
      <c r="B5" s="1" t="s">
        <v>16</v>
      </c>
      <c r="C5">
        <v>23586</v>
      </c>
      <c r="D5">
        <v>23586</v>
      </c>
      <c r="E5">
        <v>0</v>
      </c>
      <c r="F5">
        <v>0</v>
      </c>
      <c r="G5">
        <v>0</v>
      </c>
      <c r="H5">
        <v>0</v>
      </c>
      <c r="I5">
        <v>0</v>
      </c>
      <c r="J5">
        <v>51535410</v>
      </c>
      <c r="K5">
        <v>0</v>
      </c>
      <c r="L5">
        <v>0</v>
      </c>
      <c r="M5">
        <v>0</v>
      </c>
    </row>
    <row r="6" spans="1:14" x14ac:dyDescent="0.2">
      <c r="A6" s="2"/>
      <c r="B6" s="1" t="s">
        <v>17</v>
      </c>
      <c r="C6">
        <v>3534.0360000000001</v>
      </c>
      <c r="D6">
        <v>3534.0360000000001</v>
      </c>
      <c r="E6">
        <v>0</v>
      </c>
      <c r="F6">
        <v>0</v>
      </c>
      <c r="G6">
        <v>0</v>
      </c>
      <c r="H6">
        <v>0</v>
      </c>
      <c r="I6">
        <v>0</v>
      </c>
      <c r="J6">
        <v>7721868.6600000001</v>
      </c>
      <c r="K6">
        <v>0</v>
      </c>
      <c r="L6">
        <v>0</v>
      </c>
      <c r="M6">
        <v>0</v>
      </c>
    </row>
    <row r="7" spans="1:14" x14ac:dyDescent="0.2">
      <c r="A7" s="2"/>
      <c r="B7" s="1" t="s">
        <v>18</v>
      </c>
      <c r="C7">
        <v>13695</v>
      </c>
      <c r="D7">
        <v>13695</v>
      </c>
      <c r="E7">
        <v>3571751.38949</v>
      </c>
      <c r="F7">
        <v>0</v>
      </c>
      <c r="G7">
        <v>3571751.38949</v>
      </c>
      <c r="H7">
        <v>0</v>
      </c>
      <c r="I7">
        <v>0.1193624556407448</v>
      </c>
      <c r="J7">
        <v>26351823.610509999</v>
      </c>
      <c r="K7">
        <v>0</v>
      </c>
      <c r="L7">
        <v>40697209.38329</v>
      </c>
      <c r="M7">
        <v>40697209.38329</v>
      </c>
      <c r="N7">
        <v>11.394188705488441</v>
      </c>
    </row>
    <row r="8" spans="1:14" x14ac:dyDescent="0.2">
      <c r="A8" s="2"/>
      <c r="B8" s="1" t="s">
        <v>19</v>
      </c>
      <c r="C8">
        <v>4067.2939999999999</v>
      </c>
      <c r="D8">
        <v>4067.2939999999999</v>
      </c>
      <c r="E8">
        <v>0</v>
      </c>
      <c r="F8">
        <v>0</v>
      </c>
      <c r="G8">
        <v>0</v>
      </c>
      <c r="H8">
        <v>0</v>
      </c>
      <c r="I8">
        <v>0</v>
      </c>
      <c r="J8">
        <v>8887037.3900000006</v>
      </c>
      <c r="K8">
        <v>0</v>
      </c>
      <c r="L8">
        <v>0</v>
      </c>
      <c r="M8">
        <v>0</v>
      </c>
    </row>
    <row r="9" spans="1:14" x14ac:dyDescent="0.2">
      <c r="A9" s="2"/>
      <c r="B9" s="1" t="s">
        <v>20</v>
      </c>
      <c r="C9">
        <v>11</v>
      </c>
      <c r="D9">
        <v>11</v>
      </c>
      <c r="E9">
        <v>4643.509</v>
      </c>
      <c r="F9">
        <v>0</v>
      </c>
      <c r="G9">
        <v>4643.509</v>
      </c>
      <c r="H9">
        <v>0</v>
      </c>
      <c r="I9">
        <v>0.1931981818181818</v>
      </c>
      <c r="J9">
        <v>19391.491000000002</v>
      </c>
      <c r="K9">
        <v>0</v>
      </c>
      <c r="L9">
        <v>57858.122139999999</v>
      </c>
      <c r="M9">
        <v>99256.849839999995</v>
      </c>
      <c r="N9">
        <v>21.375356440395642</v>
      </c>
    </row>
    <row r="10" spans="1:14" x14ac:dyDescent="0.2">
      <c r="A10" s="2"/>
      <c r="B10" s="1" t="s">
        <v>21</v>
      </c>
      <c r="C10">
        <v>834.51107000000002</v>
      </c>
      <c r="D10">
        <v>834.51107000000002</v>
      </c>
      <c r="E10">
        <v>1327.7832900000001</v>
      </c>
      <c r="F10">
        <v>0</v>
      </c>
      <c r="G10">
        <v>1327.7832900000001</v>
      </c>
      <c r="H10">
        <v>0</v>
      </c>
      <c r="I10">
        <v>7.2818686515446697E-4</v>
      </c>
      <c r="J10">
        <v>1822078.89634</v>
      </c>
      <c r="K10">
        <v>0</v>
      </c>
      <c r="L10">
        <v>71700.297619999998</v>
      </c>
      <c r="M10">
        <v>71876.930410000001</v>
      </c>
      <c r="N10">
        <v>54.133129278567672</v>
      </c>
    </row>
    <row r="11" spans="1:14" x14ac:dyDescent="0.2">
      <c r="A11" s="2"/>
      <c r="B11" s="1" t="s">
        <v>22</v>
      </c>
      <c r="C11">
        <v>1897.296</v>
      </c>
      <c r="D11">
        <v>1897.296</v>
      </c>
      <c r="E11">
        <v>1417072.01972</v>
      </c>
      <c r="F11">
        <v>0</v>
      </c>
      <c r="G11">
        <v>1417072.01972</v>
      </c>
      <c r="H11">
        <v>0</v>
      </c>
      <c r="I11">
        <v>0.34182623586409289</v>
      </c>
      <c r="J11">
        <v>241164.68427999999</v>
      </c>
      <c r="K11">
        <v>0</v>
      </c>
      <c r="L11">
        <v>0</v>
      </c>
      <c r="M11">
        <v>9471835.7665299997</v>
      </c>
      <c r="N11">
        <v>6.6840891591962963</v>
      </c>
    </row>
    <row r="12" spans="1:14" x14ac:dyDescent="0.2">
      <c r="A12" s="2"/>
      <c r="B12" s="1" t="s">
        <v>23</v>
      </c>
      <c r="C12">
        <v>48629.190949999997</v>
      </c>
      <c r="D12">
        <v>48629.190949999997</v>
      </c>
      <c r="E12">
        <v>0</v>
      </c>
      <c r="F12">
        <v>0</v>
      </c>
      <c r="G12">
        <v>0</v>
      </c>
      <c r="H12">
        <v>0</v>
      </c>
      <c r="I12">
        <v>0</v>
      </c>
      <c r="J12">
        <v>52178335.791649997</v>
      </c>
      <c r="K12">
        <v>0</v>
      </c>
      <c r="L12">
        <v>0</v>
      </c>
      <c r="M12">
        <v>0</v>
      </c>
    </row>
    <row r="13" spans="1:14" x14ac:dyDescent="0.2">
      <c r="A13" s="2"/>
      <c r="B13" s="1" t="s">
        <v>24</v>
      </c>
      <c r="C13">
        <v>254.358</v>
      </c>
      <c r="D13">
        <v>254.358</v>
      </c>
      <c r="E13">
        <v>238579.69</v>
      </c>
      <c r="F13">
        <v>0</v>
      </c>
      <c r="G13">
        <v>238579.69</v>
      </c>
      <c r="H13">
        <v>0</v>
      </c>
      <c r="I13">
        <v>0.42927602041217489</v>
      </c>
      <c r="J13">
        <v>35189.860809999998</v>
      </c>
      <c r="K13">
        <v>0</v>
      </c>
      <c r="L13">
        <v>0</v>
      </c>
      <c r="M13">
        <v>2000388.69138</v>
      </c>
      <c r="N13">
        <v>8.3845724037018474</v>
      </c>
    </row>
    <row r="14" spans="1:14" x14ac:dyDescent="0.2">
      <c r="A14" s="2"/>
      <c r="B14" s="1" t="s">
        <v>25</v>
      </c>
      <c r="C14">
        <v>4570</v>
      </c>
      <c r="D14">
        <v>4570</v>
      </c>
      <c r="E14">
        <v>4061355.54042</v>
      </c>
      <c r="F14">
        <v>0</v>
      </c>
      <c r="G14">
        <v>4061355.54042</v>
      </c>
      <c r="H14">
        <v>0</v>
      </c>
      <c r="I14">
        <v>0.40672734135667399</v>
      </c>
      <c r="J14">
        <v>5924094.4595799996</v>
      </c>
      <c r="K14">
        <v>0</v>
      </c>
      <c r="L14">
        <v>40613555.404210001</v>
      </c>
      <c r="M14">
        <v>68047738.751389995</v>
      </c>
      <c r="N14">
        <v>16.754932738315031</v>
      </c>
    </row>
    <row r="15" spans="1:14" x14ac:dyDescent="0.2">
      <c r="A15" s="2"/>
      <c r="B15" s="1" t="s">
        <v>26</v>
      </c>
      <c r="C15">
        <v>53544.201999999997</v>
      </c>
      <c r="D15">
        <v>53544.201999999997</v>
      </c>
      <c r="E15">
        <v>25472805.555539999</v>
      </c>
      <c r="F15">
        <v>0</v>
      </c>
      <c r="G15">
        <v>25472805.555539999</v>
      </c>
      <c r="H15">
        <v>0</v>
      </c>
      <c r="I15">
        <v>0.2177273008943153</v>
      </c>
      <c r="J15">
        <v>6642040.5540300002</v>
      </c>
      <c r="K15">
        <v>0</v>
      </c>
      <c r="L15">
        <v>0</v>
      </c>
      <c r="M15">
        <v>102405102.97806001</v>
      </c>
      <c r="N15">
        <v>4.0201737006685052</v>
      </c>
    </row>
    <row r="16" spans="1:14" x14ac:dyDescent="0.2">
      <c r="A16" s="2"/>
      <c r="B16" s="1" t="s">
        <v>27</v>
      </c>
      <c r="C16">
        <v>78.5</v>
      </c>
      <c r="D16">
        <v>78.5</v>
      </c>
      <c r="E16">
        <v>0</v>
      </c>
      <c r="F16">
        <v>0</v>
      </c>
      <c r="G16">
        <v>0</v>
      </c>
      <c r="H16">
        <v>0</v>
      </c>
      <c r="I16">
        <v>0</v>
      </c>
      <c r="J16">
        <v>171522.5</v>
      </c>
      <c r="K16">
        <v>0</v>
      </c>
      <c r="L16">
        <v>0</v>
      </c>
      <c r="M16">
        <v>0</v>
      </c>
    </row>
    <row r="17" spans="1:14" x14ac:dyDescent="0.2">
      <c r="A17" s="2"/>
      <c r="B17" s="1" t="s">
        <v>28</v>
      </c>
      <c r="C17">
        <v>27270.741000000002</v>
      </c>
      <c r="D17">
        <v>27270.741000000002</v>
      </c>
      <c r="E17">
        <v>11189394.19018</v>
      </c>
      <c r="F17">
        <v>0</v>
      </c>
      <c r="G17">
        <v>11189394.19018</v>
      </c>
      <c r="H17">
        <v>0</v>
      </c>
      <c r="I17">
        <v>0.18778383066305379</v>
      </c>
      <c r="J17">
        <v>3145740.1662400002</v>
      </c>
      <c r="K17">
        <v>0</v>
      </c>
      <c r="L17">
        <v>0</v>
      </c>
      <c r="M17">
        <v>42150354.259559996</v>
      </c>
      <c r="N17">
        <v>3.766991626823911</v>
      </c>
    </row>
    <row r="18" spans="1:14" x14ac:dyDescent="0.2">
      <c r="A18" s="2"/>
      <c r="B18" s="1" t="s">
        <v>29</v>
      </c>
      <c r="C18">
        <v>3662.89</v>
      </c>
      <c r="D18">
        <v>3662.89</v>
      </c>
      <c r="E18">
        <v>0</v>
      </c>
      <c r="F18">
        <v>0</v>
      </c>
      <c r="G18">
        <v>0</v>
      </c>
      <c r="H18">
        <v>0</v>
      </c>
      <c r="I18">
        <v>0</v>
      </c>
      <c r="J18">
        <v>8003414.6500000004</v>
      </c>
      <c r="K18">
        <v>0</v>
      </c>
      <c r="L18">
        <v>0</v>
      </c>
      <c r="M18">
        <v>0</v>
      </c>
    </row>
    <row r="19" spans="1:14" x14ac:dyDescent="0.2">
      <c r="A19" s="2"/>
      <c r="B19" s="1" t="s">
        <v>30</v>
      </c>
      <c r="C19">
        <v>55.819389999999999</v>
      </c>
      <c r="D19">
        <v>55.819389999999999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121965.37684</v>
      </c>
      <c r="K19">
        <v>0</v>
      </c>
      <c r="L19">
        <v>0</v>
      </c>
      <c r="M19">
        <v>0</v>
      </c>
    </row>
    <row r="20" spans="1:14" x14ac:dyDescent="0.2">
      <c r="A20" s="2"/>
      <c r="B20" s="1" t="s">
        <v>31</v>
      </c>
      <c r="C20">
        <v>40470.421999999999</v>
      </c>
      <c r="D20">
        <v>40470.421999999999</v>
      </c>
      <c r="E20">
        <v>13217461.392790001</v>
      </c>
      <c r="F20">
        <v>0</v>
      </c>
      <c r="G20">
        <v>13217461.392790001</v>
      </c>
      <c r="H20">
        <v>0</v>
      </c>
      <c r="I20">
        <v>0.14947166649263011</v>
      </c>
      <c r="J20">
        <v>1348080.0664299999</v>
      </c>
      <c r="K20">
        <v>0</v>
      </c>
      <c r="L20">
        <v>0</v>
      </c>
      <c r="M20">
        <v>90278673.567890003</v>
      </c>
      <c r="N20">
        <v>6.8302581574748009</v>
      </c>
    </row>
    <row r="21" spans="1:14" x14ac:dyDescent="0.2">
      <c r="A21" s="2"/>
      <c r="B21" s="1" t="s">
        <v>32</v>
      </c>
      <c r="C21">
        <v>4643.1779999999999</v>
      </c>
      <c r="D21">
        <v>4643.1779999999999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10145343.93</v>
      </c>
      <c r="K21">
        <v>0</v>
      </c>
      <c r="L21">
        <v>0</v>
      </c>
      <c r="M21">
        <v>0</v>
      </c>
    </row>
    <row r="22" spans="1:14" x14ac:dyDescent="0.2">
      <c r="A22" s="1" t="s">
        <v>33</v>
      </c>
      <c r="B22" s="1" t="s">
        <v>34</v>
      </c>
      <c r="C22">
        <v>230800</v>
      </c>
      <c r="D22">
        <v>230800</v>
      </c>
      <c r="E22">
        <v>35023140.076569997</v>
      </c>
      <c r="F22">
        <v>21829914.406029999</v>
      </c>
      <c r="G22">
        <v>13193225.670539999</v>
      </c>
      <c r="H22">
        <v>-13193225.670539999</v>
      </c>
      <c r="I22">
        <v>0.1127370215337955</v>
      </c>
      <c r="J22">
        <v>0</v>
      </c>
      <c r="K22">
        <v>0</v>
      </c>
      <c r="L22">
        <v>0</v>
      </c>
      <c r="M22">
        <v>135731533.85012999</v>
      </c>
      <c r="N22">
        <v>2.3874097018619609</v>
      </c>
    </row>
    <row r="23" spans="1:14" x14ac:dyDescent="0.2">
      <c r="A23" s="2" t="s">
        <v>35</v>
      </c>
      <c r="B23" s="1" t="s">
        <v>36</v>
      </c>
      <c r="C23">
        <v>12450</v>
      </c>
      <c r="D23">
        <v>12450</v>
      </c>
      <c r="E23">
        <v>9549084.6919800006</v>
      </c>
      <c r="F23">
        <v>5885749.93353</v>
      </c>
      <c r="G23">
        <v>3663334.7584500001</v>
      </c>
      <c r="H23">
        <v>-3663334.7584500001</v>
      </c>
      <c r="I23">
        <v>0.56738936064257028</v>
      </c>
      <c r="J23">
        <v>30866584.758450001</v>
      </c>
      <c r="K23">
        <v>0</v>
      </c>
      <c r="L23">
        <v>0</v>
      </c>
      <c r="M23">
        <v>70784103.073860005</v>
      </c>
      <c r="N23">
        <v>4.5859968561087578</v>
      </c>
    </row>
    <row r="24" spans="1:14" x14ac:dyDescent="0.2">
      <c r="A24" s="2"/>
      <c r="B24" s="1" t="s">
        <v>37</v>
      </c>
      <c r="C24">
        <v>3653.0947500000002</v>
      </c>
      <c r="D24">
        <v>3653.0947500000002</v>
      </c>
      <c r="E24">
        <v>0</v>
      </c>
      <c r="F24">
        <v>134827.92462999999</v>
      </c>
      <c r="G24">
        <v>-134827.92462999999</v>
      </c>
      <c r="H24">
        <v>0</v>
      </c>
      <c r="I24">
        <v>1.6891469896859371E-2</v>
      </c>
      <c r="J24">
        <v>7847184.1140000001</v>
      </c>
      <c r="K24">
        <v>0</v>
      </c>
      <c r="L24">
        <v>0</v>
      </c>
      <c r="M24">
        <v>0</v>
      </c>
    </row>
    <row r="25" spans="1:14" x14ac:dyDescent="0.2">
      <c r="A25" s="2"/>
      <c r="B25" s="1" t="s">
        <v>38</v>
      </c>
      <c r="C25">
        <v>278.38099999999997</v>
      </c>
      <c r="D25">
        <v>278.38099999999997</v>
      </c>
      <c r="E25">
        <v>0</v>
      </c>
      <c r="F25">
        <v>86990.563639999993</v>
      </c>
      <c r="G25">
        <v>-86990.563639999993</v>
      </c>
      <c r="H25">
        <v>0</v>
      </c>
      <c r="I25">
        <v>0.14301482500601689</v>
      </c>
      <c r="J25">
        <v>521271.92135999998</v>
      </c>
      <c r="K25">
        <v>0</v>
      </c>
      <c r="L25">
        <v>434952.81819000002</v>
      </c>
      <c r="M25">
        <v>0</v>
      </c>
    </row>
    <row r="26" spans="1:14" x14ac:dyDescent="0.2">
      <c r="A26" s="2" t="s">
        <v>39</v>
      </c>
      <c r="B26" s="1" t="s">
        <v>40</v>
      </c>
      <c r="C26">
        <v>0</v>
      </c>
      <c r="D26">
        <v>0</v>
      </c>
      <c r="E26">
        <v>0</v>
      </c>
      <c r="F26">
        <v>1877542.78308</v>
      </c>
      <c r="G26">
        <v>-1877542.78308</v>
      </c>
      <c r="H26">
        <v>0</v>
      </c>
      <c r="J26">
        <v>0</v>
      </c>
      <c r="K26">
        <v>0</v>
      </c>
      <c r="L26">
        <v>0</v>
      </c>
      <c r="M26">
        <v>-14118942.215709999</v>
      </c>
      <c r="N26">
        <v>-7.5199044310336669</v>
      </c>
    </row>
    <row r="27" spans="1:14" x14ac:dyDescent="0.2">
      <c r="A27" s="2"/>
      <c r="B27" s="1" t="s">
        <v>41</v>
      </c>
      <c r="C27">
        <v>0</v>
      </c>
      <c r="D27">
        <v>0</v>
      </c>
      <c r="E27">
        <v>0</v>
      </c>
      <c r="F27">
        <v>52178335.791649997</v>
      </c>
      <c r="G27">
        <v>-52178335.791649997</v>
      </c>
      <c r="H27">
        <v>0</v>
      </c>
      <c r="J27">
        <v>0</v>
      </c>
      <c r="K27">
        <v>0</v>
      </c>
      <c r="L27">
        <v>0</v>
      </c>
      <c r="M27">
        <v>-411891455.58788002</v>
      </c>
      <c r="N27">
        <v>-7.8939170712979454</v>
      </c>
    </row>
    <row r="28" spans="1:14" x14ac:dyDescent="0.2">
      <c r="A28" s="2" t="s">
        <v>42</v>
      </c>
      <c r="B28" s="1" t="s">
        <v>43</v>
      </c>
      <c r="C28">
        <v>26471.973000000002</v>
      </c>
      <c r="D28">
        <v>26471.973000000002</v>
      </c>
      <c r="E28">
        <v>2729197.8346600002</v>
      </c>
      <c r="F28">
        <v>6114821.3175999997</v>
      </c>
      <c r="G28">
        <v>-3385623.48294</v>
      </c>
      <c r="H28">
        <v>0</v>
      </c>
      <c r="I28">
        <v>0.15290156196517729</v>
      </c>
      <c r="J28">
        <v>61226884.487939999</v>
      </c>
      <c r="K28">
        <v>0</v>
      </c>
      <c r="L28">
        <v>0</v>
      </c>
      <c r="M28">
        <v>16741690.776690001</v>
      </c>
      <c r="N28">
        <v>1.892995761479769</v>
      </c>
    </row>
    <row r="29" spans="1:14" x14ac:dyDescent="0.2">
      <c r="A29" s="2"/>
      <c r="B29" s="1" t="s">
        <v>44</v>
      </c>
      <c r="C29">
        <v>857.70799999999997</v>
      </c>
      <c r="D29">
        <v>857.70799999999997</v>
      </c>
      <c r="E29">
        <v>142784.75284999999</v>
      </c>
      <c r="F29">
        <v>270758.74018000002</v>
      </c>
      <c r="G29">
        <v>-127973.98732</v>
      </c>
      <c r="H29">
        <v>0</v>
      </c>
      <c r="I29">
        <v>0.22066339593428069</v>
      </c>
      <c r="J29">
        <v>2002065.9673200001</v>
      </c>
      <c r="K29">
        <v>0</v>
      </c>
      <c r="L29">
        <v>0</v>
      </c>
      <c r="M29">
        <v>548921.51061</v>
      </c>
      <c r="N29">
        <v>1.3273609941967011</v>
      </c>
    </row>
    <row r="30" spans="1:14" x14ac:dyDescent="0.2">
      <c r="A30" s="2"/>
      <c r="B30" s="1" t="s">
        <v>45</v>
      </c>
      <c r="C30">
        <v>457.99400000000003</v>
      </c>
      <c r="D30">
        <v>457.99400000000003</v>
      </c>
      <c r="E30">
        <v>31042.259320000001</v>
      </c>
      <c r="F30">
        <v>250612.96015999999</v>
      </c>
      <c r="G30">
        <v>-219570.70084</v>
      </c>
      <c r="H30">
        <v>0</v>
      </c>
      <c r="I30">
        <v>0.28145344698838848</v>
      </c>
      <c r="J30">
        <v>1220287.59084</v>
      </c>
      <c r="K30">
        <v>0</v>
      </c>
      <c r="L30">
        <v>0</v>
      </c>
      <c r="M30">
        <v>549749.35774000001</v>
      </c>
      <c r="N30">
        <v>1.951852227382566</v>
      </c>
    </row>
    <row r="31" spans="1:14" x14ac:dyDescent="0.2">
      <c r="A31" s="2"/>
      <c r="B31" s="1" t="s">
        <v>46</v>
      </c>
      <c r="C31">
        <v>5300</v>
      </c>
      <c r="D31">
        <v>5300</v>
      </c>
      <c r="E31">
        <v>846578.61364</v>
      </c>
      <c r="F31">
        <v>2232173.6644000001</v>
      </c>
      <c r="G31">
        <v>-1385595.0507499999</v>
      </c>
      <c r="H31">
        <v>0</v>
      </c>
      <c r="I31">
        <v>0.26585659245283022</v>
      </c>
      <c r="J31">
        <v>12966095.05075</v>
      </c>
      <c r="K31">
        <v>0</v>
      </c>
      <c r="L31">
        <v>0</v>
      </c>
      <c r="M31">
        <v>10545946.586680001</v>
      </c>
      <c r="N31">
        <v>3.425396287915019</v>
      </c>
    </row>
    <row r="32" spans="1:14" x14ac:dyDescent="0.2">
      <c r="A32" s="1" t="s">
        <v>47</v>
      </c>
      <c r="B32" s="1" t="s">
        <v>48</v>
      </c>
      <c r="C32">
        <v>46768.008000000002</v>
      </c>
      <c r="D32">
        <v>46768.008000000002</v>
      </c>
      <c r="E32">
        <v>86120.383579999994</v>
      </c>
      <c r="F32">
        <v>93509.367190000004</v>
      </c>
      <c r="G32">
        <v>-7388.9836100000002</v>
      </c>
      <c r="H32">
        <v>0</v>
      </c>
      <c r="I32">
        <v>0.72307673677271012</v>
      </c>
      <c r="J32">
        <v>0</v>
      </c>
      <c r="K32">
        <v>0</v>
      </c>
      <c r="L32">
        <v>0</v>
      </c>
      <c r="M32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/>
  </sheetViews>
  <sheetFormatPr baseColWidth="10" defaultColWidth="8.83203125" defaultRowHeight="15" x14ac:dyDescent="0.2"/>
  <sheetData>
    <row r="1" spans="1:13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 s="2" t="s">
        <v>12</v>
      </c>
      <c r="B2" s="1" t="s">
        <v>13</v>
      </c>
      <c r="C2">
        <v>0</v>
      </c>
      <c r="D2">
        <v>372.43929000000003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s="2"/>
      <c r="B3" s="1" t="s">
        <v>14</v>
      </c>
      <c r="C3">
        <v>0</v>
      </c>
      <c r="D3">
        <v>1642.8915400000001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2"/>
      <c r="B4" s="1" t="s">
        <v>15</v>
      </c>
      <c r="C4">
        <v>0</v>
      </c>
      <c r="D4">
        <v>9185.8067100000007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2"/>
      <c r="B5" s="1" t="s">
        <v>16</v>
      </c>
      <c r="C5">
        <v>0</v>
      </c>
      <c r="D5">
        <v>23586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2"/>
      <c r="B6" s="1" t="s">
        <v>17</v>
      </c>
      <c r="C6">
        <v>0</v>
      </c>
      <c r="D6">
        <v>3534.0360000000001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2"/>
      <c r="B7" s="1" t="s">
        <v>18</v>
      </c>
      <c r="C7">
        <v>0</v>
      </c>
      <c r="D7">
        <v>13695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2"/>
      <c r="B8" s="1" t="s">
        <v>19</v>
      </c>
      <c r="C8">
        <v>0</v>
      </c>
      <c r="D8">
        <v>4067.2939999999999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2"/>
      <c r="B9" s="1" t="s">
        <v>20</v>
      </c>
      <c r="C9">
        <v>0</v>
      </c>
      <c r="D9">
        <v>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2"/>
      <c r="B10" s="1" t="s">
        <v>21</v>
      </c>
      <c r="C10">
        <v>0</v>
      </c>
      <c r="D10">
        <v>834.51107000000002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s="2"/>
      <c r="B11" s="1" t="s">
        <v>22</v>
      </c>
      <c r="C11">
        <v>0</v>
      </c>
      <c r="D11">
        <v>1897.296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s="2"/>
      <c r="B12" s="1" t="s">
        <v>23</v>
      </c>
      <c r="C12">
        <v>0</v>
      </c>
      <c r="D12">
        <v>48629.190949999997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s="2"/>
      <c r="B13" s="1" t="s">
        <v>24</v>
      </c>
      <c r="C13">
        <v>0</v>
      </c>
      <c r="D13">
        <v>254.358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s="2"/>
      <c r="B14" s="1" t="s">
        <v>25</v>
      </c>
      <c r="C14">
        <v>0</v>
      </c>
      <c r="D14">
        <v>4570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s="2"/>
      <c r="B15" s="1" t="s">
        <v>26</v>
      </c>
      <c r="C15">
        <v>0</v>
      </c>
      <c r="D15">
        <v>53544.201999999997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s="2"/>
      <c r="B16" s="1" t="s">
        <v>27</v>
      </c>
      <c r="C16">
        <v>0</v>
      </c>
      <c r="D16">
        <v>78.5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s="2"/>
      <c r="B17" s="1" t="s">
        <v>28</v>
      </c>
      <c r="C17">
        <v>0</v>
      </c>
      <c r="D17">
        <v>27270.741000000002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s="2"/>
      <c r="B18" s="1" t="s">
        <v>29</v>
      </c>
      <c r="C18">
        <v>0</v>
      </c>
      <c r="D18">
        <v>3662.89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s="2"/>
      <c r="B19" s="1" t="s">
        <v>30</v>
      </c>
      <c r="C19">
        <v>0</v>
      </c>
      <c r="D19">
        <v>55.819389999999999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s="2"/>
      <c r="B20" s="1" t="s">
        <v>31</v>
      </c>
      <c r="C20">
        <v>0</v>
      </c>
      <c r="D20">
        <v>40470.421999999999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s="2"/>
      <c r="B21" s="1" t="s">
        <v>32</v>
      </c>
      <c r="C21">
        <v>0</v>
      </c>
      <c r="D21">
        <v>4643.1779999999999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s="1" t="s">
        <v>33</v>
      </c>
      <c r="B22" s="1" t="s">
        <v>34</v>
      </c>
      <c r="C22">
        <v>0</v>
      </c>
      <c r="D22">
        <v>230800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s="2" t="s">
        <v>35</v>
      </c>
      <c r="B23" s="1" t="s">
        <v>36</v>
      </c>
      <c r="C23">
        <v>0</v>
      </c>
      <c r="D23">
        <v>12450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s="2"/>
      <c r="B24" s="1" t="s">
        <v>49</v>
      </c>
      <c r="C24">
        <v>0</v>
      </c>
      <c r="D24">
        <v>26000000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s="2"/>
      <c r="B25" s="1" t="s">
        <v>37</v>
      </c>
      <c r="C25">
        <v>0</v>
      </c>
      <c r="D25">
        <v>3653.0947500000002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s="2"/>
      <c r="B26" s="1" t="s">
        <v>38</v>
      </c>
      <c r="C26">
        <v>0</v>
      </c>
      <c r="D26">
        <v>278.38099999999997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s="2" t="s">
        <v>42</v>
      </c>
      <c r="B27" s="1" t="s">
        <v>43</v>
      </c>
      <c r="C27">
        <v>0</v>
      </c>
      <c r="D27">
        <v>26471.973000000002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s="2"/>
      <c r="B28" s="1" t="s">
        <v>44</v>
      </c>
      <c r="C28">
        <v>0</v>
      </c>
      <c r="D28">
        <v>857.70799999999997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s="2"/>
      <c r="B29" s="1" t="s">
        <v>45</v>
      </c>
      <c r="C29">
        <v>0</v>
      </c>
      <c r="D29">
        <v>457.99400000000003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s="2"/>
      <c r="B30" s="1" t="s">
        <v>46</v>
      </c>
      <c r="C30">
        <v>0</v>
      </c>
      <c r="D30">
        <v>5300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s="2" t="s">
        <v>47</v>
      </c>
      <c r="B31" s="1" t="s">
        <v>49</v>
      </c>
      <c r="C31">
        <v>0</v>
      </c>
      <c r="D31">
        <v>13000000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s="2"/>
      <c r="B32" s="1" t="s">
        <v>48</v>
      </c>
      <c r="C32">
        <v>0</v>
      </c>
      <c r="D32">
        <v>46768.008000000002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</sheetData>
  <mergeCells count="4">
    <mergeCell ref="A27:A30"/>
    <mergeCell ref="A2:A21"/>
    <mergeCell ref="A31:A32"/>
    <mergeCell ref="A23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workbookViewId="0"/>
  </sheetViews>
  <sheetFormatPr baseColWidth="10" defaultColWidth="8.83203125" defaultRowHeight="15" x14ac:dyDescent="0.2"/>
  <sheetData>
    <row r="1" spans="1:14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2" t="s">
        <v>12</v>
      </c>
      <c r="B2" s="1" t="s">
        <v>13</v>
      </c>
      <c r="C2">
        <v>372.43929000000003</v>
      </c>
      <c r="D2">
        <v>372.43929000000003</v>
      </c>
      <c r="E2">
        <v>0</v>
      </c>
      <c r="F2">
        <v>0</v>
      </c>
      <c r="G2">
        <v>0</v>
      </c>
      <c r="H2">
        <v>0</v>
      </c>
      <c r="I2">
        <v>0</v>
      </c>
      <c r="J2">
        <v>813779.84346</v>
      </c>
      <c r="K2">
        <v>0</v>
      </c>
      <c r="L2">
        <v>0</v>
      </c>
      <c r="M2">
        <v>0</v>
      </c>
    </row>
    <row r="3" spans="1:14" x14ac:dyDescent="0.2">
      <c r="A3" s="2"/>
      <c r="B3" s="1" t="s">
        <v>14</v>
      </c>
      <c r="C3">
        <v>1642.8915400000001</v>
      </c>
      <c r="D3">
        <v>1642.8915400000001</v>
      </c>
      <c r="E3">
        <v>0</v>
      </c>
      <c r="F3">
        <v>0</v>
      </c>
      <c r="G3">
        <v>0</v>
      </c>
      <c r="H3">
        <v>0</v>
      </c>
      <c r="I3">
        <v>0</v>
      </c>
      <c r="J3">
        <v>3589718.0135300001</v>
      </c>
      <c r="K3">
        <v>0</v>
      </c>
      <c r="L3">
        <v>0</v>
      </c>
      <c r="M3">
        <v>0</v>
      </c>
    </row>
    <row r="4" spans="1:14" x14ac:dyDescent="0.2">
      <c r="A4" s="2"/>
      <c r="B4" s="1" t="s">
        <v>15</v>
      </c>
      <c r="C4">
        <v>9185.8067100000007</v>
      </c>
      <c r="D4">
        <v>9185.8067100000007</v>
      </c>
      <c r="E4">
        <v>0</v>
      </c>
      <c r="F4">
        <v>0</v>
      </c>
      <c r="G4">
        <v>0</v>
      </c>
      <c r="H4">
        <v>0</v>
      </c>
      <c r="I4">
        <v>0</v>
      </c>
      <c r="J4">
        <v>20070987.666540001</v>
      </c>
      <c r="K4">
        <v>0</v>
      </c>
      <c r="L4">
        <v>0</v>
      </c>
      <c r="M4">
        <v>0</v>
      </c>
    </row>
    <row r="5" spans="1:14" x14ac:dyDescent="0.2">
      <c r="A5" s="2"/>
      <c r="B5" s="1" t="s">
        <v>16</v>
      </c>
      <c r="C5">
        <v>23586</v>
      </c>
      <c r="D5">
        <v>23586</v>
      </c>
      <c r="E5">
        <v>0</v>
      </c>
      <c r="F5">
        <v>0</v>
      </c>
      <c r="G5">
        <v>0</v>
      </c>
      <c r="H5">
        <v>0</v>
      </c>
      <c r="I5">
        <v>0</v>
      </c>
      <c r="J5">
        <v>51535410</v>
      </c>
      <c r="K5">
        <v>0</v>
      </c>
      <c r="L5">
        <v>0</v>
      </c>
      <c r="M5">
        <v>0</v>
      </c>
    </row>
    <row r="6" spans="1:14" x14ac:dyDescent="0.2">
      <c r="A6" s="2"/>
      <c r="B6" s="1" t="s">
        <v>17</v>
      </c>
      <c r="C6">
        <v>3534.0360000000001</v>
      </c>
      <c r="D6">
        <v>3534.0360000000001</v>
      </c>
      <c r="E6">
        <v>0</v>
      </c>
      <c r="F6">
        <v>0</v>
      </c>
      <c r="G6">
        <v>0</v>
      </c>
      <c r="H6">
        <v>0</v>
      </c>
      <c r="I6">
        <v>0</v>
      </c>
      <c r="J6">
        <v>7721868.6600000001</v>
      </c>
      <c r="K6">
        <v>0</v>
      </c>
      <c r="L6">
        <v>0</v>
      </c>
      <c r="M6">
        <v>0</v>
      </c>
    </row>
    <row r="7" spans="1:14" x14ac:dyDescent="0.2">
      <c r="A7" s="2"/>
      <c r="B7" s="1" t="s">
        <v>18</v>
      </c>
      <c r="C7">
        <v>13695</v>
      </c>
      <c r="D7">
        <v>13695</v>
      </c>
      <c r="E7">
        <v>3541052.5085499999</v>
      </c>
      <c r="F7">
        <v>0</v>
      </c>
      <c r="G7">
        <v>3541052.5085499999</v>
      </c>
      <c r="H7">
        <v>0</v>
      </c>
      <c r="I7">
        <v>0.11833654618473891</v>
      </c>
      <c r="J7">
        <v>26382522.491450001</v>
      </c>
      <c r="K7">
        <v>0</v>
      </c>
      <c r="L7">
        <v>40561734.267070003</v>
      </c>
      <c r="M7">
        <v>40561734.267070003</v>
      </c>
      <c r="N7">
        <v>11.454711304754539</v>
      </c>
    </row>
    <row r="8" spans="1:14" x14ac:dyDescent="0.2">
      <c r="A8" s="2"/>
      <c r="B8" s="1" t="s">
        <v>19</v>
      </c>
      <c r="C8">
        <v>4067.2939999999999</v>
      </c>
      <c r="D8">
        <v>4067.2939999999999</v>
      </c>
      <c r="E8">
        <v>0</v>
      </c>
      <c r="F8">
        <v>0</v>
      </c>
      <c r="G8">
        <v>0</v>
      </c>
      <c r="H8">
        <v>0</v>
      </c>
      <c r="I8">
        <v>0</v>
      </c>
      <c r="J8">
        <v>8887037.3900000006</v>
      </c>
      <c r="K8">
        <v>0</v>
      </c>
      <c r="L8">
        <v>0</v>
      </c>
      <c r="M8">
        <v>0</v>
      </c>
    </row>
    <row r="9" spans="1:14" x14ac:dyDescent="0.2">
      <c r="A9" s="2"/>
      <c r="B9" s="1" t="s">
        <v>20</v>
      </c>
      <c r="C9">
        <v>11</v>
      </c>
      <c r="D9">
        <v>11</v>
      </c>
      <c r="E9">
        <v>4643.509</v>
      </c>
      <c r="F9">
        <v>0</v>
      </c>
      <c r="G9">
        <v>4643.509</v>
      </c>
      <c r="H9">
        <v>0</v>
      </c>
      <c r="I9">
        <v>0.1931981818181818</v>
      </c>
      <c r="J9">
        <v>19391.491000000002</v>
      </c>
      <c r="K9">
        <v>0</v>
      </c>
      <c r="L9">
        <v>57858.122139999999</v>
      </c>
      <c r="M9">
        <v>99417.853749999995</v>
      </c>
      <c r="N9">
        <v>21.41002644481879</v>
      </c>
    </row>
    <row r="10" spans="1:14" x14ac:dyDescent="0.2">
      <c r="A10" s="2"/>
      <c r="B10" s="1" t="s">
        <v>21</v>
      </c>
      <c r="C10">
        <v>834.51107000000002</v>
      </c>
      <c r="D10">
        <v>834.51107000000002</v>
      </c>
      <c r="E10">
        <v>1373.64192</v>
      </c>
      <c r="F10">
        <v>0</v>
      </c>
      <c r="G10">
        <v>1373.64192</v>
      </c>
      <c r="H10">
        <v>0</v>
      </c>
      <c r="I10">
        <v>7.5333931759587072E-4</v>
      </c>
      <c r="J10">
        <v>1822033.0377100001</v>
      </c>
      <c r="K10">
        <v>0</v>
      </c>
      <c r="L10">
        <v>74176.6636</v>
      </c>
      <c r="M10">
        <v>74347.882729999998</v>
      </c>
      <c r="N10">
        <v>54.124564556921761</v>
      </c>
    </row>
    <row r="11" spans="1:14" x14ac:dyDescent="0.2">
      <c r="A11" s="2"/>
      <c r="B11" s="1" t="s">
        <v>22</v>
      </c>
      <c r="C11">
        <v>1897.296</v>
      </c>
      <c r="D11">
        <v>1897.296</v>
      </c>
      <c r="E11">
        <v>1399606.39647</v>
      </c>
      <c r="F11">
        <v>0</v>
      </c>
      <c r="G11">
        <v>1399606.39647</v>
      </c>
      <c r="H11">
        <v>0</v>
      </c>
      <c r="I11">
        <v>0.33761317685801268</v>
      </c>
      <c r="J11">
        <v>258630.30752999999</v>
      </c>
      <c r="K11">
        <v>0</v>
      </c>
      <c r="L11">
        <v>0</v>
      </c>
      <c r="M11">
        <v>9528778.6317200009</v>
      </c>
      <c r="N11">
        <v>6.8081845110717216</v>
      </c>
    </row>
    <row r="12" spans="1:14" x14ac:dyDescent="0.2">
      <c r="A12" s="2"/>
      <c r="B12" s="1" t="s">
        <v>23</v>
      </c>
      <c r="C12">
        <v>48629.190949999997</v>
      </c>
      <c r="D12">
        <v>48629.190949999997</v>
      </c>
      <c r="E12">
        <v>0</v>
      </c>
      <c r="F12">
        <v>0</v>
      </c>
      <c r="G12">
        <v>0</v>
      </c>
      <c r="H12">
        <v>0</v>
      </c>
      <c r="I12">
        <v>0</v>
      </c>
      <c r="J12">
        <v>52178335.791649997</v>
      </c>
      <c r="K12">
        <v>0</v>
      </c>
      <c r="L12">
        <v>0</v>
      </c>
      <c r="M12">
        <v>0</v>
      </c>
    </row>
    <row r="13" spans="1:14" x14ac:dyDescent="0.2">
      <c r="A13" s="2"/>
      <c r="B13" s="1" t="s">
        <v>24</v>
      </c>
      <c r="C13">
        <v>254.358</v>
      </c>
      <c r="D13">
        <v>254.358</v>
      </c>
      <c r="E13">
        <v>240007.15296000001</v>
      </c>
      <c r="F13">
        <v>0</v>
      </c>
      <c r="G13">
        <v>240007.15296000001</v>
      </c>
      <c r="H13">
        <v>0</v>
      </c>
      <c r="I13">
        <v>0.43184444758961782</v>
      </c>
      <c r="J13">
        <v>33762.397859999997</v>
      </c>
      <c r="K13">
        <v>0</v>
      </c>
      <c r="L13">
        <v>0</v>
      </c>
      <c r="M13">
        <v>2004213.4565699999</v>
      </c>
      <c r="N13">
        <v>8.3506405364233647</v>
      </c>
    </row>
    <row r="14" spans="1:14" x14ac:dyDescent="0.2">
      <c r="A14" s="2"/>
      <c r="B14" s="1" t="s">
        <v>25</v>
      </c>
      <c r="C14">
        <v>4570</v>
      </c>
      <c r="D14">
        <v>4570</v>
      </c>
      <c r="E14">
        <v>4053638.8234899999</v>
      </c>
      <c r="F14">
        <v>0</v>
      </c>
      <c r="G14">
        <v>4053638.8234899999</v>
      </c>
      <c r="H14">
        <v>0</v>
      </c>
      <c r="I14">
        <v>0.40595454704595191</v>
      </c>
      <c r="J14">
        <v>5931811.1765099997</v>
      </c>
      <c r="K14">
        <v>0</v>
      </c>
      <c r="L14">
        <v>40536388.234949999</v>
      </c>
      <c r="M14">
        <v>67962273.355719998</v>
      </c>
      <c r="N14">
        <v>16.765744602552971</v>
      </c>
    </row>
    <row r="15" spans="1:14" x14ac:dyDescent="0.2">
      <c r="A15" s="2"/>
      <c r="B15" s="1" t="s">
        <v>26</v>
      </c>
      <c r="C15">
        <v>53544.201999999997</v>
      </c>
      <c r="D15">
        <v>53544.201999999997</v>
      </c>
      <c r="E15">
        <v>25184071.59513</v>
      </c>
      <c r="F15">
        <v>0</v>
      </c>
      <c r="G15">
        <v>25184071.59513</v>
      </c>
      <c r="H15">
        <v>0</v>
      </c>
      <c r="I15">
        <v>0.21525936440326451</v>
      </c>
      <c r="J15">
        <v>6930774.5144300004</v>
      </c>
      <c r="K15">
        <v>0</v>
      </c>
      <c r="L15">
        <v>0</v>
      </c>
      <c r="M15">
        <v>102429278.60424</v>
      </c>
      <c r="N15">
        <v>4.0672247227910372</v>
      </c>
    </row>
    <row r="16" spans="1:14" x14ac:dyDescent="0.2">
      <c r="A16" s="2"/>
      <c r="B16" s="1" t="s">
        <v>27</v>
      </c>
      <c r="C16">
        <v>78.5</v>
      </c>
      <c r="D16">
        <v>78.5</v>
      </c>
      <c r="E16">
        <v>0</v>
      </c>
      <c r="F16">
        <v>0</v>
      </c>
      <c r="G16">
        <v>0</v>
      </c>
      <c r="H16">
        <v>0</v>
      </c>
      <c r="I16">
        <v>0</v>
      </c>
      <c r="J16">
        <v>171522.5</v>
      </c>
      <c r="K16">
        <v>0</v>
      </c>
      <c r="L16">
        <v>0</v>
      </c>
      <c r="M16">
        <v>0</v>
      </c>
    </row>
    <row r="17" spans="1:14" x14ac:dyDescent="0.2">
      <c r="A17" s="2"/>
      <c r="B17" s="1" t="s">
        <v>28</v>
      </c>
      <c r="C17">
        <v>27270.741000000002</v>
      </c>
      <c r="D17">
        <v>27270.741000000002</v>
      </c>
      <c r="E17">
        <v>11270935.13817</v>
      </c>
      <c r="F17">
        <v>0</v>
      </c>
      <c r="G17">
        <v>11270935.13817</v>
      </c>
      <c r="H17">
        <v>0</v>
      </c>
      <c r="I17">
        <v>0.1891522756935721</v>
      </c>
      <c r="J17">
        <v>3064199.2182499999</v>
      </c>
      <c r="K17">
        <v>0</v>
      </c>
      <c r="L17">
        <v>0</v>
      </c>
      <c r="M17">
        <v>42266949.62077</v>
      </c>
      <c r="N17">
        <v>3.750083651222194</v>
      </c>
    </row>
    <row r="18" spans="1:14" x14ac:dyDescent="0.2">
      <c r="A18" s="2"/>
      <c r="B18" s="1" t="s">
        <v>29</v>
      </c>
      <c r="C18">
        <v>3662.89</v>
      </c>
      <c r="D18">
        <v>3662.89</v>
      </c>
      <c r="E18">
        <v>0</v>
      </c>
      <c r="F18">
        <v>0</v>
      </c>
      <c r="G18">
        <v>0</v>
      </c>
      <c r="H18">
        <v>0</v>
      </c>
      <c r="I18">
        <v>0</v>
      </c>
      <c r="J18">
        <v>8003414.6500000004</v>
      </c>
      <c r="K18">
        <v>0</v>
      </c>
      <c r="L18">
        <v>0</v>
      </c>
      <c r="M18">
        <v>0</v>
      </c>
    </row>
    <row r="19" spans="1:14" x14ac:dyDescent="0.2">
      <c r="A19" s="2"/>
      <c r="B19" s="1" t="s">
        <v>30</v>
      </c>
      <c r="C19">
        <v>55.819389999999999</v>
      </c>
      <c r="D19">
        <v>55.819389999999999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121965.37684</v>
      </c>
      <c r="K19">
        <v>0</v>
      </c>
      <c r="L19">
        <v>0</v>
      </c>
      <c r="M19">
        <v>0</v>
      </c>
    </row>
    <row r="20" spans="1:14" x14ac:dyDescent="0.2">
      <c r="A20" s="2"/>
      <c r="B20" s="1" t="s">
        <v>31</v>
      </c>
      <c r="C20">
        <v>40470.421999999999</v>
      </c>
      <c r="D20">
        <v>40470.421999999999</v>
      </c>
      <c r="E20">
        <v>13221382.98147</v>
      </c>
      <c r="F20">
        <v>0</v>
      </c>
      <c r="G20">
        <v>13221382.98147</v>
      </c>
      <c r="H20">
        <v>0</v>
      </c>
      <c r="I20">
        <v>0.1495160141893257</v>
      </c>
      <c r="J20">
        <v>1344158.47774</v>
      </c>
      <c r="K20">
        <v>0</v>
      </c>
      <c r="L20">
        <v>0</v>
      </c>
      <c r="M20">
        <v>90280278.790910006</v>
      </c>
      <c r="N20">
        <v>6.8283536577591448</v>
      </c>
    </row>
    <row r="21" spans="1:14" x14ac:dyDescent="0.2">
      <c r="A21" s="2"/>
      <c r="B21" s="1" t="s">
        <v>32</v>
      </c>
      <c r="C21">
        <v>4643.1779999999999</v>
      </c>
      <c r="D21">
        <v>4643.1779999999999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10145343.93</v>
      </c>
      <c r="K21">
        <v>0</v>
      </c>
      <c r="L21">
        <v>0</v>
      </c>
      <c r="M21">
        <v>0</v>
      </c>
    </row>
    <row r="22" spans="1:14" x14ac:dyDescent="0.2">
      <c r="A22" s="1" t="s">
        <v>33</v>
      </c>
      <c r="B22" s="1" t="s">
        <v>34</v>
      </c>
      <c r="C22">
        <v>230800</v>
      </c>
      <c r="D22">
        <v>230800</v>
      </c>
      <c r="E22">
        <v>34790031.69269</v>
      </c>
      <c r="F22">
        <v>21544088.32392</v>
      </c>
      <c r="G22">
        <v>13245943.36877</v>
      </c>
      <c r="H22">
        <v>-13245943.36877</v>
      </c>
      <c r="I22">
        <v>0.1117079980935875</v>
      </c>
      <c r="J22">
        <v>0</v>
      </c>
      <c r="K22">
        <v>0</v>
      </c>
      <c r="L22">
        <v>0</v>
      </c>
      <c r="M22">
        <v>133333107.81053001</v>
      </c>
      <c r="N22">
        <v>2.3668268492879569</v>
      </c>
    </row>
    <row r="23" spans="1:14" x14ac:dyDescent="0.2">
      <c r="A23" s="2" t="s">
        <v>35</v>
      </c>
      <c r="B23" s="1" t="s">
        <v>36</v>
      </c>
      <c r="C23">
        <v>12450</v>
      </c>
      <c r="D23">
        <v>12450</v>
      </c>
      <c r="E23">
        <v>9526165.0017700009</v>
      </c>
      <c r="F23">
        <v>5894316.2750599999</v>
      </c>
      <c r="G23">
        <v>3631848.7267100001</v>
      </c>
      <c r="H23">
        <v>-3631848.7267100001</v>
      </c>
      <c r="I23">
        <v>0.56686172690763048</v>
      </c>
      <c r="J23">
        <v>30835098.726709999</v>
      </c>
      <c r="K23">
        <v>0</v>
      </c>
      <c r="L23">
        <v>0</v>
      </c>
      <c r="M23">
        <v>70623864.551579997</v>
      </c>
      <c r="N23">
        <v>4.5798742148078437</v>
      </c>
    </row>
    <row r="24" spans="1:14" x14ac:dyDescent="0.2">
      <c r="A24" s="2"/>
      <c r="B24" s="1" t="s">
        <v>37</v>
      </c>
      <c r="C24">
        <v>3653.0947500000002</v>
      </c>
      <c r="D24">
        <v>3653.0947500000002</v>
      </c>
      <c r="E24">
        <v>0</v>
      </c>
      <c r="F24">
        <v>137504.44432000001</v>
      </c>
      <c r="G24">
        <v>-137504.44432000001</v>
      </c>
      <c r="H24">
        <v>0</v>
      </c>
      <c r="I24">
        <v>1.7226791065301551E-2</v>
      </c>
      <c r="J24">
        <v>7844507.5943200001</v>
      </c>
      <c r="K24">
        <v>0</v>
      </c>
      <c r="L24">
        <v>0</v>
      </c>
      <c r="M24">
        <v>0</v>
      </c>
    </row>
    <row r="25" spans="1:14" x14ac:dyDescent="0.2">
      <c r="A25" s="2"/>
      <c r="B25" s="1" t="s">
        <v>38</v>
      </c>
      <c r="C25">
        <v>278.38099999999997</v>
      </c>
      <c r="D25">
        <v>278.38099999999997</v>
      </c>
      <c r="E25">
        <v>0</v>
      </c>
      <c r="F25">
        <v>92166.439989999999</v>
      </c>
      <c r="G25">
        <v>-92166.439989999999</v>
      </c>
      <c r="H25">
        <v>0</v>
      </c>
      <c r="I25">
        <v>0.15152413419019259</v>
      </c>
      <c r="J25">
        <v>516096.04501</v>
      </c>
      <c r="K25">
        <v>0</v>
      </c>
      <c r="L25">
        <v>460832.19993</v>
      </c>
      <c r="M25">
        <v>0</v>
      </c>
    </row>
    <row r="26" spans="1:14" x14ac:dyDescent="0.2">
      <c r="A26" s="2"/>
      <c r="B26" s="1" t="s">
        <v>50</v>
      </c>
      <c r="C26">
        <v>156000000</v>
      </c>
      <c r="D26">
        <v>156000000</v>
      </c>
      <c r="E26">
        <v>0</v>
      </c>
      <c r="F26">
        <v>16445.91041</v>
      </c>
      <c r="G26">
        <v>-16445.91041</v>
      </c>
      <c r="H26">
        <v>16445.91041</v>
      </c>
      <c r="I26">
        <v>4.8248269230769229E-8</v>
      </c>
      <c r="J26">
        <v>340859983554.0896</v>
      </c>
      <c r="K26">
        <v>0</v>
      </c>
      <c r="L26">
        <v>0.16446</v>
      </c>
      <c r="M26">
        <v>-86144.249590000007</v>
      </c>
      <c r="N26">
        <v>-5.2380369695737734</v>
      </c>
    </row>
    <row r="27" spans="1:14" x14ac:dyDescent="0.2">
      <c r="A27" s="2" t="s">
        <v>39</v>
      </c>
      <c r="B27" s="1" t="s">
        <v>40</v>
      </c>
      <c r="C27">
        <v>0</v>
      </c>
      <c r="D27">
        <v>0</v>
      </c>
      <c r="E27">
        <v>0</v>
      </c>
      <c r="F27">
        <v>1877542.78308</v>
      </c>
      <c r="G27">
        <v>-1877542.78308</v>
      </c>
      <c r="H27">
        <v>0</v>
      </c>
      <c r="J27">
        <v>0</v>
      </c>
      <c r="K27">
        <v>0</v>
      </c>
      <c r="L27">
        <v>0</v>
      </c>
      <c r="M27">
        <v>-14124690.130039999</v>
      </c>
      <c r="N27">
        <v>-7.5229658401448978</v>
      </c>
    </row>
    <row r="28" spans="1:14" x14ac:dyDescent="0.2">
      <c r="A28" s="2"/>
      <c r="B28" s="1" t="s">
        <v>41</v>
      </c>
      <c r="C28">
        <v>0</v>
      </c>
      <c r="D28">
        <v>0</v>
      </c>
      <c r="E28">
        <v>0</v>
      </c>
      <c r="F28">
        <v>52178335.791649997</v>
      </c>
      <c r="G28">
        <v>-52178335.791649997</v>
      </c>
      <c r="H28">
        <v>0</v>
      </c>
      <c r="J28">
        <v>0</v>
      </c>
      <c r="K28">
        <v>0</v>
      </c>
      <c r="L28">
        <v>0</v>
      </c>
      <c r="M28">
        <v>-411818937.53359002</v>
      </c>
      <c r="N28">
        <v>-7.8925272597734768</v>
      </c>
    </row>
    <row r="29" spans="1:14" x14ac:dyDescent="0.2">
      <c r="A29" s="2" t="s">
        <v>42</v>
      </c>
      <c r="B29" s="1" t="s">
        <v>43</v>
      </c>
      <c r="C29">
        <v>26471.973000000002</v>
      </c>
      <c r="D29">
        <v>26471.973000000002</v>
      </c>
      <c r="E29">
        <v>3422227.6420900002</v>
      </c>
      <c r="F29">
        <v>6657993.9334800001</v>
      </c>
      <c r="G29">
        <v>-3235766.2913899999</v>
      </c>
      <c r="H29">
        <v>0</v>
      </c>
      <c r="I29">
        <v>0.1742738903518827</v>
      </c>
      <c r="J29">
        <v>61077027.296389997</v>
      </c>
      <c r="K29">
        <v>0</v>
      </c>
      <c r="L29">
        <v>0</v>
      </c>
      <c r="M29">
        <v>16733653.49412</v>
      </c>
      <c r="N29">
        <v>1.6600481805319689</v>
      </c>
    </row>
    <row r="30" spans="1:14" x14ac:dyDescent="0.2">
      <c r="A30" s="2"/>
      <c r="B30" s="1" t="s">
        <v>44</v>
      </c>
      <c r="C30">
        <v>857.70799999999997</v>
      </c>
      <c r="D30">
        <v>857.70799999999997</v>
      </c>
      <c r="E30">
        <v>178311.97871</v>
      </c>
      <c r="F30">
        <v>299158.79092</v>
      </c>
      <c r="G30">
        <v>-120846.81221</v>
      </c>
      <c r="H30">
        <v>0</v>
      </c>
      <c r="I30">
        <v>0.25477445704132412</v>
      </c>
      <c r="J30">
        <v>1994938.7922100001</v>
      </c>
      <c r="K30">
        <v>0</v>
      </c>
      <c r="L30">
        <v>0</v>
      </c>
      <c r="M30">
        <v>548845.82678999996</v>
      </c>
      <c r="N30">
        <v>1.1494857110326919</v>
      </c>
    </row>
    <row r="31" spans="1:14" x14ac:dyDescent="0.2">
      <c r="A31" s="2"/>
      <c r="B31" s="1" t="s">
        <v>45</v>
      </c>
      <c r="C31">
        <v>457.99400000000003</v>
      </c>
      <c r="D31">
        <v>457.99400000000003</v>
      </c>
      <c r="E31">
        <v>32601.86435</v>
      </c>
      <c r="F31">
        <v>245888.56265000001</v>
      </c>
      <c r="G31">
        <v>-213286.69829999999</v>
      </c>
      <c r="H31">
        <v>0</v>
      </c>
      <c r="I31">
        <v>0.27829091647488829</v>
      </c>
      <c r="J31">
        <v>1214003.5882999999</v>
      </c>
      <c r="K31">
        <v>0</v>
      </c>
      <c r="L31">
        <v>0</v>
      </c>
      <c r="M31">
        <v>549093.33505999995</v>
      </c>
      <c r="N31">
        <v>1.9716776599092529</v>
      </c>
    </row>
    <row r="32" spans="1:14" x14ac:dyDescent="0.2">
      <c r="A32" s="2"/>
      <c r="B32" s="1" t="s">
        <v>46</v>
      </c>
      <c r="C32">
        <v>5300</v>
      </c>
      <c r="D32">
        <v>5300</v>
      </c>
      <c r="E32">
        <v>997080.87734999997</v>
      </c>
      <c r="F32">
        <v>2287389.2417299999</v>
      </c>
      <c r="G32">
        <v>-1290308.3643799999</v>
      </c>
      <c r="H32">
        <v>0</v>
      </c>
      <c r="I32">
        <v>0.28362075283018873</v>
      </c>
      <c r="J32">
        <v>12870808.36438</v>
      </c>
      <c r="K32">
        <v>0</v>
      </c>
      <c r="L32">
        <v>0</v>
      </c>
      <c r="M32">
        <v>10511431.153069999</v>
      </c>
      <c r="N32">
        <v>3.2003430517788369</v>
      </c>
    </row>
    <row r="33" spans="1:13" x14ac:dyDescent="0.2">
      <c r="A33" s="1" t="s">
        <v>47</v>
      </c>
      <c r="B33" s="1" t="s">
        <v>48</v>
      </c>
      <c r="C33">
        <v>46768.008000000002</v>
      </c>
      <c r="D33">
        <v>46768.008000000002</v>
      </c>
      <c r="E33">
        <v>90821.727110000007</v>
      </c>
      <c r="F33">
        <v>94908.398140000005</v>
      </c>
      <c r="G33">
        <v>-4086.6710400000002</v>
      </c>
      <c r="H33">
        <v>0</v>
      </c>
      <c r="I33">
        <v>0.39991653974229557</v>
      </c>
      <c r="J33">
        <v>0</v>
      </c>
      <c r="K33">
        <v>0</v>
      </c>
      <c r="L33">
        <v>0</v>
      </c>
      <c r="M33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workbookViewId="0"/>
  </sheetViews>
  <sheetFormatPr baseColWidth="10" defaultColWidth="8.83203125" defaultRowHeight="15" x14ac:dyDescent="0.2"/>
  <sheetData>
    <row r="1" spans="1:14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2" t="s">
        <v>12</v>
      </c>
      <c r="B2" s="1" t="s">
        <v>13</v>
      </c>
      <c r="C2">
        <v>372.43929000000003</v>
      </c>
      <c r="D2">
        <v>372.43929000000003</v>
      </c>
      <c r="E2">
        <v>0</v>
      </c>
      <c r="F2">
        <v>0</v>
      </c>
      <c r="G2">
        <v>0</v>
      </c>
      <c r="H2">
        <v>0</v>
      </c>
      <c r="I2">
        <v>0</v>
      </c>
      <c r="J2">
        <v>813779.84346</v>
      </c>
      <c r="K2">
        <v>0</v>
      </c>
      <c r="L2">
        <v>0</v>
      </c>
      <c r="M2">
        <v>0</v>
      </c>
    </row>
    <row r="3" spans="1:14" x14ac:dyDescent="0.2">
      <c r="A3" s="2"/>
      <c r="B3" s="1" t="s">
        <v>14</v>
      </c>
      <c r="C3">
        <v>1642.8915400000001</v>
      </c>
      <c r="D3">
        <v>1642.8915400000001</v>
      </c>
      <c r="E3">
        <v>0</v>
      </c>
      <c r="F3">
        <v>0</v>
      </c>
      <c r="G3">
        <v>0</v>
      </c>
      <c r="H3">
        <v>0</v>
      </c>
      <c r="I3">
        <v>0</v>
      </c>
      <c r="J3">
        <v>3589718.0135300001</v>
      </c>
      <c r="K3">
        <v>0</v>
      </c>
      <c r="L3">
        <v>0</v>
      </c>
      <c r="M3">
        <v>0</v>
      </c>
    </row>
    <row r="4" spans="1:14" x14ac:dyDescent="0.2">
      <c r="A4" s="2"/>
      <c r="B4" s="1" t="s">
        <v>15</v>
      </c>
      <c r="C4">
        <v>9185.8067100000007</v>
      </c>
      <c r="D4">
        <v>9185.8067100000007</v>
      </c>
      <c r="E4">
        <v>0</v>
      </c>
      <c r="F4">
        <v>0</v>
      </c>
      <c r="G4">
        <v>0</v>
      </c>
      <c r="H4">
        <v>0</v>
      </c>
      <c r="I4">
        <v>0</v>
      </c>
      <c r="J4">
        <v>20070987.666540001</v>
      </c>
      <c r="K4">
        <v>0</v>
      </c>
      <c r="L4">
        <v>0</v>
      </c>
      <c r="M4">
        <v>0</v>
      </c>
    </row>
    <row r="5" spans="1:14" x14ac:dyDescent="0.2">
      <c r="A5" s="2"/>
      <c r="B5" s="1" t="s">
        <v>16</v>
      </c>
      <c r="C5">
        <v>23586</v>
      </c>
      <c r="D5">
        <v>23586</v>
      </c>
      <c r="E5">
        <v>0</v>
      </c>
      <c r="F5">
        <v>0</v>
      </c>
      <c r="G5">
        <v>0</v>
      </c>
      <c r="H5">
        <v>0</v>
      </c>
      <c r="I5">
        <v>0</v>
      </c>
      <c r="J5">
        <v>51535410</v>
      </c>
      <c r="K5">
        <v>0</v>
      </c>
      <c r="L5">
        <v>0</v>
      </c>
      <c r="M5">
        <v>0</v>
      </c>
    </row>
    <row r="6" spans="1:14" x14ac:dyDescent="0.2">
      <c r="A6" s="2"/>
      <c r="B6" s="1" t="s">
        <v>17</v>
      </c>
      <c r="C6">
        <v>3534.0360000000001</v>
      </c>
      <c r="D6">
        <v>3534.0360000000001</v>
      </c>
      <c r="E6">
        <v>0</v>
      </c>
      <c r="F6">
        <v>0</v>
      </c>
      <c r="G6">
        <v>0</v>
      </c>
      <c r="H6">
        <v>0</v>
      </c>
      <c r="I6">
        <v>0</v>
      </c>
      <c r="J6">
        <v>7721868.6600000001</v>
      </c>
      <c r="K6">
        <v>0</v>
      </c>
      <c r="L6">
        <v>0</v>
      </c>
      <c r="M6">
        <v>0</v>
      </c>
    </row>
    <row r="7" spans="1:14" x14ac:dyDescent="0.2">
      <c r="A7" s="2"/>
      <c r="B7" s="1" t="s">
        <v>18</v>
      </c>
      <c r="C7">
        <v>13695</v>
      </c>
      <c r="D7">
        <v>13695</v>
      </c>
      <c r="E7">
        <v>3522450.6975699998</v>
      </c>
      <c r="F7">
        <v>0</v>
      </c>
      <c r="G7">
        <v>3522450.6975699998</v>
      </c>
      <c r="H7">
        <v>0</v>
      </c>
      <c r="I7">
        <v>0.11771490178897411</v>
      </c>
      <c r="J7">
        <v>26401124.30243</v>
      </c>
      <c r="K7">
        <v>0</v>
      </c>
      <c r="L7">
        <v>40227903.945210002</v>
      </c>
      <c r="M7">
        <v>40227903.945210002</v>
      </c>
      <c r="N7">
        <v>11.42043067675505</v>
      </c>
    </row>
    <row r="8" spans="1:14" x14ac:dyDescent="0.2">
      <c r="A8" s="2"/>
      <c r="B8" s="1" t="s">
        <v>19</v>
      </c>
      <c r="C8">
        <v>4067.2939999999999</v>
      </c>
      <c r="D8">
        <v>4067.2939999999999</v>
      </c>
      <c r="E8">
        <v>0</v>
      </c>
      <c r="F8">
        <v>0</v>
      </c>
      <c r="G8">
        <v>0</v>
      </c>
      <c r="H8">
        <v>0</v>
      </c>
      <c r="I8">
        <v>0</v>
      </c>
      <c r="J8">
        <v>8887037.3900000006</v>
      </c>
      <c r="K8">
        <v>0</v>
      </c>
      <c r="L8">
        <v>0</v>
      </c>
      <c r="M8">
        <v>0</v>
      </c>
    </row>
    <row r="9" spans="1:14" x14ac:dyDescent="0.2">
      <c r="A9" s="2"/>
      <c r="B9" s="1" t="s">
        <v>20</v>
      </c>
      <c r="C9">
        <v>11</v>
      </c>
      <c r="D9">
        <v>11</v>
      </c>
      <c r="E9">
        <v>4564.6790000000001</v>
      </c>
      <c r="F9">
        <v>0</v>
      </c>
      <c r="G9">
        <v>4564.6790000000001</v>
      </c>
      <c r="H9">
        <v>0</v>
      </c>
      <c r="I9">
        <v>0.18991818181818179</v>
      </c>
      <c r="J9">
        <v>19470.321</v>
      </c>
      <c r="K9">
        <v>0</v>
      </c>
      <c r="L9">
        <v>56875.90034</v>
      </c>
      <c r="M9">
        <v>97976.779949999996</v>
      </c>
      <c r="N9">
        <v>21.464089799435161</v>
      </c>
    </row>
    <row r="10" spans="1:14" x14ac:dyDescent="0.2">
      <c r="A10" s="2"/>
      <c r="B10" s="1" t="s">
        <v>21</v>
      </c>
      <c r="C10">
        <v>834.51107000000002</v>
      </c>
      <c r="D10">
        <v>834.51107000000002</v>
      </c>
      <c r="E10">
        <v>939.55416000000002</v>
      </c>
      <c r="F10">
        <v>0</v>
      </c>
      <c r="G10">
        <v>939.55416000000002</v>
      </c>
      <c r="H10">
        <v>0</v>
      </c>
      <c r="I10">
        <v>5.1527177464524225E-4</v>
      </c>
      <c r="J10">
        <v>1822467.1254700001</v>
      </c>
      <c r="K10">
        <v>0</v>
      </c>
      <c r="L10">
        <v>50735.924559999999</v>
      </c>
      <c r="M10">
        <v>50908.450259999998</v>
      </c>
      <c r="N10">
        <v>54.183860465116283</v>
      </c>
    </row>
    <row r="11" spans="1:14" x14ac:dyDescent="0.2">
      <c r="A11" s="2"/>
      <c r="B11" s="1" t="s">
        <v>22</v>
      </c>
      <c r="C11">
        <v>1897.296</v>
      </c>
      <c r="D11">
        <v>1897.296</v>
      </c>
      <c r="E11">
        <v>1385677.9476300001</v>
      </c>
      <c r="F11">
        <v>0</v>
      </c>
      <c r="G11">
        <v>1385677.9476300001</v>
      </c>
      <c r="H11">
        <v>0</v>
      </c>
      <c r="I11">
        <v>0.33425335319317601</v>
      </c>
      <c r="J11">
        <v>272558.75637000002</v>
      </c>
      <c r="K11">
        <v>0</v>
      </c>
      <c r="L11">
        <v>0</v>
      </c>
      <c r="M11">
        <v>9492906.5528100003</v>
      </c>
      <c r="N11">
        <v>6.8507307772090016</v>
      </c>
    </row>
    <row r="12" spans="1:14" x14ac:dyDescent="0.2">
      <c r="A12" s="2"/>
      <c r="B12" s="1" t="s">
        <v>23</v>
      </c>
      <c r="C12">
        <v>48629.190949999997</v>
      </c>
      <c r="D12">
        <v>48629.190949999997</v>
      </c>
      <c r="E12">
        <v>0</v>
      </c>
      <c r="F12">
        <v>0</v>
      </c>
      <c r="G12">
        <v>0</v>
      </c>
      <c r="H12">
        <v>0</v>
      </c>
      <c r="I12">
        <v>0</v>
      </c>
      <c r="J12">
        <v>52178335.791649997</v>
      </c>
      <c r="K12">
        <v>0</v>
      </c>
      <c r="L12">
        <v>0</v>
      </c>
      <c r="M12">
        <v>0</v>
      </c>
    </row>
    <row r="13" spans="1:14" x14ac:dyDescent="0.2">
      <c r="A13" s="2"/>
      <c r="B13" s="1" t="s">
        <v>24</v>
      </c>
      <c r="C13">
        <v>254.358</v>
      </c>
      <c r="D13">
        <v>254.358</v>
      </c>
      <c r="E13">
        <v>239212.85990000001</v>
      </c>
      <c r="F13">
        <v>0</v>
      </c>
      <c r="G13">
        <v>239212.85990000001</v>
      </c>
      <c r="H13">
        <v>0</v>
      </c>
      <c r="I13">
        <v>0.4304152808246644</v>
      </c>
      <c r="J13">
        <v>34556.690909999998</v>
      </c>
      <c r="K13">
        <v>0</v>
      </c>
      <c r="L13">
        <v>0</v>
      </c>
      <c r="M13">
        <v>1997884.34711</v>
      </c>
      <c r="N13">
        <v>8.3519103153218452</v>
      </c>
    </row>
    <row r="14" spans="1:14" x14ac:dyDescent="0.2">
      <c r="A14" s="2"/>
      <c r="B14" s="1" t="s">
        <v>25</v>
      </c>
      <c r="C14">
        <v>4570</v>
      </c>
      <c r="D14">
        <v>4570</v>
      </c>
      <c r="E14">
        <v>4052394.76511</v>
      </c>
      <c r="F14">
        <v>0</v>
      </c>
      <c r="G14">
        <v>4052394.76511</v>
      </c>
      <c r="H14">
        <v>0</v>
      </c>
      <c r="I14">
        <v>0.40582995842450759</v>
      </c>
      <c r="J14">
        <v>5933055.23489</v>
      </c>
      <c r="K14">
        <v>0</v>
      </c>
      <c r="L14">
        <v>40523947.651139997</v>
      </c>
      <c r="M14">
        <v>67645013.713330001</v>
      </c>
      <c r="N14">
        <v>16.692602210956071</v>
      </c>
    </row>
    <row r="15" spans="1:14" x14ac:dyDescent="0.2">
      <c r="A15" s="2"/>
      <c r="B15" s="1" t="s">
        <v>26</v>
      </c>
      <c r="C15">
        <v>53544.201999999997</v>
      </c>
      <c r="D15">
        <v>53544.201999999997</v>
      </c>
      <c r="E15">
        <v>25297988.446830001</v>
      </c>
      <c r="F15">
        <v>0</v>
      </c>
      <c r="G15">
        <v>25297988.446830001</v>
      </c>
      <c r="H15">
        <v>0</v>
      </c>
      <c r="I15">
        <v>0.21623306198493719</v>
      </c>
      <c r="J15">
        <v>6816857.66273</v>
      </c>
      <c r="K15">
        <v>0</v>
      </c>
      <c r="L15">
        <v>0</v>
      </c>
      <c r="M15">
        <v>102337372.35641</v>
      </c>
      <c r="N15">
        <v>4.0452770607046658</v>
      </c>
    </row>
    <row r="16" spans="1:14" x14ac:dyDescent="0.2">
      <c r="A16" s="2"/>
      <c r="B16" s="1" t="s">
        <v>27</v>
      </c>
      <c r="C16">
        <v>78.5</v>
      </c>
      <c r="D16">
        <v>78.5</v>
      </c>
      <c r="E16">
        <v>0</v>
      </c>
      <c r="F16">
        <v>0</v>
      </c>
      <c r="G16">
        <v>0</v>
      </c>
      <c r="H16">
        <v>0</v>
      </c>
      <c r="I16">
        <v>0</v>
      </c>
      <c r="J16">
        <v>171522.5</v>
      </c>
      <c r="K16">
        <v>0</v>
      </c>
      <c r="L16">
        <v>0</v>
      </c>
      <c r="M16">
        <v>0</v>
      </c>
    </row>
    <row r="17" spans="1:14" x14ac:dyDescent="0.2">
      <c r="A17" s="2"/>
      <c r="B17" s="1" t="s">
        <v>28</v>
      </c>
      <c r="C17">
        <v>27270.741000000002</v>
      </c>
      <c r="D17">
        <v>27270.741000000002</v>
      </c>
      <c r="E17">
        <v>11166205.7345</v>
      </c>
      <c r="F17">
        <v>0</v>
      </c>
      <c r="G17">
        <v>11166205.7345</v>
      </c>
      <c r="H17">
        <v>0</v>
      </c>
      <c r="I17">
        <v>0.1873946747541623</v>
      </c>
      <c r="J17">
        <v>3168928.6219199998</v>
      </c>
      <c r="K17">
        <v>0</v>
      </c>
      <c r="L17">
        <v>0</v>
      </c>
      <c r="M17">
        <v>42204566.859679997</v>
      </c>
      <c r="N17">
        <v>3.7796694658024301</v>
      </c>
    </row>
    <row r="18" spans="1:14" x14ac:dyDescent="0.2">
      <c r="A18" s="2"/>
      <c r="B18" s="1" t="s">
        <v>29</v>
      </c>
      <c r="C18">
        <v>3662.89</v>
      </c>
      <c r="D18">
        <v>3662.89</v>
      </c>
      <c r="E18">
        <v>0</v>
      </c>
      <c r="F18">
        <v>0</v>
      </c>
      <c r="G18">
        <v>0</v>
      </c>
      <c r="H18">
        <v>0</v>
      </c>
      <c r="I18">
        <v>0</v>
      </c>
      <c r="J18">
        <v>8003414.6500000004</v>
      </c>
      <c r="K18">
        <v>0</v>
      </c>
      <c r="L18">
        <v>0</v>
      </c>
      <c r="M18">
        <v>0</v>
      </c>
    </row>
    <row r="19" spans="1:14" x14ac:dyDescent="0.2">
      <c r="A19" s="2"/>
      <c r="B19" s="1" t="s">
        <v>30</v>
      </c>
      <c r="C19">
        <v>55.819389999999999</v>
      </c>
      <c r="D19">
        <v>55.819389999999999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121965.37684</v>
      </c>
      <c r="K19">
        <v>0</v>
      </c>
      <c r="L19">
        <v>0</v>
      </c>
      <c r="M19">
        <v>0</v>
      </c>
    </row>
    <row r="20" spans="1:14" x14ac:dyDescent="0.2">
      <c r="A20" s="2"/>
      <c r="B20" s="1" t="s">
        <v>31</v>
      </c>
      <c r="C20">
        <v>40470.421999999999</v>
      </c>
      <c r="D20">
        <v>40470.421999999999</v>
      </c>
      <c r="E20">
        <v>13153097.627870001</v>
      </c>
      <c r="F20">
        <v>0</v>
      </c>
      <c r="G20">
        <v>13153097.627870001</v>
      </c>
      <c r="H20">
        <v>0</v>
      </c>
      <c r="I20">
        <v>0.14874379886624359</v>
      </c>
      <c r="J20">
        <v>1412443.83134</v>
      </c>
      <c r="K20">
        <v>0</v>
      </c>
      <c r="L20">
        <v>0</v>
      </c>
      <c r="M20">
        <v>90049563.4639</v>
      </c>
      <c r="N20">
        <v>6.8462628415619262</v>
      </c>
    </row>
    <row r="21" spans="1:14" x14ac:dyDescent="0.2">
      <c r="A21" s="2"/>
      <c r="B21" s="1" t="s">
        <v>32</v>
      </c>
      <c r="C21">
        <v>4643.1779999999999</v>
      </c>
      <c r="D21">
        <v>4643.1779999999999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10145343.93</v>
      </c>
      <c r="K21">
        <v>0</v>
      </c>
      <c r="L21">
        <v>0</v>
      </c>
      <c r="M21">
        <v>0</v>
      </c>
    </row>
    <row r="22" spans="1:14" x14ac:dyDescent="0.2">
      <c r="A22" s="1" t="s">
        <v>33</v>
      </c>
      <c r="B22" s="1" t="s">
        <v>34</v>
      </c>
      <c r="C22">
        <v>230800</v>
      </c>
      <c r="D22">
        <v>230800</v>
      </c>
      <c r="E22">
        <v>34980077.44686</v>
      </c>
      <c r="F22">
        <v>21402265.994860001</v>
      </c>
      <c r="G22">
        <v>13577811.452</v>
      </c>
      <c r="H22">
        <v>-13577811.452</v>
      </c>
      <c r="I22">
        <v>0.1118036229202773</v>
      </c>
      <c r="J22">
        <v>0</v>
      </c>
      <c r="K22">
        <v>0</v>
      </c>
      <c r="L22">
        <v>0</v>
      </c>
      <c r="M22">
        <v>132119318.60287</v>
      </c>
      <c r="N22">
        <v>2.3432746949243328</v>
      </c>
    </row>
    <row r="23" spans="1:14" x14ac:dyDescent="0.2">
      <c r="A23" s="2" t="s">
        <v>35</v>
      </c>
      <c r="B23" s="1" t="s">
        <v>36</v>
      </c>
      <c r="C23">
        <v>12450</v>
      </c>
      <c r="D23">
        <v>12450</v>
      </c>
      <c r="E23">
        <v>9507955.0056599993</v>
      </c>
      <c r="F23">
        <v>5895185.0594300004</v>
      </c>
      <c r="G23">
        <v>3612769.9462299999</v>
      </c>
      <c r="H23">
        <v>-3612769.9462299999</v>
      </c>
      <c r="I23">
        <v>0.56622425863453818</v>
      </c>
      <c r="J23">
        <v>30816019.946230002</v>
      </c>
      <c r="K23">
        <v>0</v>
      </c>
      <c r="L23">
        <v>0</v>
      </c>
      <c r="M23">
        <v>70047995.598370001</v>
      </c>
      <c r="N23">
        <v>4.5476438768988068</v>
      </c>
    </row>
    <row r="24" spans="1:14" x14ac:dyDescent="0.2">
      <c r="A24" s="2"/>
      <c r="B24" s="1" t="s">
        <v>49</v>
      </c>
      <c r="C24">
        <v>26000000</v>
      </c>
      <c r="D24">
        <v>26000000</v>
      </c>
      <c r="E24">
        <v>0</v>
      </c>
      <c r="F24">
        <v>109040.91352</v>
      </c>
      <c r="G24">
        <v>-109040.91352</v>
      </c>
      <c r="H24">
        <v>0</v>
      </c>
      <c r="I24">
        <v>1.9193965384615391E-6</v>
      </c>
      <c r="J24">
        <v>56809890959.086479</v>
      </c>
      <c r="K24">
        <v>0</v>
      </c>
      <c r="L24">
        <v>1.0904100000000001</v>
      </c>
      <c r="M24">
        <v>-807885.67943000002</v>
      </c>
      <c r="N24">
        <v>-7.40901397093758</v>
      </c>
    </row>
    <row r="25" spans="1:14" x14ac:dyDescent="0.2">
      <c r="A25" s="2"/>
      <c r="B25" s="1" t="s">
        <v>37</v>
      </c>
      <c r="C25">
        <v>3653.0947500000002</v>
      </c>
      <c r="D25">
        <v>3653.0947500000002</v>
      </c>
      <c r="E25">
        <v>0</v>
      </c>
      <c r="F25">
        <v>136478.49997</v>
      </c>
      <c r="G25">
        <v>-136478.49997</v>
      </c>
      <c r="H25">
        <v>0</v>
      </c>
      <c r="I25">
        <v>1.7098258948799509E-2</v>
      </c>
      <c r="J25">
        <v>7845533.5386600001</v>
      </c>
      <c r="K25">
        <v>0</v>
      </c>
      <c r="L25">
        <v>0</v>
      </c>
      <c r="M25">
        <v>0</v>
      </c>
    </row>
    <row r="26" spans="1:14" x14ac:dyDescent="0.2">
      <c r="A26" s="2"/>
      <c r="B26" s="1" t="s">
        <v>38</v>
      </c>
      <c r="C26">
        <v>278.38099999999997</v>
      </c>
      <c r="D26">
        <v>278.38099999999997</v>
      </c>
      <c r="E26">
        <v>0</v>
      </c>
      <c r="F26">
        <v>91497.840490000002</v>
      </c>
      <c r="G26">
        <v>-91497.840490000002</v>
      </c>
      <c r="H26">
        <v>0</v>
      </c>
      <c r="I26">
        <v>0.15042492124103299</v>
      </c>
      <c r="J26">
        <v>516764.64451000001</v>
      </c>
      <c r="K26">
        <v>0</v>
      </c>
      <c r="L26">
        <v>457489.20246</v>
      </c>
      <c r="M26">
        <v>0</v>
      </c>
    </row>
    <row r="27" spans="1:14" x14ac:dyDescent="0.2">
      <c r="A27" s="2"/>
      <c r="B27" s="1" t="s">
        <v>50</v>
      </c>
      <c r="C27">
        <v>156000000</v>
      </c>
      <c r="D27">
        <v>156000000</v>
      </c>
      <c r="E27">
        <v>0</v>
      </c>
      <c r="F27">
        <v>16643.26496</v>
      </c>
      <c r="G27">
        <v>-16643.26496</v>
      </c>
      <c r="H27">
        <v>16643.26496</v>
      </c>
      <c r="I27">
        <v>4.8827243589743592E-8</v>
      </c>
      <c r="J27">
        <v>340859983356.73499</v>
      </c>
      <c r="K27">
        <v>0</v>
      </c>
      <c r="L27">
        <v>0.16642999999999999</v>
      </c>
      <c r="M27">
        <v>-90369.411730000007</v>
      </c>
      <c r="N27">
        <v>-5.4297923736879774</v>
      </c>
    </row>
    <row r="28" spans="1:14" x14ac:dyDescent="0.2">
      <c r="A28" s="2" t="s">
        <v>39</v>
      </c>
      <c r="B28" s="1" t="s">
        <v>40</v>
      </c>
      <c r="C28">
        <v>0</v>
      </c>
      <c r="D28">
        <v>0</v>
      </c>
      <c r="E28">
        <v>0</v>
      </c>
      <c r="F28">
        <v>1877542.78308</v>
      </c>
      <c r="G28">
        <v>-1877542.78308</v>
      </c>
      <c r="H28">
        <v>0</v>
      </c>
      <c r="J28">
        <v>0</v>
      </c>
      <c r="K28">
        <v>0</v>
      </c>
      <c r="L28">
        <v>0</v>
      </c>
      <c r="M28">
        <v>-14080299.44142</v>
      </c>
      <c r="N28">
        <v>-7.4993228632690956</v>
      </c>
    </row>
    <row r="29" spans="1:14" x14ac:dyDescent="0.2">
      <c r="A29" s="2"/>
      <c r="B29" s="1" t="s">
        <v>41</v>
      </c>
      <c r="C29">
        <v>0</v>
      </c>
      <c r="D29">
        <v>0</v>
      </c>
      <c r="E29">
        <v>0</v>
      </c>
      <c r="F29">
        <v>52178335.791649997</v>
      </c>
      <c r="G29">
        <v>-52178335.791649997</v>
      </c>
      <c r="H29">
        <v>0</v>
      </c>
      <c r="J29">
        <v>0</v>
      </c>
      <c r="K29">
        <v>0</v>
      </c>
      <c r="L29">
        <v>0</v>
      </c>
      <c r="M29">
        <v>-410518007.55934</v>
      </c>
      <c r="N29">
        <v>-7.8675948817863919</v>
      </c>
    </row>
    <row r="30" spans="1:14" x14ac:dyDescent="0.2">
      <c r="A30" s="2" t="s">
        <v>42</v>
      </c>
      <c r="B30" s="1" t="s">
        <v>43</v>
      </c>
      <c r="C30">
        <v>26471.973000000002</v>
      </c>
      <c r="D30">
        <v>26471.973000000002</v>
      </c>
      <c r="E30">
        <v>3617943.7541100001</v>
      </c>
      <c r="F30">
        <v>6804928.2981000002</v>
      </c>
      <c r="G30">
        <v>-3186984.5439900002</v>
      </c>
      <c r="H30">
        <v>0</v>
      </c>
      <c r="I30">
        <v>0.18019787040429511</v>
      </c>
      <c r="J30">
        <v>61028245.548989996</v>
      </c>
      <c r="K30">
        <v>0</v>
      </c>
      <c r="L30">
        <v>0</v>
      </c>
      <c r="M30">
        <v>16528892.84939</v>
      </c>
      <c r="N30">
        <v>1.5858290086517171</v>
      </c>
    </row>
    <row r="31" spans="1:14" x14ac:dyDescent="0.2">
      <c r="A31" s="2"/>
      <c r="B31" s="1" t="s">
        <v>44</v>
      </c>
      <c r="C31">
        <v>857.70799999999997</v>
      </c>
      <c r="D31">
        <v>857.70799999999997</v>
      </c>
      <c r="E31">
        <v>182298.56460000001</v>
      </c>
      <c r="F31">
        <v>300876.42881999997</v>
      </c>
      <c r="G31">
        <v>-118577.86422</v>
      </c>
      <c r="H31">
        <v>0</v>
      </c>
      <c r="I31">
        <v>0.25781818520988498</v>
      </c>
      <c r="J31">
        <v>1992669.8442200001</v>
      </c>
      <c r="K31">
        <v>0</v>
      </c>
      <c r="L31">
        <v>0</v>
      </c>
      <c r="M31">
        <v>542221.31854000001</v>
      </c>
      <c r="N31">
        <v>1.122204846030926</v>
      </c>
    </row>
    <row r="32" spans="1:14" x14ac:dyDescent="0.2">
      <c r="A32" s="2"/>
      <c r="B32" s="1" t="s">
        <v>45</v>
      </c>
      <c r="C32">
        <v>457.99400000000003</v>
      </c>
      <c r="D32">
        <v>457.99400000000003</v>
      </c>
      <c r="E32">
        <v>33421.775679999999</v>
      </c>
      <c r="F32">
        <v>239437.10045</v>
      </c>
      <c r="G32">
        <v>-206015.32477000001</v>
      </c>
      <c r="H32">
        <v>0</v>
      </c>
      <c r="I32">
        <v>0.272663397337083</v>
      </c>
      <c r="J32">
        <v>1206732.21477</v>
      </c>
      <c r="K32">
        <v>0</v>
      </c>
      <c r="L32">
        <v>0</v>
      </c>
      <c r="M32">
        <v>543258.25717999996</v>
      </c>
      <c r="N32">
        <v>1.990986257008829</v>
      </c>
    </row>
    <row r="33" spans="1:14" x14ac:dyDescent="0.2">
      <c r="A33" s="2"/>
      <c r="B33" s="1" t="s">
        <v>46</v>
      </c>
      <c r="C33">
        <v>5300</v>
      </c>
      <c r="D33">
        <v>5300</v>
      </c>
      <c r="E33">
        <v>1068760.9995599999</v>
      </c>
      <c r="F33">
        <v>2323426.67337</v>
      </c>
      <c r="G33">
        <v>-1254665.6738100001</v>
      </c>
      <c r="H33">
        <v>0</v>
      </c>
      <c r="I33">
        <v>0.29292238490566042</v>
      </c>
      <c r="J33">
        <v>12835165.67381</v>
      </c>
      <c r="K33">
        <v>0</v>
      </c>
      <c r="L33">
        <v>0</v>
      </c>
      <c r="M33">
        <v>10364762.94077</v>
      </c>
      <c r="N33">
        <v>3.055480393080364</v>
      </c>
    </row>
    <row r="34" spans="1:14" x14ac:dyDescent="0.2">
      <c r="A34" s="2" t="s">
        <v>47</v>
      </c>
      <c r="B34" s="1" t="s">
        <v>49</v>
      </c>
      <c r="C34">
        <v>13000000</v>
      </c>
      <c r="D34">
        <v>13000000</v>
      </c>
      <c r="E34">
        <v>54520.456760000001</v>
      </c>
      <c r="F34">
        <v>54520.456760000001</v>
      </c>
      <c r="G34">
        <v>0</v>
      </c>
      <c r="H34">
        <v>0</v>
      </c>
      <c r="I34">
        <v>0.99992650187538468</v>
      </c>
      <c r="J34">
        <v>0</v>
      </c>
      <c r="K34">
        <v>0</v>
      </c>
      <c r="L34">
        <v>0</v>
      </c>
      <c r="M34">
        <v>0</v>
      </c>
    </row>
    <row r="35" spans="1:14" x14ac:dyDescent="0.2">
      <c r="A35" s="2"/>
      <c r="B35" s="1" t="s">
        <v>48</v>
      </c>
      <c r="C35">
        <v>46768.008000000002</v>
      </c>
      <c r="D35">
        <v>46768.008000000002</v>
      </c>
      <c r="E35">
        <v>90325.049969999993</v>
      </c>
      <c r="F35">
        <v>94362.159459999995</v>
      </c>
      <c r="G35">
        <v>-4037.1094899999998</v>
      </c>
      <c r="H35">
        <v>0</v>
      </c>
      <c r="I35">
        <v>0.39506650849871561</v>
      </c>
      <c r="J35">
        <v>0</v>
      </c>
      <c r="K35">
        <v>0</v>
      </c>
      <c r="L35">
        <v>0</v>
      </c>
      <c r="M35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/>
  </sheetViews>
  <sheetFormatPr baseColWidth="10" defaultColWidth="8.83203125" defaultRowHeight="15" x14ac:dyDescent="0.2"/>
  <sheetData>
    <row r="1" spans="1:14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2" t="s">
        <v>12</v>
      </c>
      <c r="B2" s="1" t="s">
        <v>13</v>
      </c>
      <c r="C2">
        <v>372.43929000000003</v>
      </c>
      <c r="D2">
        <v>372.43929000000003</v>
      </c>
      <c r="E2">
        <v>0</v>
      </c>
      <c r="F2">
        <v>0</v>
      </c>
      <c r="G2">
        <v>0</v>
      </c>
      <c r="H2">
        <v>0</v>
      </c>
      <c r="I2">
        <v>0</v>
      </c>
      <c r="J2">
        <v>813779.84346</v>
      </c>
      <c r="K2">
        <v>0</v>
      </c>
      <c r="L2">
        <v>0</v>
      </c>
      <c r="M2">
        <v>0</v>
      </c>
    </row>
    <row r="3" spans="1:14" x14ac:dyDescent="0.2">
      <c r="A3" s="2"/>
      <c r="B3" s="1" t="s">
        <v>14</v>
      </c>
      <c r="C3">
        <v>1642.8915400000001</v>
      </c>
      <c r="D3">
        <v>1642.8915400000001</v>
      </c>
      <c r="E3">
        <v>0</v>
      </c>
      <c r="F3">
        <v>0</v>
      </c>
      <c r="G3">
        <v>0</v>
      </c>
      <c r="H3">
        <v>0</v>
      </c>
      <c r="I3">
        <v>0</v>
      </c>
      <c r="J3">
        <v>3589718.0135300001</v>
      </c>
      <c r="K3">
        <v>0</v>
      </c>
      <c r="L3">
        <v>0</v>
      </c>
      <c r="M3">
        <v>0</v>
      </c>
    </row>
    <row r="4" spans="1:14" x14ac:dyDescent="0.2">
      <c r="A4" s="2"/>
      <c r="B4" s="1" t="s">
        <v>15</v>
      </c>
      <c r="C4">
        <v>9185.8067100000007</v>
      </c>
      <c r="D4">
        <v>9185.8067100000007</v>
      </c>
      <c r="E4">
        <v>0</v>
      </c>
      <c r="F4">
        <v>0</v>
      </c>
      <c r="G4">
        <v>0</v>
      </c>
      <c r="H4">
        <v>0</v>
      </c>
      <c r="I4">
        <v>0</v>
      </c>
      <c r="J4">
        <v>20070987.666540001</v>
      </c>
      <c r="K4">
        <v>0</v>
      </c>
      <c r="L4">
        <v>0</v>
      </c>
      <c r="M4">
        <v>0</v>
      </c>
    </row>
    <row r="5" spans="1:14" x14ac:dyDescent="0.2">
      <c r="A5" s="2"/>
      <c r="B5" s="1" t="s">
        <v>16</v>
      </c>
      <c r="C5">
        <v>23586</v>
      </c>
      <c r="D5">
        <v>23586</v>
      </c>
      <c r="E5">
        <v>0</v>
      </c>
      <c r="F5">
        <v>0</v>
      </c>
      <c r="G5">
        <v>0</v>
      </c>
      <c r="H5">
        <v>0</v>
      </c>
      <c r="I5">
        <v>0</v>
      </c>
      <c r="J5">
        <v>51535410</v>
      </c>
      <c r="K5">
        <v>0</v>
      </c>
      <c r="L5">
        <v>0</v>
      </c>
      <c r="M5">
        <v>0</v>
      </c>
    </row>
    <row r="6" spans="1:14" x14ac:dyDescent="0.2">
      <c r="A6" s="2"/>
      <c r="B6" s="1" t="s">
        <v>17</v>
      </c>
      <c r="C6">
        <v>3534.0360000000001</v>
      </c>
      <c r="D6">
        <v>3534.0360000000001</v>
      </c>
      <c r="E6">
        <v>0</v>
      </c>
      <c r="F6">
        <v>0</v>
      </c>
      <c r="G6">
        <v>0</v>
      </c>
      <c r="H6">
        <v>0</v>
      </c>
      <c r="I6">
        <v>0</v>
      </c>
      <c r="J6">
        <v>7721868.6600000001</v>
      </c>
      <c r="K6">
        <v>0</v>
      </c>
      <c r="L6">
        <v>0</v>
      </c>
      <c r="M6">
        <v>0</v>
      </c>
    </row>
    <row r="7" spans="1:14" x14ac:dyDescent="0.2">
      <c r="A7" s="2"/>
      <c r="B7" s="1" t="s">
        <v>18</v>
      </c>
      <c r="C7">
        <v>13695</v>
      </c>
      <c r="D7">
        <v>13695</v>
      </c>
      <c r="E7">
        <v>3566755.0515800002</v>
      </c>
      <c r="F7">
        <v>0</v>
      </c>
      <c r="G7">
        <v>3566755.0515800002</v>
      </c>
      <c r="H7">
        <v>0</v>
      </c>
      <c r="I7">
        <v>0.1191954852135816</v>
      </c>
      <c r="J7">
        <v>26356819.948419999</v>
      </c>
      <c r="K7">
        <v>0</v>
      </c>
      <c r="L7">
        <v>40697209.38329</v>
      </c>
      <c r="M7">
        <v>40697209.38329</v>
      </c>
      <c r="N7">
        <v>11.41014981804169</v>
      </c>
    </row>
    <row r="8" spans="1:14" x14ac:dyDescent="0.2">
      <c r="A8" s="2"/>
      <c r="B8" s="1" t="s">
        <v>19</v>
      </c>
      <c r="C8">
        <v>4067.2939999999999</v>
      </c>
      <c r="D8">
        <v>4067.2939999999999</v>
      </c>
      <c r="E8">
        <v>0</v>
      </c>
      <c r="F8">
        <v>0</v>
      </c>
      <c r="G8">
        <v>0</v>
      </c>
      <c r="H8">
        <v>0</v>
      </c>
      <c r="I8">
        <v>0</v>
      </c>
      <c r="J8">
        <v>8887037.3900000006</v>
      </c>
      <c r="K8">
        <v>0</v>
      </c>
      <c r="L8">
        <v>0</v>
      </c>
      <c r="M8">
        <v>0</v>
      </c>
    </row>
    <row r="9" spans="1:14" x14ac:dyDescent="0.2">
      <c r="A9" s="2"/>
      <c r="B9" s="1" t="s">
        <v>20</v>
      </c>
      <c r="C9">
        <v>11</v>
      </c>
      <c r="D9">
        <v>11</v>
      </c>
      <c r="E9">
        <v>4643.509</v>
      </c>
      <c r="F9">
        <v>0</v>
      </c>
      <c r="G9">
        <v>4643.509</v>
      </c>
      <c r="H9">
        <v>0</v>
      </c>
      <c r="I9">
        <v>0.1931981818181818</v>
      </c>
      <c r="J9">
        <v>19391.491000000002</v>
      </c>
      <c r="K9">
        <v>0</v>
      </c>
      <c r="L9">
        <v>57858.122139999999</v>
      </c>
      <c r="M9">
        <v>99256.849839999995</v>
      </c>
      <c r="N9">
        <v>21.375356440395642</v>
      </c>
    </row>
    <row r="10" spans="1:14" x14ac:dyDescent="0.2">
      <c r="A10" s="2"/>
      <c r="B10" s="1" t="s">
        <v>21</v>
      </c>
      <c r="C10">
        <v>834.51107000000002</v>
      </c>
      <c r="D10">
        <v>834.51107000000002</v>
      </c>
      <c r="E10">
        <v>1327.7832900000001</v>
      </c>
      <c r="F10">
        <v>0</v>
      </c>
      <c r="G10">
        <v>1327.7832900000001</v>
      </c>
      <c r="H10">
        <v>0</v>
      </c>
      <c r="I10">
        <v>7.2818686515446697E-4</v>
      </c>
      <c r="J10">
        <v>1822078.89634</v>
      </c>
      <c r="K10">
        <v>0</v>
      </c>
      <c r="L10">
        <v>71700.297619999998</v>
      </c>
      <c r="M10">
        <v>71876.930410000001</v>
      </c>
      <c r="N10">
        <v>54.133129278567672</v>
      </c>
    </row>
    <row r="11" spans="1:14" x14ac:dyDescent="0.2">
      <c r="A11" s="2"/>
      <c r="B11" s="1" t="s">
        <v>22</v>
      </c>
      <c r="C11">
        <v>1897.296</v>
      </c>
      <c r="D11">
        <v>1897.296</v>
      </c>
      <c r="E11">
        <v>1408170.95725</v>
      </c>
      <c r="F11">
        <v>0</v>
      </c>
      <c r="G11">
        <v>1408170.95725</v>
      </c>
      <c r="H11">
        <v>0</v>
      </c>
      <c r="I11">
        <v>0.33967911701706011</v>
      </c>
      <c r="J11">
        <v>250065.74674999999</v>
      </c>
      <c r="K11">
        <v>0</v>
      </c>
      <c r="L11">
        <v>0</v>
      </c>
      <c r="M11">
        <v>9471835.7665299997</v>
      </c>
      <c r="N11">
        <v>6.726339427434711</v>
      </c>
    </row>
    <row r="12" spans="1:14" x14ac:dyDescent="0.2">
      <c r="A12" s="2"/>
      <c r="B12" s="1" t="s">
        <v>23</v>
      </c>
      <c r="C12">
        <v>48629.190949999997</v>
      </c>
      <c r="D12">
        <v>48629.190949999997</v>
      </c>
      <c r="E12">
        <v>0</v>
      </c>
      <c r="F12">
        <v>0</v>
      </c>
      <c r="G12">
        <v>0</v>
      </c>
      <c r="H12">
        <v>0</v>
      </c>
      <c r="I12">
        <v>0</v>
      </c>
      <c r="J12">
        <v>52178335.791649997</v>
      </c>
      <c r="K12">
        <v>0</v>
      </c>
      <c r="L12">
        <v>0</v>
      </c>
      <c r="M12">
        <v>0</v>
      </c>
    </row>
    <row r="13" spans="1:14" x14ac:dyDescent="0.2">
      <c r="A13" s="2"/>
      <c r="B13" s="1" t="s">
        <v>24</v>
      </c>
      <c r="C13">
        <v>254.358</v>
      </c>
      <c r="D13">
        <v>254.358</v>
      </c>
      <c r="E13">
        <v>240759.17418</v>
      </c>
      <c r="F13">
        <v>0</v>
      </c>
      <c r="G13">
        <v>240759.17418</v>
      </c>
      <c r="H13">
        <v>0</v>
      </c>
      <c r="I13">
        <v>0.43319757978911611</v>
      </c>
      <c r="J13">
        <v>33010.376629999999</v>
      </c>
      <c r="K13">
        <v>0</v>
      </c>
      <c r="L13">
        <v>0</v>
      </c>
      <c r="M13">
        <v>2000388.69138</v>
      </c>
      <c r="N13">
        <v>8.3086703209907995</v>
      </c>
    </row>
    <row r="14" spans="1:14" x14ac:dyDescent="0.2">
      <c r="A14" s="2"/>
      <c r="B14" s="1" t="s">
        <v>25</v>
      </c>
      <c r="C14">
        <v>4570</v>
      </c>
      <c r="D14">
        <v>4570</v>
      </c>
      <c r="E14">
        <v>4061031.9897599998</v>
      </c>
      <c r="F14">
        <v>0</v>
      </c>
      <c r="G14">
        <v>4061031.9897599998</v>
      </c>
      <c r="H14">
        <v>0</v>
      </c>
      <c r="I14">
        <v>0.40669494091903718</v>
      </c>
      <c r="J14">
        <v>5924418.0102399997</v>
      </c>
      <c r="K14">
        <v>0</v>
      </c>
      <c r="L14">
        <v>40610319.897629999</v>
      </c>
      <c r="M14">
        <v>68044503.244819999</v>
      </c>
      <c r="N14">
        <v>16.755470845012312</v>
      </c>
    </row>
    <row r="15" spans="1:14" x14ac:dyDescent="0.2">
      <c r="A15" s="2"/>
      <c r="B15" s="1" t="s">
        <v>26</v>
      </c>
      <c r="C15">
        <v>53544.201999999997</v>
      </c>
      <c r="D15">
        <v>53544.201999999997</v>
      </c>
      <c r="E15">
        <v>25568496.404899999</v>
      </c>
      <c r="F15">
        <v>0</v>
      </c>
      <c r="G15">
        <v>25568496.404899999</v>
      </c>
      <c r="H15">
        <v>0</v>
      </c>
      <c r="I15">
        <v>0.2185452127944684</v>
      </c>
      <c r="J15">
        <v>6546349.7046699999</v>
      </c>
      <c r="K15">
        <v>0</v>
      </c>
      <c r="L15">
        <v>0</v>
      </c>
      <c r="M15">
        <v>102405102.97806001</v>
      </c>
      <c r="N15">
        <v>4.0051280821055784</v>
      </c>
    </row>
    <row r="16" spans="1:14" x14ac:dyDescent="0.2">
      <c r="A16" s="2"/>
      <c r="B16" s="1" t="s">
        <v>27</v>
      </c>
      <c r="C16">
        <v>78.5</v>
      </c>
      <c r="D16">
        <v>78.5</v>
      </c>
      <c r="E16">
        <v>0</v>
      </c>
      <c r="F16">
        <v>0</v>
      </c>
      <c r="G16">
        <v>0</v>
      </c>
      <c r="H16">
        <v>0</v>
      </c>
      <c r="I16">
        <v>0</v>
      </c>
      <c r="J16">
        <v>171522.5</v>
      </c>
      <c r="K16">
        <v>0</v>
      </c>
      <c r="L16">
        <v>0</v>
      </c>
      <c r="M16">
        <v>0</v>
      </c>
    </row>
    <row r="17" spans="1:14" x14ac:dyDescent="0.2">
      <c r="A17" s="2"/>
      <c r="B17" s="1" t="s">
        <v>28</v>
      </c>
      <c r="C17">
        <v>27270.741000000002</v>
      </c>
      <c r="D17">
        <v>27270.741000000002</v>
      </c>
      <c r="E17">
        <v>11218604.151110001</v>
      </c>
      <c r="F17">
        <v>0</v>
      </c>
      <c r="G17">
        <v>11218604.151110001</v>
      </c>
      <c r="H17">
        <v>0</v>
      </c>
      <c r="I17">
        <v>0.1882740410317417</v>
      </c>
      <c r="J17">
        <v>3116530.2053100001</v>
      </c>
      <c r="K17">
        <v>0</v>
      </c>
      <c r="L17">
        <v>0</v>
      </c>
      <c r="M17">
        <v>42150354.259559996</v>
      </c>
      <c r="N17">
        <v>3.7571834857540649</v>
      </c>
    </row>
    <row r="18" spans="1:14" x14ac:dyDescent="0.2">
      <c r="A18" s="2"/>
      <c r="B18" s="1" t="s">
        <v>29</v>
      </c>
      <c r="C18">
        <v>3662.89</v>
      </c>
      <c r="D18">
        <v>3662.89</v>
      </c>
      <c r="E18">
        <v>0</v>
      </c>
      <c r="F18">
        <v>0</v>
      </c>
      <c r="G18">
        <v>0</v>
      </c>
      <c r="H18">
        <v>0</v>
      </c>
      <c r="I18">
        <v>0</v>
      </c>
      <c r="J18">
        <v>8003414.6500000004</v>
      </c>
      <c r="K18">
        <v>0</v>
      </c>
      <c r="L18">
        <v>0</v>
      </c>
      <c r="M18">
        <v>0</v>
      </c>
    </row>
    <row r="19" spans="1:14" x14ac:dyDescent="0.2">
      <c r="A19" s="2"/>
      <c r="B19" s="1" t="s">
        <v>30</v>
      </c>
      <c r="C19">
        <v>55.819389999999999</v>
      </c>
      <c r="D19">
        <v>55.819389999999999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121965.37684</v>
      </c>
      <c r="K19">
        <v>0</v>
      </c>
      <c r="L19">
        <v>0</v>
      </c>
      <c r="M19">
        <v>0</v>
      </c>
    </row>
    <row r="20" spans="1:14" x14ac:dyDescent="0.2">
      <c r="A20" s="2"/>
      <c r="B20" s="1" t="s">
        <v>31</v>
      </c>
      <c r="C20">
        <v>40470.421999999999</v>
      </c>
      <c r="D20">
        <v>40470.421999999999</v>
      </c>
      <c r="E20">
        <v>13215943.7064</v>
      </c>
      <c r="F20">
        <v>0</v>
      </c>
      <c r="G20">
        <v>13215943.7064</v>
      </c>
      <c r="H20">
        <v>0</v>
      </c>
      <c r="I20">
        <v>0.14945450334073609</v>
      </c>
      <c r="J20">
        <v>1349597.75281</v>
      </c>
      <c r="K20">
        <v>0</v>
      </c>
      <c r="L20">
        <v>0</v>
      </c>
      <c r="M20">
        <v>90278673.567890003</v>
      </c>
      <c r="N20">
        <v>6.8310425350319264</v>
      </c>
    </row>
    <row r="21" spans="1:14" x14ac:dyDescent="0.2">
      <c r="A21" s="2"/>
      <c r="B21" s="1" t="s">
        <v>32</v>
      </c>
      <c r="C21">
        <v>4643.1779999999999</v>
      </c>
      <c r="D21">
        <v>4643.1779999999999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10145343.93</v>
      </c>
      <c r="K21">
        <v>0</v>
      </c>
      <c r="L21">
        <v>0</v>
      </c>
      <c r="M21">
        <v>0</v>
      </c>
    </row>
    <row r="22" spans="1:14" x14ac:dyDescent="0.2">
      <c r="A22" s="1" t="s">
        <v>33</v>
      </c>
      <c r="B22" s="1" t="s">
        <v>34</v>
      </c>
      <c r="C22">
        <v>230800</v>
      </c>
      <c r="D22">
        <v>230800</v>
      </c>
      <c r="E22">
        <v>35157821.309</v>
      </c>
      <c r="F22">
        <v>21433809.094250001</v>
      </c>
      <c r="G22">
        <v>13724012.21476</v>
      </c>
      <c r="H22">
        <v>-13724012.21476</v>
      </c>
      <c r="I22">
        <v>0.11221862946273831</v>
      </c>
      <c r="J22">
        <v>0</v>
      </c>
      <c r="K22">
        <v>0</v>
      </c>
      <c r="L22">
        <v>0</v>
      </c>
      <c r="M22">
        <v>134350252.11886999</v>
      </c>
      <c r="N22">
        <v>2.3740304203808691</v>
      </c>
    </row>
    <row r="23" spans="1:14" x14ac:dyDescent="0.2">
      <c r="A23" s="2" t="s">
        <v>35</v>
      </c>
      <c r="B23" s="1" t="s">
        <v>36</v>
      </c>
      <c r="C23">
        <v>12450</v>
      </c>
      <c r="D23">
        <v>12450</v>
      </c>
      <c r="E23">
        <v>9519542.3242799994</v>
      </c>
      <c r="F23">
        <v>5861332.0149699999</v>
      </c>
      <c r="G23">
        <v>3658210.3093099999</v>
      </c>
      <c r="H23">
        <v>-3658210.3093099999</v>
      </c>
      <c r="I23">
        <v>0.56540576385542174</v>
      </c>
      <c r="J23">
        <v>30861460.30931</v>
      </c>
      <c r="K23">
        <v>0</v>
      </c>
      <c r="L23">
        <v>0</v>
      </c>
      <c r="M23">
        <v>70784103.073860005</v>
      </c>
      <c r="N23">
        <v>4.6020857770416139</v>
      </c>
    </row>
    <row r="24" spans="1:14" x14ac:dyDescent="0.2">
      <c r="A24" s="2"/>
      <c r="B24" s="1" t="s">
        <v>37</v>
      </c>
      <c r="C24">
        <v>3653.0947500000002</v>
      </c>
      <c r="D24">
        <v>3653.0947500000002</v>
      </c>
      <c r="E24">
        <v>0</v>
      </c>
      <c r="F24">
        <v>136224.84343000001</v>
      </c>
      <c r="G24">
        <v>-136224.84343000001</v>
      </c>
      <c r="H24">
        <v>0</v>
      </c>
      <c r="I24">
        <v>1.7066480413627381E-2</v>
      </c>
      <c r="J24">
        <v>7845787.1952</v>
      </c>
      <c r="K24">
        <v>0</v>
      </c>
      <c r="L24">
        <v>0</v>
      </c>
      <c r="M24">
        <v>0</v>
      </c>
    </row>
    <row r="25" spans="1:14" x14ac:dyDescent="0.2">
      <c r="A25" s="2"/>
      <c r="B25" s="1" t="s">
        <v>38</v>
      </c>
      <c r="C25">
        <v>278.38099999999997</v>
      </c>
      <c r="D25">
        <v>278.38099999999997</v>
      </c>
      <c r="E25">
        <v>0</v>
      </c>
      <c r="F25">
        <v>87637.664950000006</v>
      </c>
      <c r="G25">
        <v>-87637.664950000006</v>
      </c>
      <c r="H25">
        <v>0</v>
      </c>
      <c r="I25">
        <v>0.14407869071524279</v>
      </c>
      <c r="J25">
        <v>520624.82004999998</v>
      </c>
      <c r="K25">
        <v>0</v>
      </c>
      <c r="L25">
        <v>438188.32475999999</v>
      </c>
      <c r="M25">
        <v>0</v>
      </c>
    </row>
    <row r="26" spans="1:14" x14ac:dyDescent="0.2">
      <c r="A26" s="2" t="s">
        <v>39</v>
      </c>
      <c r="B26" s="1" t="s">
        <v>40</v>
      </c>
      <c r="C26">
        <v>0</v>
      </c>
      <c r="D26">
        <v>0</v>
      </c>
      <c r="E26">
        <v>0</v>
      </c>
      <c r="F26">
        <v>1877542.78308</v>
      </c>
      <c r="G26">
        <v>-1877542.78308</v>
      </c>
      <c r="H26">
        <v>0</v>
      </c>
      <c r="J26">
        <v>0</v>
      </c>
      <c r="K26">
        <v>0</v>
      </c>
      <c r="L26">
        <v>0</v>
      </c>
      <c r="M26">
        <v>-14118942.215709999</v>
      </c>
      <c r="N26">
        <v>-7.5199044310336669</v>
      </c>
    </row>
    <row r="27" spans="1:14" x14ac:dyDescent="0.2">
      <c r="A27" s="2"/>
      <c r="B27" s="1" t="s">
        <v>41</v>
      </c>
      <c r="C27">
        <v>0</v>
      </c>
      <c r="D27">
        <v>0</v>
      </c>
      <c r="E27">
        <v>0</v>
      </c>
      <c r="F27">
        <v>52178335.791649997</v>
      </c>
      <c r="G27">
        <v>-52178335.791649997</v>
      </c>
      <c r="H27">
        <v>0</v>
      </c>
      <c r="J27">
        <v>0</v>
      </c>
      <c r="K27">
        <v>0</v>
      </c>
      <c r="L27">
        <v>0</v>
      </c>
      <c r="M27">
        <v>-411891455.58788002</v>
      </c>
      <c r="N27">
        <v>-7.8939170712979454</v>
      </c>
    </row>
    <row r="28" spans="1:14" x14ac:dyDescent="0.2">
      <c r="A28" s="2" t="s">
        <v>42</v>
      </c>
      <c r="B28" s="1" t="s">
        <v>43</v>
      </c>
      <c r="C28">
        <v>26471.973000000002</v>
      </c>
      <c r="D28">
        <v>26471.973000000002</v>
      </c>
      <c r="E28">
        <v>2416533.6574900001</v>
      </c>
      <c r="F28">
        <v>5877704.6500800001</v>
      </c>
      <c r="G28">
        <v>-3461170.9925899999</v>
      </c>
      <c r="H28">
        <v>0</v>
      </c>
      <c r="I28">
        <v>0.14339656775866311</v>
      </c>
      <c r="J28">
        <v>61302431.997589998</v>
      </c>
      <c r="K28">
        <v>0</v>
      </c>
      <c r="L28">
        <v>0</v>
      </c>
      <c r="M28">
        <v>16741690.776690001</v>
      </c>
      <c r="N28">
        <v>2.0184723612830742</v>
      </c>
    </row>
    <row r="29" spans="1:14" x14ac:dyDescent="0.2">
      <c r="A29" s="2"/>
      <c r="B29" s="1" t="s">
        <v>44</v>
      </c>
      <c r="C29">
        <v>857.70799999999997</v>
      </c>
      <c r="D29">
        <v>857.70799999999997</v>
      </c>
      <c r="E29">
        <v>128495.78823000001</v>
      </c>
      <c r="F29">
        <v>261837.96604999999</v>
      </c>
      <c r="G29">
        <v>-133342.17782000001</v>
      </c>
      <c r="H29">
        <v>0</v>
      </c>
      <c r="I29">
        <v>0.20827886646737581</v>
      </c>
      <c r="J29">
        <v>2007434.1578200001</v>
      </c>
      <c r="K29">
        <v>0</v>
      </c>
      <c r="L29">
        <v>0</v>
      </c>
      <c r="M29">
        <v>548921.51061</v>
      </c>
      <c r="N29">
        <v>1.406287587300779</v>
      </c>
    </row>
    <row r="30" spans="1:14" x14ac:dyDescent="0.2">
      <c r="A30" s="2"/>
      <c r="B30" s="1" t="s">
        <v>45</v>
      </c>
      <c r="C30">
        <v>457.99400000000003</v>
      </c>
      <c r="D30">
        <v>457.99400000000003</v>
      </c>
      <c r="E30">
        <v>29950.108670000001</v>
      </c>
      <c r="F30">
        <v>248405.22471000001</v>
      </c>
      <c r="G30">
        <v>-218455.11603999999</v>
      </c>
      <c r="H30">
        <v>0</v>
      </c>
      <c r="I30">
        <v>0.27815593654065329</v>
      </c>
      <c r="J30">
        <v>1219172.0060399999</v>
      </c>
      <c r="K30">
        <v>0</v>
      </c>
      <c r="L30">
        <v>0</v>
      </c>
      <c r="M30">
        <v>549749.35774000001</v>
      </c>
      <c r="N30">
        <v>1.9749912377962029</v>
      </c>
    </row>
    <row r="31" spans="1:14" x14ac:dyDescent="0.2">
      <c r="A31" s="2"/>
      <c r="B31" s="1" t="s">
        <v>46</v>
      </c>
      <c r="C31">
        <v>5300</v>
      </c>
      <c r="D31">
        <v>5300</v>
      </c>
      <c r="E31">
        <v>812898.56302</v>
      </c>
      <c r="F31">
        <v>2228833.6760900002</v>
      </c>
      <c r="G31">
        <v>-1415935.11307</v>
      </c>
      <c r="H31">
        <v>0</v>
      </c>
      <c r="I31">
        <v>0.26265983584905661</v>
      </c>
      <c r="J31">
        <v>12996435.11307</v>
      </c>
      <c r="K31">
        <v>0</v>
      </c>
      <c r="L31">
        <v>0</v>
      </c>
      <c r="M31">
        <v>10545946.586680001</v>
      </c>
      <c r="N31">
        <v>3.4670857916358182</v>
      </c>
    </row>
    <row r="32" spans="1:14" x14ac:dyDescent="0.2">
      <c r="A32" s="1" t="s">
        <v>47</v>
      </c>
      <c r="B32" s="1" t="s">
        <v>48</v>
      </c>
      <c r="C32">
        <v>46768.008000000002</v>
      </c>
      <c r="D32">
        <v>46768.008000000002</v>
      </c>
      <c r="E32">
        <v>86234.669670000003</v>
      </c>
      <c r="F32">
        <v>93954.395120000001</v>
      </c>
      <c r="G32">
        <v>-7719.7254499999999</v>
      </c>
      <c r="H32">
        <v>0</v>
      </c>
      <c r="I32">
        <v>0.75544272187089945</v>
      </c>
      <c r="J32">
        <v>0</v>
      </c>
      <c r="K32">
        <v>0</v>
      </c>
      <c r="L32">
        <v>0</v>
      </c>
      <c r="M32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5"/>
  <sheetViews>
    <sheetView workbookViewId="0"/>
  </sheetViews>
  <sheetFormatPr baseColWidth="10" defaultColWidth="8.83203125" defaultRowHeight="15" x14ac:dyDescent="0.2"/>
  <sheetData>
    <row r="1" spans="1:14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2" t="s">
        <v>12</v>
      </c>
      <c r="B2" s="1" t="s">
        <v>13</v>
      </c>
      <c r="C2">
        <v>372.43929000000003</v>
      </c>
      <c r="D2">
        <v>372.43929000000003</v>
      </c>
      <c r="E2">
        <v>0</v>
      </c>
      <c r="F2">
        <v>0</v>
      </c>
      <c r="G2">
        <v>0</v>
      </c>
      <c r="H2">
        <v>0</v>
      </c>
      <c r="I2">
        <v>0</v>
      </c>
      <c r="J2">
        <v>813779.84346</v>
      </c>
      <c r="K2">
        <v>0</v>
      </c>
      <c r="L2">
        <v>0</v>
      </c>
      <c r="M2">
        <v>0</v>
      </c>
    </row>
    <row r="3" spans="1:14" x14ac:dyDescent="0.2">
      <c r="A3" s="2"/>
      <c r="B3" s="1" t="s">
        <v>14</v>
      </c>
      <c r="C3">
        <v>1642.8915400000001</v>
      </c>
      <c r="D3">
        <v>1642.8915400000001</v>
      </c>
      <c r="E3">
        <v>0</v>
      </c>
      <c r="F3">
        <v>0</v>
      </c>
      <c r="G3">
        <v>0</v>
      </c>
      <c r="H3">
        <v>0</v>
      </c>
      <c r="I3">
        <v>0</v>
      </c>
      <c r="J3">
        <v>3589718.0135300001</v>
      </c>
      <c r="K3">
        <v>0</v>
      </c>
      <c r="L3">
        <v>0</v>
      </c>
      <c r="M3">
        <v>0</v>
      </c>
    </row>
    <row r="4" spans="1:14" x14ac:dyDescent="0.2">
      <c r="A4" s="2"/>
      <c r="B4" s="1" t="s">
        <v>15</v>
      </c>
      <c r="C4">
        <v>9185.8067100000007</v>
      </c>
      <c r="D4">
        <v>9185.8067100000007</v>
      </c>
      <c r="E4">
        <v>0</v>
      </c>
      <c r="F4">
        <v>0</v>
      </c>
      <c r="G4">
        <v>0</v>
      </c>
      <c r="H4">
        <v>0</v>
      </c>
      <c r="I4">
        <v>0</v>
      </c>
      <c r="J4">
        <v>20070987.666540001</v>
      </c>
      <c r="K4">
        <v>0</v>
      </c>
      <c r="L4">
        <v>0</v>
      </c>
      <c r="M4">
        <v>0</v>
      </c>
    </row>
    <row r="5" spans="1:14" x14ac:dyDescent="0.2">
      <c r="A5" s="2"/>
      <c r="B5" s="1" t="s">
        <v>16</v>
      </c>
      <c r="C5">
        <v>23586</v>
      </c>
      <c r="D5">
        <v>23586</v>
      </c>
      <c r="E5">
        <v>0</v>
      </c>
      <c r="F5">
        <v>0</v>
      </c>
      <c r="G5">
        <v>0</v>
      </c>
      <c r="H5">
        <v>0</v>
      </c>
      <c r="I5">
        <v>0</v>
      </c>
      <c r="J5">
        <v>51535410</v>
      </c>
      <c r="K5">
        <v>0</v>
      </c>
      <c r="L5">
        <v>0</v>
      </c>
      <c r="M5">
        <v>0</v>
      </c>
    </row>
    <row r="6" spans="1:14" x14ac:dyDescent="0.2">
      <c r="A6" s="2"/>
      <c r="B6" s="1" t="s">
        <v>17</v>
      </c>
      <c r="C6">
        <v>3534.0360000000001</v>
      </c>
      <c r="D6">
        <v>3534.0360000000001</v>
      </c>
      <c r="E6">
        <v>0</v>
      </c>
      <c r="F6">
        <v>0</v>
      </c>
      <c r="G6">
        <v>0</v>
      </c>
      <c r="H6">
        <v>0</v>
      </c>
      <c r="I6">
        <v>0</v>
      </c>
      <c r="J6">
        <v>7721868.6600000001</v>
      </c>
      <c r="K6">
        <v>0</v>
      </c>
      <c r="L6">
        <v>0</v>
      </c>
      <c r="M6">
        <v>0</v>
      </c>
    </row>
    <row r="7" spans="1:14" x14ac:dyDescent="0.2">
      <c r="A7" s="2"/>
      <c r="B7" s="1" t="s">
        <v>18</v>
      </c>
      <c r="C7">
        <v>13695</v>
      </c>
      <c r="D7">
        <v>13695</v>
      </c>
      <c r="E7">
        <v>3512719.2413400002</v>
      </c>
      <c r="F7">
        <v>0</v>
      </c>
      <c r="G7">
        <v>3512719.2413400002</v>
      </c>
      <c r="H7">
        <v>0</v>
      </c>
      <c r="I7">
        <v>0.1173896918583425</v>
      </c>
      <c r="J7">
        <v>26410855.75866</v>
      </c>
      <c r="K7">
        <v>0</v>
      </c>
      <c r="L7">
        <v>39740210.797289997</v>
      </c>
      <c r="M7">
        <v>39740210.797289997</v>
      </c>
      <c r="N7">
        <v>11.313232853409559</v>
      </c>
    </row>
    <row r="8" spans="1:14" x14ac:dyDescent="0.2">
      <c r="A8" s="2"/>
      <c r="B8" s="1" t="s">
        <v>19</v>
      </c>
      <c r="C8">
        <v>4067.2939999999999</v>
      </c>
      <c r="D8">
        <v>4067.2939999999999</v>
      </c>
      <c r="E8">
        <v>0</v>
      </c>
      <c r="F8">
        <v>0</v>
      </c>
      <c r="G8">
        <v>0</v>
      </c>
      <c r="H8">
        <v>0</v>
      </c>
      <c r="I8">
        <v>0</v>
      </c>
      <c r="J8">
        <v>8887037.3900000006</v>
      </c>
      <c r="K8">
        <v>0</v>
      </c>
      <c r="L8">
        <v>0</v>
      </c>
      <c r="M8">
        <v>0</v>
      </c>
    </row>
    <row r="9" spans="1:14" x14ac:dyDescent="0.2">
      <c r="A9" s="2"/>
      <c r="B9" s="1" t="s">
        <v>20</v>
      </c>
      <c r="C9">
        <v>11</v>
      </c>
      <c r="D9">
        <v>11</v>
      </c>
      <c r="E9">
        <v>4564.6790000000001</v>
      </c>
      <c r="F9">
        <v>0</v>
      </c>
      <c r="G9">
        <v>4564.6790000000001</v>
      </c>
      <c r="H9">
        <v>0</v>
      </c>
      <c r="I9">
        <v>0.18991818181818179</v>
      </c>
      <c r="J9">
        <v>19470.321</v>
      </c>
      <c r="K9">
        <v>0</v>
      </c>
      <c r="L9">
        <v>56875.90034</v>
      </c>
      <c r="M9">
        <v>97186.439150000006</v>
      </c>
      <c r="N9">
        <v>21.29094825522952</v>
      </c>
    </row>
    <row r="10" spans="1:14" x14ac:dyDescent="0.2">
      <c r="A10" s="2"/>
      <c r="B10" s="1" t="s">
        <v>21</v>
      </c>
      <c r="C10">
        <v>834.51107000000002</v>
      </c>
      <c r="D10">
        <v>834.51107000000002</v>
      </c>
      <c r="E10">
        <v>37.805959999999999</v>
      </c>
      <c r="F10">
        <v>0</v>
      </c>
      <c r="G10">
        <v>37.805959999999999</v>
      </c>
      <c r="H10">
        <v>0</v>
      </c>
      <c r="I10">
        <v>2.073070163107603E-5</v>
      </c>
      <c r="J10">
        <v>1823368.8736699999</v>
      </c>
      <c r="K10">
        <v>0</v>
      </c>
      <c r="L10">
        <v>2041.52208</v>
      </c>
      <c r="M10">
        <v>2152.4700899999998</v>
      </c>
      <c r="N10">
        <v>56.942774566473993</v>
      </c>
    </row>
    <row r="11" spans="1:14" x14ac:dyDescent="0.2">
      <c r="A11" s="2"/>
      <c r="B11" s="1" t="s">
        <v>22</v>
      </c>
      <c r="C11">
        <v>1897.296</v>
      </c>
      <c r="D11">
        <v>1897.296</v>
      </c>
      <c r="E11">
        <v>1397602.82326</v>
      </c>
      <c r="F11">
        <v>0</v>
      </c>
      <c r="G11">
        <v>1397602.82326</v>
      </c>
      <c r="H11">
        <v>0</v>
      </c>
      <c r="I11">
        <v>0.33712987325119542</v>
      </c>
      <c r="J11">
        <v>260633.88073999999</v>
      </c>
      <c r="K11">
        <v>0</v>
      </c>
      <c r="L11">
        <v>0</v>
      </c>
      <c r="M11">
        <v>9282303.73704</v>
      </c>
      <c r="N11">
        <v>6.6415891365321444</v>
      </c>
    </row>
    <row r="12" spans="1:14" x14ac:dyDescent="0.2">
      <c r="A12" s="2"/>
      <c r="B12" s="1" t="s">
        <v>23</v>
      </c>
      <c r="C12">
        <v>48629.190949999997</v>
      </c>
      <c r="D12">
        <v>48629.190949999997</v>
      </c>
      <c r="E12">
        <v>0</v>
      </c>
      <c r="F12">
        <v>0</v>
      </c>
      <c r="G12">
        <v>0</v>
      </c>
      <c r="H12">
        <v>0</v>
      </c>
      <c r="I12">
        <v>0</v>
      </c>
      <c r="J12">
        <v>52178335.791649997</v>
      </c>
      <c r="K12">
        <v>0</v>
      </c>
      <c r="L12">
        <v>0</v>
      </c>
      <c r="M12">
        <v>0</v>
      </c>
    </row>
    <row r="13" spans="1:14" x14ac:dyDescent="0.2">
      <c r="A13" s="2"/>
      <c r="B13" s="1" t="s">
        <v>24</v>
      </c>
      <c r="C13">
        <v>254.358</v>
      </c>
      <c r="D13">
        <v>254.358</v>
      </c>
      <c r="E13">
        <v>239523.45191</v>
      </c>
      <c r="F13">
        <v>0</v>
      </c>
      <c r="G13">
        <v>239523.45191</v>
      </c>
      <c r="H13">
        <v>0</v>
      </c>
      <c r="I13">
        <v>0.43097413881222529</v>
      </c>
      <c r="J13">
        <v>34246.098899999997</v>
      </c>
      <c r="K13">
        <v>0</v>
      </c>
      <c r="L13">
        <v>0</v>
      </c>
      <c r="M13">
        <v>1973243.4195000001</v>
      </c>
      <c r="N13">
        <v>8.2382052571333499</v>
      </c>
    </row>
    <row r="14" spans="1:14" x14ac:dyDescent="0.2">
      <c r="A14" s="2"/>
      <c r="B14" s="1" t="s">
        <v>25</v>
      </c>
      <c r="C14">
        <v>4570</v>
      </c>
      <c r="D14">
        <v>4570</v>
      </c>
      <c r="E14">
        <v>4026736.5227700002</v>
      </c>
      <c r="F14">
        <v>0</v>
      </c>
      <c r="G14">
        <v>4026736.5227700002</v>
      </c>
      <c r="H14">
        <v>0</v>
      </c>
      <c r="I14">
        <v>0.40326039606126918</v>
      </c>
      <c r="J14">
        <v>5958713.4772300003</v>
      </c>
      <c r="K14">
        <v>0</v>
      </c>
      <c r="L14">
        <v>40267365.227669999</v>
      </c>
      <c r="M14">
        <v>67153379.690369993</v>
      </c>
      <c r="N14">
        <v>16.67687452017541</v>
      </c>
    </row>
    <row r="15" spans="1:14" x14ac:dyDescent="0.2">
      <c r="A15" s="2"/>
      <c r="B15" s="1" t="s">
        <v>26</v>
      </c>
      <c r="C15">
        <v>53544.201999999997</v>
      </c>
      <c r="D15">
        <v>53544.201999999997</v>
      </c>
      <c r="E15">
        <v>25259666.701699998</v>
      </c>
      <c r="F15">
        <v>0</v>
      </c>
      <c r="G15">
        <v>25259666.701699998</v>
      </c>
      <c r="H15">
        <v>0</v>
      </c>
      <c r="I15">
        <v>0.21590550905959899</v>
      </c>
      <c r="J15">
        <v>6855179.4078599997</v>
      </c>
      <c r="K15">
        <v>0</v>
      </c>
      <c r="L15">
        <v>0</v>
      </c>
      <c r="M15">
        <v>101261683.16764</v>
      </c>
      <c r="N15">
        <v>4.0088289524043006</v>
      </c>
    </row>
    <row r="16" spans="1:14" x14ac:dyDescent="0.2">
      <c r="A16" s="2"/>
      <c r="B16" s="1" t="s">
        <v>27</v>
      </c>
      <c r="C16">
        <v>78.5</v>
      </c>
      <c r="D16">
        <v>78.5</v>
      </c>
      <c r="E16">
        <v>0</v>
      </c>
      <c r="F16">
        <v>0</v>
      </c>
      <c r="G16">
        <v>0</v>
      </c>
      <c r="H16">
        <v>0</v>
      </c>
      <c r="I16">
        <v>0</v>
      </c>
      <c r="J16">
        <v>171522.5</v>
      </c>
      <c r="K16">
        <v>0</v>
      </c>
      <c r="L16">
        <v>0</v>
      </c>
      <c r="M16">
        <v>0</v>
      </c>
    </row>
    <row r="17" spans="1:14" x14ac:dyDescent="0.2">
      <c r="A17" s="2"/>
      <c r="B17" s="1" t="s">
        <v>28</v>
      </c>
      <c r="C17">
        <v>27270.741000000002</v>
      </c>
      <c r="D17">
        <v>27270.741000000002</v>
      </c>
      <c r="E17">
        <v>11256635.291230001</v>
      </c>
      <c r="F17">
        <v>0</v>
      </c>
      <c r="G17">
        <v>11256635.291230001</v>
      </c>
      <c r="H17">
        <v>0</v>
      </c>
      <c r="I17">
        <v>0.1889122913821813</v>
      </c>
      <c r="J17">
        <v>3078499.06519</v>
      </c>
      <c r="K17">
        <v>0</v>
      </c>
      <c r="L17">
        <v>0</v>
      </c>
      <c r="M17">
        <v>41619571.335770003</v>
      </c>
      <c r="N17">
        <v>3.6973367449942049</v>
      </c>
    </row>
    <row r="18" spans="1:14" x14ac:dyDescent="0.2">
      <c r="A18" s="2"/>
      <c r="B18" s="1" t="s">
        <v>29</v>
      </c>
      <c r="C18">
        <v>3662.89</v>
      </c>
      <c r="D18">
        <v>3662.89</v>
      </c>
      <c r="E18">
        <v>0</v>
      </c>
      <c r="F18">
        <v>0</v>
      </c>
      <c r="G18">
        <v>0</v>
      </c>
      <c r="H18">
        <v>0</v>
      </c>
      <c r="I18">
        <v>0</v>
      </c>
      <c r="J18">
        <v>8003414.6500000004</v>
      </c>
      <c r="K18">
        <v>0</v>
      </c>
      <c r="L18">
        <v>0</v>
      </c>
      <c r="M18">
        <v>0</v>
      </c>
    </row>
    <row r="19" spans="1:14" x14ac:dyDescent="0.2">
      <c r="A19" s="2"/>
      <c r="B19" s="1" t="s">
        <v>30</v>
      </c>
      <c r="C19">
        <v>55.819389999999999</v>
      </c>
      <c r="D19">
        <v>55.819389999999999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121965.37684</v>
      </c>
      <c r="K19">
        <v>0</v>
      </c>
      <c r="L19">
        <v>0</v>
      </c>
      <c r="M19">
        <v>0</v>
      </c>
    </row>
    <row r="20" spans="1:14" x14ac:dyDescent="0.2">
      <c r="A20" s="2"/>
      <c r="B20" s="1" t="s">
        <v>31</v>
      </c>
      <c r="C20">
        <v>40470.421999999999</v>
      </c>
      <c r="D20">
        <v>40470.421999999999</v>
      </c>
      <c r="E20">
        <v>13185300.574929999</v>
      </c>
      <c r="F20">
        <v>0</v>
      </c>
      <c r="G20">
        <v>13185300.574929999</v>
      </c>
      <c r="H20">
        <v>0</v>
      </c>
      <c r="I20">
        <v>0.1491079710016367</v>
      </c>
      <c r="J20">
        <v>1380240.8842800001</v>
      </c>
      <c r="K20">
        <v>0</v>
      </c>
      <c r="L20">
        <v>0</v>
      </c>
      <c r="M20">
        <v>89510119.497490004</v>
      </c>
      <c r="N20">
        <v>6.7886294234347639</v>
      </c>
    </row>
    <row r="21" spans="1:14" x14ac:dyDescent="0.2">
      <c r="A21" s="2"/>
      <c r="B21" s="1" t="s">
        <v>32</v>
      </c>
      <c r="C21">
        <v>4643.1779999999999</v>
      </c>
      <c r="D21">
        <v>4643.1779999999999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10145343.93</v>
      </c>
      <c r="K21">
        <v>0</v>
      </c>
      <c r="L21">
        <v>0</v>
      </c>
      <c r="M21">
        <v>0</v>
      </c>
    </row>
    <row r="22" spans="1:14" x14ac:dyDescent="0.2">
      <c r="A22" s="1" t="s">
        <v>33</v>
      </c>
      <c r="B22" s="1" t="s">
        <v>34</v>
      </c>
      <c r="C22">
        <v>230800</v>
      </c>
      <c r="D22">
        <v>230800</v>
      </c>
      <c r="E22">
        <v>34744714.586340003</v>
      </c>
      <c r="F22">
        <v>21585591.154309999</v>
      </c>
      <c r="G22">
        <v>13159123.43203</v>
      </c>
      <c r="H22">
        <v>-13159123.43203</v>
      </c>
      <c r="I22">
        <v>0.1117004345320624</v>
      </c>
      <c r="J22">
        <v>0</v>
      </c>
      <c r="K22">
        <v>0</v>
      </c>
      <c r="L22">
        <v>0</v>
      </c>
      <c r="M22">
        <v>128675932.04862</v>
      </c>
      <c r="N22">
        <v>2.284310911735083</v>
      </c>
    </row>
    <row r="23" spans="1:14" x14ac:dyDescent="0.2">
      <c r="A23" s="2" t="s">
        <v>35</v>
      </c>
      <c r="B23" s="1" t="s">
        <v>36</v>
      </c>
      <c r="C23">
        <v>12450</v>
      </c>
      <c r="D23">
        <v>12450</v>
      </c>
      <c r="E23">
        <v>9519372.1429500002</v>
      </c>
      <c r="F23">
        <v>5916583.1774700005</v>
      </c>
      <c r="G23">
        <v>3602788.9654799998</v>
      </c>
      <c r="H23">
        <v>-3602788.9654799998</v>
      </c>
      <c r="I23">
        <v>0.56743055742971893</v>
      </c>
      <c r="J23">
        <v>30806038.96548</v>
      </c>
      <c r="K23">
        <v>0</v>
      </c>
      <c r="L23">
        <v>0</v>
      </c>
      <c r="M23">
        <v>69208704.765000001</v>
      </c>
      <c r="N23">
        <v>4.4836035970243397</v>
      </c>
    </row>
    <row r="24" spans="1:14" x14ac:dyDescent="0.2">
      <c r="A24" s="2"/>
      <c r="B24" s="1" t="s">
        <v>49</v>
      </c>
      <c r="C24">
        <v>26000000</v>
      </c>
      <c r="D24">
        <v>26000000</v>
      </c>
      <c r="E24">
        <v>0</v>
      </c>
      <c r="F24">
        <v>167658.06942000001</v>
      </c>
      <c r="G24">
        <v>-167658.06942000001</v>
      </c>
      <c r="H24">
        <v>0</v>
      </c>
      <c r="I24">
        <v>2.9512069230769229E-6</v>
      </c>
      <c r="J24">
        <v>56809832341.930588</v>
      </c>
      <c r="K24">
        <v>0</v>
      </c>
      <c r="L24">
        <v>1.67658</v>
      </c>
      <c r="M24">
        <v>-234292.86467000001</v>
      </c>
      <c r="N24">
        <v>-1.3974446960291871</v>
      </c>
    </row>
    <row r="25" spans="1:14" x14ac:dyDescent="0.2">
      <c r="A25" s="2"/>
      <c r="B25" s="1" t="s">
        <v>37</v>
      </c>
      <c r="C25">
        <v>3653.0947500000002</v>
      </c>
      <c r="D25">
        <v>3653.0947500000002</v>
      </c>
      <c r="E25">
        <v>0</v>
      </c>
      <c r="F25">
        <v>125107.77116</v>
      </c>
      <c r="G25">
        <v>-125107.77116</v>
      </c>
      <c r="H25">
        <v>0</v>
      </c>
      <c r="I25">
        <v>1.5673713363169681E-2</v>
      </c>
      <c r="J25">
        <v>7856904.2674700003</v>
      </c>
      <c r="K25">
        <v>0</v>
      </c>
      <c r="L25">
        <v>0</v>
      </c>
      <c r="M25">
        <v>0</v>
      </c>
    </row>
    <row r="26" spans="1:14" x14ac:dyDescent="0.2">
      <c r="A26" s="2"/>
      <c r="B26" s="1" t="s">
        <v>38</v>
      </c>
      <c r="C26">
        <v>278.38099999999997</v>
      </c>
      <c r="D26">
        <v>278.38099999999997</v>
      </c>
      <c r="E26">
        <v>0</v>
      </c>
      <c r="F26">
        <v>84067.945959999997</v>
      </c>
      <c r="G26">
        <v>-84067.945959999997</v>
      </c>
      <c r="H26">
        <v>0</v>
      </c>
      <c r="I26">
        <v>0.1382099712264846</v>
      </c>
      <c r="J26">
        <v>524194.53904</v>
      </c>
      <c r="K26">
        <v>0</v>
      </c>
      <c r="L26">
        <v>420339.72982000001</v>
      </c>
      <c r="M26">
        <v>0</v>
      </c>
    </row>
    <row r="27" spans="1:14" x14ac:dyDescent="0.2">
      <c r="A27" s="2"/>
      <c r="B27" s="1" t="s">
        <v>50</v>
      </c>
      <c r="C27">
        <v>156000000</v>
      </c>
      <c r="D27">
        <v>156000000</v>
      </c>
      <c r="E27">
        <v>0</v>
      </c>
      <c r="F27">
        <v>16869.49552</v>
      </c>
      <c r="G27">
        <v>-16869.49552</v>
      </c>
      <c r="H27">
        <v>16869.49552</v>
      </c>
      <c r="I27">
        <v>4.9490961538461538E-8</v>
      </c>
      <c r="J27">
        <v>340859983130.50452</v>
      </c>
      <c r="K27">
        <v>0</v>
      </c>
      <c r="L27">
        <v>0.16869000000000001</v>
      </c>
      <c r="M27">
        <v>-33755.358310000003</v>
      </c>
      <c r="N27">
        <v>-2.0009714283493878</v>
      </c>
    </row>
    <row r="28" spans="1:14" x14ac:dyDescent="0.2">
      <c r="A28" s="2" t="s">
        <v>39</v>
      </c>
      <c r="B28" s="1" t="s">
        <v>40</v>
      </c>
      <c r="C28">
        <v>0</v>
      </c>
      <c r="D28">
        <v>0</v>
      </c>
      <c r="E28">
        <v>0</v>
      </c>
      <c r="F28">
        <v>1877542.78308</v>
      </c>
      <c r="G28">
        <v>-1877542.78308</v>
      </c>
      <c r="H28">
        <v>0</v>
      </c>
      <c r="J28">
        <v>0</v>
      </c>
      <c r="K28">
        <v>0</v>
      </c>
      <c r="L28">
        <v>0</v>
      </c>
      <c r="M28">
        <v>-13965939.709620001</v>
      </c>
      <c r="N28">
        <v>-7.4384136081329997</v>
      </c>
    </row>
    <row r="29" spans="1:14" x14ac:dyDescent="0.2">
      <c r="A29" s="2"/>
      <c r="B29" s="1" t="s">
        <v>41</v>
      </c>
      <c r="C29">
        <v>0</v>
      </c>
      <c r="D29">
        <v>0</v>
      </c>
      <c r="E29">
        <v>0</v>
      </c>
      <c r="F29">
        <v>52178335.791649997</v>
      </c>
      <c r="G29">
        <v>-52178335.791649997</v>
      </c>
      <c r="H29">
        <v>0</v>
      </c>
      <c r="J29">
        <v>0</v>
      </c>
      <c r="K29">
        <v>0</v>
      </c>
      <c r="L29">
        <v>0</v>
      </c>
      <c r="M29">
        <v>-407915450.44400001</v>
      </c>
      <c r="N29">
        <v>-7.8177167653966473</v>
      </c>
    </row>
    <row r="30" spans="1:14" x14ac:dyDescent="0.2">
      <c r="A30" s="2" t="s">
        <v>42</v>
      </c>
      <c r="B30" s="1" t="s">
        <v>43</v>
      </c>
      <c r="C30">
        <v>26471.973000000002</v>
      </c>
      <c r="D30">
        <v>26471.973000000002</v>
      </c>
      <c r="E30">
        <v>3516494.7880099998</v>
      </c>
      <c r="F30">
        <v>6738986.58617</v>
      </c>
      <c r="G30">
        <v>-3222491.7981500002</v>
      </c>
      <c r="H30">
        <v>0</v>
      </c>
      <c r="I30">
        <v>0.1773039036417875</v>
      </c>
      <c r="J30">
        <v>61063752.803149998</v>
      </c>
      <c r="K30">
        <v>0</v>
      </c>
      <c r="L30">
        <v>0</v>
      </c>
      <c r="M30">
        <v>16559149.40587</v>
      </c>
      <c r="N30">
        <v>1.614663301605022</v>
      </c>
    </row>
    <row r="31" spans="1:14" x14ac:dyDescent="0.2">
      <c r="A31" s="2"/>
      <c r="B31" s="1" t="s">
        <v>44</v>
      </c>
      <c r="C31">
        <v>857.70799999999997</v>
      </c>
      <c r="D31">
        <v>857.70799999999997</v>
      </c>
      <c r="E31">
        <v>180965.70483</v>
      </c>
      <c r="F31">
        <v>300514.24473999999</v>
      </c>
      <c r="G31">
        <v>-119548.53991000001</v>
      </c>
      <c r="H31">
        <v>0</v>
      </c>
      <c r="I31">
        <v>0.25691372821519681</v>
      </c>
      <c r="J31">
        <v>1993640.51991</v>
      </c>
      <c r="K31">
        <v>0</v>
      </c>
      <c r="L31">
        <v>0</v>
      </c>
      <c r="M31">
        <v>543364.63263999997</v>
      </c>
      <c r="N31">
        <v>1.128530135830518</v>
      </c>
    </row>
    <row r="32" spans="1:14" x14ac:dyDescent="0.2">
      <c r="A32" s="2"/>
      <c r="B32" s="1" t="s">
        <v>45</v>
      </c>
      <c r="C32">
        <v>457.99400000000003</v>
      </c>
      <c r="D32">
        <v>457.99400000000003</v>
      </c>
      <c r="E32">
        <v>33967.291729999997</v>
      </c>
      <c r="F32">
        <v>242858.44049000001</v>
      </c>
      <c r="G32">
        <v>-208891.14876000001</v>
      </c>
      <c r="H32">
        <v>0</v>
      </c>
      <c r="I32">
        <v>0.2766274230666777</v>
      </c>
      <c r="J32">
        <v>1209608.0387599999</v>
      </c>
      <c r="K32">
        <v>0</v>
      </c>
      <c r="L32">
        <v>0</v>
      </c>
      <c r="M32">
        <v>543975.66512999998</v>
      </c>
      <c r="N32">
        <v>1.9650472754367421</v>
      </c>
    </row>
    <row r="33" spans="1:14" x14ac:dyDescent="0.2">
      <c r="A33" s="2"/>
      <c r="B33" s="1" t="s">
        <v>46</v>
      </c>
      <c r="C33">
        <v>5300</v>
      </c>
      <c r="D33">
        <v>5300</v>
      </c>
      <c r="E33">
        <v>1031335.74467</v>
      </c>
      <c r="F33">
        <v>2314308.7011899999</v>
      </c>
      <c r="G33">
        <v>-1282972.95652</v>
      </c>
      <c r="H33">
        <v>0</v>
      </c>
      <c r="I33">
        <v>0.28890328113207547</v>
      </c>
      <c r="J33">
        <v>12863472.95652</v>
      </c>
      <c r="K33">
        <v>0</v>
      </c>
      <c r="L33">
        <v>0</v>
      </c>
      <c r="M33">
        <v>10310823.374329999</v>
      </c>
      <c r="N33">
        <v>3.0818646566832029</v>
      </c>
    </row>
    <row r="34" spans="1:14" x14ac:dyDescent="0.2">
      <c r="A34" s="2" t="s">
        <v>47</v>
      </c>
      <c r="B34" s="1" t="s">
        <v>49</v>
      </c>
      <c r="C34">
        <v>13000000</v>
      </c>
      <c r="D34">
        <v>13000000</v>
      </c>
      <c r="E34">
        <v>83829.034710000007</v>
      </c>
      <c r="F34">
        <v>83829.034710000007</v>
      </c>
      <c r="G34">
        <v>0</v>
      </c>
      <c r="H34">
        <v>0</v>
      </c>
      <c r="I34">
        <v>0.99909287922384615</v>
      </c>
      <c r="J34">
        <v>0</v>
      </c>
      <c r="K34">
        <v>0</v>
      </c>
      <c r="L34">
        <v>0</v>
      </c>
      <c r="M34">
        <v>0</v>
      </c>
    </row>
    <row r="35" spans="1:14" x14ac:dyDescent="0.2">
      <c r="A35" s="2"/>
      <c r="B35" s="1" t="s">
        <v>48</v>
      </c>
      <c r="C35">
        <v>46768.008000000002</v>
      </c>
      <c r="D35">
        <v>46768.008000000002</v>
      </c>
      <c r="E35">
        <v>82619.876539999997</v>
      </c>
      <c r="F35">
        <v>86127.370389999996</v>
      </c>
      <c r="G35">
        <v>-3507.4938499999998</v>
      </c>
      <c r="H35">
        <v>0</v>
      </c>
      <c r="I35">
        <v>0.34323898165600719</v>
      </c>
      <c r="J35">
        <v>0</v>
      </c>
      <c r="K35">
        <v>0</v>
      </c>
      <c r="L35">
        <v>0</v>
      </c>
      <c r="M35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Marta Górecka</cp:lastModifiedBy>
  <dcterms:created xsi:type="dcterms:W3CDTF">2026-08-17T19:14:42Z</dcterms:created>
  <dcterms:modified xsi:type="dcterms:W3CDTF">2026-08-17T19:49:55Z</dcterms:modified>
</cp:coreProperties>
</file>