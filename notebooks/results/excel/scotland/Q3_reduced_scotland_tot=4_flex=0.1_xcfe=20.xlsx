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scotland/"/>
    </mc:Choice>
  </mc:AlternateContent>
  <xr:revisionPtr revIDLastSave="0" documentId="13_ncr:1_{84880077-E17E-8340-B5ED-884F0FD56898}" xr6:coauthVersionLast="47" xr6:coauthVersionMax="47" xr10:uidLastSave="{00000000-0000-0000-0000-000000000000}"/>
  <bookViews>
    <workbookView xWindow="9080" yWindow="660" windowWidth="1988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5" r:id="rId6"/>
    <sheet name="CFE_both" sheetId="14" r:id="rId7"/>
  </sheets>
  <definedNames>
    <definedName name="_xlnm._FilterDatabase" localSheetId="4" hidden="1">Both!$A$1:$N$41</definedName>
    <definedName name="_xlnm._FilterDatabase" localSheetId="6" hidden="1">CFE_both!$A$1:$N$32</definedName>
    <definedName name="_xlnm._FilterDatabase" localSheetId="1" hidden="1">Inflexible!$A$1:$N$35</definedName>
    <definedName name="_xlnm._FilterDatabase" localSheetId="3" hidden="1">Spatial!$A$1:$N$36</definedName>
    <definedName name="_xlnm._FilterDatabase" localSheetId="2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J37" i="14" l="1"/>
  <c r="L37" i="14"/>
  <c r="M37" i="14"/>
  <c r="N37" i="14"/>
  <c r="J38" i="14"/>
  <c r="J39" i="14"/>
  <c r="C40" i="14"/>
  <c r="C41" i="14"/>
  <c r="C42" i="14"/>
  <c r="C43" i="14"/>
  <c r="J36" i="12"/>
  <c r="L36" i="12"/>
  <c r="M36" i="12"/>
  <c r="N36" i="12"/>
  <c r="J37" i="12"/>
  <c r="J38" i="12"/>
  <c r="C39" i="12"/>
  <c r="C40" i="12"/>
  <c r="C41" i="12"/>
  <c r="C42" i="12"/>
  <c r="J34" i="11"/>
  <c r="L34" i="11"/>
  <c r="M34" i="11"/>
  <c r="N34" i="11"/>
  <c r="J35" i="11"/>
  <c r="J36" i="11"/>
  <c r="C39" i="11"/>
  <c r="C40" i="11"/>
  <c r="C41" i="11"/>
  <c r="C42" i="11"/>
  <c r="J35" i="10"/>
  <c r="L35" i="10"/>
  <c r="M35" i="10"/>
  <c r="N35" i="10"/>
  <c r="J36" i="10"/>
  <c r="J37" i="10"/>
  <c r="C39" i="10"/>
  <c r="C40" i="10"/>
  <c r="C41" i="10"/>
  <c r="C42" i="10"/>
  <c r="J33" i="9"/>
  <c r="L33" i="9"/>
  <c r="M33" i="9"/>
  <c r="N33" i="9"/>
  <c r="J34" i="9"/>
  <c r="J35" i="9"/>
  <c r="C39" i="9"/>
  <c r="C40" i="9"/>
  <c r="C41" i="9"/>
  <c r="C42" i="9"/>
  <c r="B8" i="8"/>
  <c r="F13" i="8"/>
  <c r="C13" i="8"/>
  <c r="E15" i="8"/>
  <c r="G14" i="8"/>
  <c r="F12" i="8"/>
  <c r="G12" i="8"/>
  <c r="C14" i="8"/>
  <c r="C15" i="8"/>
  <c r="B15" i="8"/>
  <c r="E12" i="8"/>
  <c r="G15" i="8"/>
  <c r="G13" i="8"/>
  <c r="G11" i="8"/>
  <c r="C12" i="8"/>
  <c r="B14" i="8"/>
  <c r="F15" i="8"/>
  <c r="E14" i="8"/>
  <c r="D12" i="8"/>
  <c r="B12" i="8"/>
  <c r="D14" i="8"/>
  <c r="B11" i="8"/>
  <c r="B13" i="8"/>
  <c r="C11" i="8"/>
  <c r="F11" i="8"/>
  <c r="E13" i="8"/>
  <c r="D11" i="8"/>
  <c r="E11" i="8"/>
  <c r="B7" i="8"/>
  <c r="D13" i="8"/>
  <c r="D15" i="8"/>
  <c r="F14" i="8"/>
  <c r="F19" i="8" l="1"/>
  <c r="E22" i="8"/>
  <c r="E18" i="8"/>
  <c r="F18" i="8"/>
  <c r="F22" i="8"/>
  <c r="G18" i="8"/>
  <c r="C21" i="8"/>
  <c r="G19" i="8"/>
  <c r="C20" i="8"/>
  <c r="D18" i="8"/>
  <c r="F21" i="8"/>
  <c r="D19" i="8"/>
  <c r="G20" i="8"/>
  <c r="D22" i="8"/>
  <c r="D20" i="8"/>
  <c r="G21" i="8"/>
  <c r="F20" i="8"/>
  <c r="E20" i="8"/>
  <c r="C18" i="8"/>
  <c r="D21" i="8"/>
  <c r="E21" i="8"/>
  <c r="C19" i="8"/>
  <c r="G22" i="8"/>
  <c r="E19" i="8"/>
  <c r="C22" i="8"/>
</calcChain>
</file>

<file path=xl/sharedStrings.xml><?xml version="1.0" encoding="utf-8"?>
<sst xmlns="http://schemas.openxmlformats.org/spreadsheetml/2006/main" count="436" uniqueCount="90">
  <si>
    <t>BIG SUMMARY</t>
  </si>
  <si>
    <t xml:space="preserve">Data Centre Allocation: </t>
  </si>
  <si>
    <t>Flexibility:</t>
  </si>
  <si>
    <t>x_CFE:</t>
  </si>
  <si>
    <t>Scotland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</si>
  <si>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</si>
  <si>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</si>
  <si>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</si>
  <si>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</si>
  <si>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</si>
  <si>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</si>
  <si>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</si>
  <si>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</si>
  <si>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</si>
  <si>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</si>
  <si>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</si>
  <si>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</si>
  <si>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</si>
  <si>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</si>
  <si>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</si>
  <si>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Data Centre Cost:</t>
  </si>
  <si>
    <t>Total Wind Energy Curtailment:</t>
  </si>
  <si>
    <t>Total Green Energy curtailment:</t>
  </si>
  <si>
    <t>Total Green Capacity:</t>
  </si>
  <si>
    <t>Summary</t>
  </si>
  <si>
    <t>solar curtailment:</t>
  </si>
  <si>
    <t>wind curtailment:</t>
  </si>
  <si>
    <t>total:</t>
  </si>
  <si>
    <t>total curtailment:</t>
  </si>
  <si>
    <t>NaN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</si>
  <si>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</si>
  <si>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</si>
  <si>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</si>
  <si>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</si>
  <si>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</si>
  <si>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</si>
  <si>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</si>
  <si>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</si>
  <si>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</si>
  <si>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</si>
  <si>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</si>
  <si>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</si>
  <si>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</si>
  <si>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</si>
  <si>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</si>
  <si>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</si>
  <si>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</si>
  <si>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</si>
  <si>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</si>
  <si>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</si>
  <si>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</si>
  <si>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</si>
  <si>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</si>
  <si>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</si>
  <si>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</si>
  <si>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</si>
  <si>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</si>
  <si>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</si>
  <si>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</si>
  <si>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</si>
  <si>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</si>
  <si>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</si>
  <si>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</si>
  <si>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</si>
  <si>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</si>
  <si>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</si>
  <si>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</si>
  <si>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</si>
  <si>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</si>
  <si>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</si>
  <si>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</si>
  <si>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</si>
  <si>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</si>
  <si>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</si>
  <si>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</si>
  <si>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</si>
  <si>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</si>
  <si>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</si>
  <si>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</si>
  <si>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</si>
  <si>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</si>
  <si>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INFO:gurobipy:Optimal objective 8.187527603e+07</t>
  </si>
  <si>
    <t xml:space="preserve">Optimal objective 8.187527603e+07 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</si>
  <si>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</si>
  <si>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</si>
  <si>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</si>
  <si>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</si>
  <si>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DC Cost Reduction w.r.t. Inflexible</t>
  </si>
  <si>
    <t>Objective Reduction w.r.t. Inflexible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</si>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</sst>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11" fontId="0" fillId="0" borderId="0" xfId="0" applyNumberFormat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11" fontId="0" fillId="0" borderId="1" xfId="0" applyNumberForma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1" fontId="6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/>
    <xf numFmtId="11" fontId="6" fillId="0" borderId="0" xfId="0" applyNumberFormat="1" applyFont="1" applyAlignment="1">
      <alignment vertical="center" wrapText="1"/>
    </xf>
    <xf numFmtId="11" fontId="6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2" applyFont="1"/>
    <xf numFmtId="10" fontId="2" fillId="0" borderId="0" xfId="2" applyNumberFormat="1"/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D6" sqref="D6"/>
    </sheetView>
  </sheetViews>
  <sheetFormatPr baseColWidth="10" defaultRowHeight="16" x14ac:dyDescent="0.2"/>
  <cols>
    <col min="1" max="1" width="31.6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4</v>
      </c>
    </row>
    <row r="4" spans="1:7" x14ac:dyDescent="0.2">
      <c r="A4" s="4" t="s">
        <v>5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0.2</v>
      </c>
      <c r="D6" s="1"/>
    </row>
    <row r="7" spans="1:7" x14ac:dyDescent="0.2">
      <c r="A7" s="4" t="s">
        <v>6</v>
      </c>
      <c r="B7" s="3">
        <f ca="1">SUMIFS(INDIRECT(B$10&amp;"!$D$2:$D$34"), INDIRECT(B$10&amp;"!$B$2:$B$34"), "Solar PV")
+SUMIFS(INDIRECT(B$10&amp;"!$D$2:$D$34"), INDIRECT(B$10&amp;"!$B$2:$B$34"), "Offshore Wind")
+SUMIFS(INDIRECT(B$10&amp;"!$D$2:$D$34"), INDIRECT(B$10&amp;"!$B$2:$B$34"), "Onshore Wind")
+SUMIFS(INDIRECT(B$10&amp;"!$D$2:$D$34"), INDIRECT(B$10&amp;"!$B$2:$B$34"), "Large Hydro")
+SUMIFS(INDIRECT(B$10&amp;"!$D$2:$D$34"), INDIRECT(B$10&amp;"!$B$2:$B$34"), "Marine Energy")</f>
        <v>123437.01899999999</v>
      </c>
      <c r="D7" s="1"/>
    </row>
    <row r="8" spans="1:7" x14ac:dyDescent="0.2">
      <c r="A8" s="4" t="s">
        <v>17</v>
      </c>
      <c r="B8" s="3">
        <f ca="1">SUMIFS(INDIRECT(B$10&amp;"!$D$2:$D$34"), INDIRECT(B$10&amp;"!$B$2:$B$34"), "Battery Storage")
+SUMIFS(INDIRECT(B$10&amp;"!$D$2:$D$34"), INDIRECT(B$10&amp;"!$B$2:$B$34"), "Domestic Battery Storage")
+SUMIFS(INDIRECT(B$10&amp;"!$D$2:$D$34"), INDIRECT(B$10&amp;"!$B$2:$B$34"), "Liquid Air Energy Storage")+SUMIFS(INDIRECT(B$10&amp;"!$D$2:$D$34"), INDIRECT(B$10&amp;"!$B$2:$B$34"), "Pumped Storage Hydroelectricity")</f>
        <v>33087.675000000003</v>
      </c>
      <c r="D8" s="1"/>
    </row>
    <row r="10" spans="1:7" x14ac:dyDescent="0.2"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19</v>
      </c>
    </row>
    <row r="11" spans="1:7" x14ac:dyDescent="0.2">
      <c r="A11" s="4" t="s">
        <v>7</v>
      </c>
      <c r="B11" s="3">
        <f ca="1">SUMIFS(INDIRECT(B$10&amp;"!$J$2:$J$34"), INDIRECT(B$10&amp;"!$B$2:$B$34"), "Solar PV")
+SUMIFS(INDIRECT(B$10&amp;"!$J$2:$J$34"), INDIRECT(B$10&amp;"!$B$2:$B$34"), "Offshore Wind")
+SUMIFS(INDIRECT(B$10&amp;"!$J$2:$J$34"), INDIRECT(B$10&amp;"!$B$2:$B$34"), "Onshore Wind")
+SUMIFS(INDIRECT(B$10&amp;"!$J$2:$J$34"), INDIRECT(B$10&amp;"!$B$2:$B$34"), "Large Hydro")
+SUMIFS(INDIRECT(B$10&amp;"!$J$2:$J$34"), INDIRECT(B$10&amp;"!$B$2:$B$34"), "Marine Energy")</f>
        <v>11412215.559999999</v>
      </c>
      <c r="C11" s="3">
        <f t="shared" ref="C11:G11" ca="1" si="0">SUMIFS(INDIRECT(C$10&amp;"!$J$2:$J$34"), INDIRECT(C$10&amp;"!$B$2:$B$34"), "Solar PV")
+SUMIFS(INDIRECT(C$10&amp;"!$J$2:$J$34"), INDIRECT(C$10&amp;"!$B$2:$B$34"), "Offshore Wind")
+SUMIFS(INDIRECT(C$10&amp;"!$J$2:$J$34"), INDIRECT(C$10&amp;"!$B$2:$B$34"), "Onshore Wind")
+SUMIFS(INDIRECT(C$10&amp;"!$J$2:$J$34"), INDIRECT(C$10&amp;"!$B$2:$B$34"), "Large Hydro")
+SUMIFS(INDIRECT(C$10&amp;"!$J$2:$J$34"), INDIRECT(C$10&amp;"!$B$2:$B$34"), "Marine Energy")</f>
        <v>11384884.49</v>
      </c>
      <c r="D11" s="3">
        <f t="shared" ca="1" si="0"/>
        <v>11631524.700000001</v>
      </c>
      <c r="E11" s="3">
        <f t="shared" ca="1" si="0"/>
        <v>11705346.49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8</v>
      </c>
      <c r="B12" s="3">
        <f ca="1">SUMIFS(INDIRECT(B$10&amp;"!$J$2:$J$34"), INDIRECT(B$10&amp;"!$B$2:$B$34"), "Offshore Wind")</f>
        <v>6642041</v>
      </c>
      <c r="C12" s="3">
        <f t="shared" ref="C12:G12" ca="1" si="1">SUMIFS(INDIRECT(C$10&amp;"!$J$2:$J$34"), INDIRECT(C$10&amp;"!$B$2:$B$34"), "Offshore Wind")</f>
        <v>6615477</v>
      </c>
      <c r="D12" s="3">
        <f t="shared" ca="1" si="1"/>
        <v>6930775</v>
      </c>
      <c r="E12" s="3">
        <f t="shared" ca="1" si="1"/>
        <v>6816858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9</v>
      </c>
      <c r="B13" s="5">
        <f ca="1">SUMIFS(INDIRECT(B$10&amp;"!$J$2:$J$34"), INDIRECT(B$10&amp;"!$B$2:$B$34"), "Onshore Wind")</f>
        <v>3145740</v>
      </c>
      <c r="C13" s="5">
        <f t="shared" ref="C13:G13" ca="1" si="2">SUMIFS(INDIRECT(C$10&amp;"!$J$2:$J$34"), INDIRECT(C$10&amp;"!$B$2:$B$34"), "Onshore Wind")</f>
        <v>2920392</v>
      </c>
      <c r="D13" s="5">
        <f t="shared" ca="1" si="2"/>
        <v>3064199</v>
      </c>
      <c r="E13" s="5">
        <f t="shared" ca="1" si="2"/>
        <v>3168929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10</v>
      </c>
      <c r="B14" s="5">
        <f ca="1">SUMIFS(INDIRECT(B$10&amp;"!$J$2:$J$34"), INDIRECT(B$10&amp;"!$B$2:$B$34"), "Solar PV")</f>
        <v>1348080</v>
      </c>
      <c r="C14" s="5">
        <f t="shared" ref="C14:G14" ca="1" si="3">SUMIFS(INDIRECT(C$10&amp;"!$J$2:$J$34"), INDIRECT(C$10&amp;"!$B$2:$B$34"), "Solar PV")</f>
        <v>1570499</v>
      </c>
      <c r="D14" s="5">
        <f t="shared" ca="1" si="3"/>
        <v>1344158</v>
      </c>
      <c r="E14" s="5">
        <f t="shared" ca="1" si="3"/>
        <v>1412444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18</v>
      </c>
      <c r="B15" s="3">
        <f ca="1">-SUMIFS(INDIRECT(B$10&amp;"!$M$2:$M$34"), INDIRECT(B$10&amp;"!$B$2:$B$34"), "Data Centre")</f>
        <v>14118940</v>
      </c>
      <c r="C15" s="3">
        <f t="shared" ref="C15:G15" ca="1" si="4">-SUMIFS(INDIRECT(C$10&amp;"!$M$2:$M$34"), INDIRECT(C$10&amp;"!$B$2:$B$34"), "Data Centre")</f>
        <v>14097900</v>
      </c>
      <c r="D15" s="3">
        <f t="shared" ca="1" si="4"/>
        <v>14124690</v>
      </c>
      <c r="E15" s="3">
        <f t="shared" ca="1" si="4"/>
        <v>14080300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11</v>
      </c>
      <c r="B16" s="3">
        <v>81875276.025471702</v>
      </c>
      <c r="C16" s="3">
        <v>81501280.325065807</v>
      </c>
      <c r="D16" s="3">
        <v>81690989.652186498</v>
      </c>
      <c r="E16" s="3">
        <v>81316953.880585298</v>
      </c>
      <c r="F16" s="3" t="s">
        <v>89</v>
      </c>
      <c r="G16" s="3" t="s">
        <v>89</v>
      </c>
    </row>
    <row r="18" spans="1:7" x14ac:dyDescent="0.2">
      <c r="A18" s="20" t="s">
        <v>83</v>
      </c>
      <c r="C18" s="21">
        <f ca="1">1-C$11/$B$11</f>
        <v>2.3948960529447394E-3</v>
      </c>
      <c r="D18" s="21">
        <f t="shared" ref="D18:G18" ca="1" si="5">1-D$11/$B$11</f>
        <v>-1.9217052012992619E-2</v>
      </c>
      <c r="E18" s="21">
        <f t="shared" ca="1" si="5"/>
        <v>-2.5685716192343166E-2</v>
      </c>
      <c r="F18" s="21">
        <f t="shared" ca="1" si="5"/>
        <v>1</v>
      </c>
      <c r="G18" s="21">
        <f t="shared" ca="1" si="5"/>
        <v>1</v>
      </c>
    </row>
    <row r="19" spans="1:7" x14ac:dyDescent="0.2">
      <c r="A19" s="20" t="s">
        <v>84</v>
      </c>
      <c r="C19" s="21">
        <f ca="1">1-C$12/$B$12</f>
        <v>3.9993730842673436E-3</v>
      </c>
      <c r="D19" s="21">
        <f t="shared" ref="D19:G19" ca="1" si="6">1-D$12/$B$12</f>
        <v>-4.3470674149707955E-2</v>
      </c>
      <c r="E19" s="21">
        <f t="shared" ca="1" si="6"/>
        <v>-2.6319771287169003E-2</v>
      </c>
      <c r="F19" s="21">
        <f t="shared" ca="1" si="6"/>
        <v>1</v>
      </c>
      <c r="G19" s="21">
        <f t="shared" ca="1" si="6"/>
        <v>1</v>
      </c>
    </row>
    <row r="20" spans="1:7" x14ac:dyDescent="0.2">
      <c r="A20" s="20" t="s">
        <v>85</v>
      </c>
      <c r="C20" s="21">
        <f ca="1">1-C$13/$B$13</f>
        <v>7.163592668179819E-2</v>
      </c>
      <c r="D20" s="21">
        <f t="shared" ref="D20:G20" ca="1" si="7">1-D$13/$B$13</f>
        <v>2.5921086930261295E-2</v>
      </c>
      <c r="E20" s="21">
        <f t="shared" ca="1" si="7"/>
        <v>-7.3715564541252387E-3</v>
      </c>
      <c r="F20" s="21">
        <f t="shared" ca="1" si="7"/>
        <v>1</v>
      </c>
      <c r="G20" s="21">
        <f t="shared" ca="1" si="7"/>
        <v>1</v>
      </c>
    </row>
    <row r="21" spans="1:7" x14ac:dyDescent="0.2">
      <c r="A21" s="20" t="s">
        <v>86</v>
      </c>
      <c r="C21" s="21">
        <f ca="1">1-C$14/$B$14</f>
        <v>-0.1649894665005045</v>
      </c>
      <c r="D21" s="21">
        <f t="shared" ref="D21:G21" ca="1" si="8">1-D$14/$B$14</f>
        <v>2.909322888849375E-3</v>
      </c>
      <c r="E21" s="21">
        <f t="shared" ca="1" si="8"/>
        <v>-4.7744940953059256E-2</v>
      </c>
      <c r="F21" s="21">
        <f t="shared" ca="1" si="8"/>
        <v>1</v>
      </c>
      <c r="G21" s="21">
        <f t="shared" ca="1" si="8"/>
        <v>1</v>
      </c>
    </row>
    <row r="22" spans="1:7" x14ac:dyDescent="0.2">
      <c r="A22" s="20" t="s">
        <v>87</v>
      </c>
      <c r="C22" s="21">
        <f ca="1">1-C$15/$B$15</f>
        <v>1.4901968561379375E-3</v>
      </c>
      <c r="D22" s="21">
        <f t="shared" ref="D22:G22" ca="1" si="9">1-D$15/$B$15</f>
        <v>-4.0725436895394651E-4</v>
      </c>
      <c r="E22" s="21">
        <f t="shared" ca="1" si="9"/>
        <v>2.7367493593711822E-3</v>
      </c>
      <c r="F22" s="21">
        <f t="shared" ca="1" si="9"/>
        <v>1</v>
      </c>
      <c r="G22" s="21">
        <f t="shared" ca="1" si="9"/>
        <v>1</v>
      </c>
    </row>
    <row r="23" spans="1:7" x14ac:dyDescent="0.2">
      <c r="A23" s="20" t="s">
        <v>88</v>
      </c>
      <c r="C23" s="21">
        <f>1-C$16/$B$16</f>
        <v>4.5678710174917869E-3</v>
      </c>
      <c r="D23" s="21">
        <f t="shared" ref="D23:G23" si="10">1-D$16/$B$16</f>
        <v>2.2508183450626884E-3</v>
      </c>
      <c r="E23" s="21">
        <f t="shared" si="10"/>
        <v>6.8191787800838677E-3</v>
      </c>
      <c r="F23" s="21" t="e">
        <f t="shared" si="10"/>
        <v>#VALUE!</v>
      </c>
      <c r="G23" s="21" t="e">
        <f t="shared" si="10"/>
        <v>#VALUE!</v>
      </c>
    </row>
  </sheetData>
  <conditionalFormatting sqref="B11:G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61C0-06D4-3F48-AF1D-68A887B67260}">
  <dimension ref="A1:N42"/>
  <sheetViews>
    <sheetView topLeftCell="A20" workbookViewId="0">
      <selection activeCell="D48" sqref="D48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x14ac:dyDescent="0.2">
      <c r="A6" s="23"/>
      <c r="B6" s="15" t="s">
        <v>61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3">
        <v>13695</v>
      </c>
      <c r="D7" s="13">
        <v>13695</v>
      </c>
      <c r="E7" s="14">
        <v>3571751</v>
      </c>
      <c r="F7" s="14">
        <v>0</v>
      </c>
      <c r="G7" s="14">
        <v>3571751</v>
      </c>
      <c r="H7" s="14">
        <v>0</v>
      </c>
      <c r="I7" s="13">
        <v>0.119362</v>
      </c>
      <c r="J7" s="14">
        <v>26351820</v>
      </c>
      <c r="K7" s="13">
        <v>0</v>
      </c>
      <c r="L7" s="14">
        <v>40697210</v>
      </c>
      <c r="M7" s="14">
        <v>40697210</v>
      </c>
      <c r="N7" s="13">
        <v>11.394189000000001</v>
      </c>
    </row>
    <row r="8" spans="1:14" x14ac:dyDescent="0.2">
      <c r="A8" s="23"/>
      <c r="B8" s="15" t="s">
        <v>59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3">
        <v>11</v>
      </c>
      <c r="D9" s="13">
        <v>11</v>
      </c>
      <c r="E9" s="14">
        <v>4643.509</v>
      </c>
      <c r="F9" s="14">
        <v>0</v>
      </c>
      <c r="G9" s="14">
        <v>4643.509</v>
      </c>
      <c r="H9" s="14">
        <v>0</v>
      </c>
      <c r="I9" s="13">
        <v>0.19319800000000001</v>
      </c>
      <c r="J9" s="14">
        <v>19391.490000000002</v>
      </c>
      <c r="K9" s="13">
        <v>0</v>
      </c>
      <c r="L9" s="14">
        <v>57858.12</v>
      </c>
      <c r="M9" s="14">
        <v>99256.85</v>
      </c>
      <c r="N9" s="13">
        <v>21.375356</v>
      </c>
    </row>
    <row r="10" spans="1:14" x14ac:dyDescent="0.2">
      <c r="A10" s="23"/>
      <c r="B10" s="15" t="s">
        <v>57</v>
      </c>
      <c r="C10" s="13">
        <v>834.51107000000002</v>
      </c>
      <c r="D10" s="13">
        <v>834.51107000000002</v>
      </c>
      <c r="E10" s="14">
        <v>1327.7829999999999</v>
      </c>
      <c r="F10" s="14">
        <v>0</v>
      </c>
      <c r="G10" s="14">
        <v>1327.7829999999999</v>
      </c>
      <c r="H10" s="14">
        <v>0</v>
      </c>
      <c r="I10" s="13">
        <v>7.2800000000000002E-4</v>
      </c>
      <c r="J10" s="14">
        <v>1822079</v>
      </c>
      <c r="K10" s="13">
        <v>0</v>
      </c>
      <c r="L10" s="14">
        <v>71700.3</v>
      </c>
      <c r="M10" s="14">
        <v>71876.929999999993</v>
      </c>
      <c r="N10" s="13">
        <v>54.133128999999997</v>
      </c>
    </row>
    <row r="11" spans="1:14" x14ac:dyDescent="0.2">
      <c r="A11" s="23"/>
      <c r="B11" s="15" t="s">
        <v>56</v>
      </c>
      <c r="C11" s="13">
        <v>1897.296</v>
      </c>
      <c r="D11" s="13">
        <v>1897.296</v>
      </c>
      <c r="E11" s="14">
        <v>1417072</v>
      </c>
      <c r="F11" s="14">
        <v>0</v>
      </c>
      <c r="G11" s="14">
        <v>1417072</v>
      </c>
      <c r="H11" s="14">
        <v>0</v>
      </c>
      <c r="I11" s="13">
        <v>0.34182600000000002</v>
      </c>
      <c r="J11" s="14">
        <v>241164.7</v>
      </c>
      <c r="K11" s="13">
        <v>0</v>
      </c>
      <c r="L11" s="14">
        <v>0</v>
      </c>
      <c r="M11" s="14">
        <v>9471836</v>
      </c>
      <c r="N11" s="13">
        <v>6.6840890000000002</v>
      </c>
    </row>
    <row r="12" spans="1:14" x14ac:dyDescent="0.2">
      <c r="A12" s="23"/>
      <c r="B12" s="15" t="s">
        <v>55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3">
        <v>254.358</v>
      </c>
      <c r="D13" s="13">
        <v>254.358</v>
      </c>
      <c r="E13" s="14">
        <v>238579.7</v>
      </c>
      <c r="F13" s="14">
        <v>0</v>
      </c>
      <c r="G13" s="14">
        <v>238579.7</v>
      </c>
      <c r="H13" s="14">
        <v>0</v>
      </c>
      <c r="I13" s="13">
        <v>0.42927599999999999</v>
      </c>
      <c r="J13" s="14">
        <v>35189.86</v>
      </c>
      <c r="K13" s="13">
        <v>0</v>
      </c>
      <c r="L13" s="14">
        <v>0</v>
      </c>
      <c r="M13" s="14">
        <v>2000389</v>
      </c>
      <c r="N13" s="13">
        <v>8.3845720000000004</v>
      </c>
    </row>
    <row r="14" spans="1:14" x14ac:dyDescent="0.2">
      <c r="A14" s="23"/>
      <c r="B14" s="15" t="s">
        <v>53</v>
      </c>
      <c r="C14" s="13">
        <v>4570</v>
      </c>
      <c r="D14" s="13">
        <v>4570</v>
      </c>
      <c r="E14" s="14">
        <v>4061356</v>
      </c>
      <c r="F14" s="14">
        <v>0</v>
      </c>
      <c r="G14" s="14">
        <v>4061356</v>
      </c>
      <c r="H14" s="14">
        <v>0</v>
      </c>
      <c r="I14" s="13">
        <v>0.40672700000000001</v>
      </c>
      <c r="J14" s="14">
        <v>5924094</v>
      </c>
      <c r="K14" s="13">
        <v>0</v>
      </c>
      <c r="L14" s="14">
        <v>40613560</v>
      </c>
      <c r="M14" s="14">
        <v>68047740</v>
      </c>
      <c r="N14" s="13">
        <v>16.754933000000001</v>
      </c>
    </row>
    <row r="15" spans="1:14" x14ac:dyDescent="0.2">
      <c r="A15" s="23"/>
      <c r="B15" s="15" t="s">
        <v>52</v>
      </c>
      <c r="C15" s="13">
        <v>53544.201999999997</v>
      </c>
      <c r="D15" s="13">
        <v>53544.201999999997</v>
      </c>
      <c r="E15" s="14">
        <v>25472810</v>
      </c>
      <c r="F15" s="14">
        <v>0</v>
      </c>
      <c r="G15" s="14">
        <v>25472810</v>
      </c>
      <c r="H15" s="14">
        <v>0</v>
      </c>
      <c r="I15" s="13">
        <v>0.217727</v>
      </c>
      <c r="J15" s="14">
        <v>6642041</v>
      </c>
      <c r="K15" s="13">
        <v>0</v>
      </c>
      <c r="L15" s="14">
        <v>0</v>
      </c>
      <c r="M15" s="14">
        <v>102405100</v>
      </c>
      <c r="N15" s="13">
        <v>4.0201739999999999</v>
      </c>
    </row>
    <row r="16" spans="1:14" x14ac:dyDescent="0.2">
      <c r="A16" s="23"/>
      <c r="B16" s="15" t="s">
        <v>51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ht="30" customHeight="1" x14ac:dyDescent="0.2">
      <c r="A17" s="23"/>
      <c r="B17" s="15" t="s">
        <v>50</v>
      </c>
      <c r="C17" s="13">
        <v>27270.741000000002</v>
      </c>
      <c r="D17" s="13">
        <v>27270.741000000002</v>
      </c>
      <c r="E17" s="14">
        <v>11189390</v>
      </c>
      <c r="F17" s="14">
        <v>0</v>
      </c>
      <c r="G17" s="14">
        <v>11189390</v>
      </c>
      <c r="H17" s="14">
        <v>0</v>
      </c>
      <c r="I17" s="13">
        <v>0.18778400000000001</v>
      </c>
      <c r="J17" s="14">
        <v>3145740</v>
      </c>
      <c r="K17" s="13">
        <v>0</v>
      </c>
      <c r="L17" s="14">
        <v>0</v>
      </c>
      <c r="M17" s="14">
        <v>42150350</v>
      </c>
      <c r="N17" s="13">
        <v>3.7669920000000001</v>
      </c>
    </row>
    <row r="18" spans="1:14" x14ac:dyDescent="0.2">
      <c r="A18" s="23"/>
      <c r="B18" s="15" t="s">
        <v>49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3">
        <v>40470.421999999999</v>
      </c>
      <c r="D20" s="13">
        <v>40470.421999999999</v>
      </c>
      <c r="E20" s="14">
        <v>13217460</v>
      </c>
      <c r="F20" s="14">
        <v>0</v>
      </c>
      <c r="G20" s="14">
        <v>13217460</v>
      </c>
      <c r="H20" s="14">
        <v>0</v>
      </c>
      <c r="I20" s="13">
        <v>0.14947199999999999</v>
      </c>
      <c r="J20" s="14">
        <v>1348080</v>
      </c>
      <c r="K20" s="13">
        <v>0</v>
      </c>
      <c r="L20" s="14">
        <v>0</v>
      </c>
      <c r="M20" s="14">
        <v>90278670</v>
      </c>
      <c r="N20" s="13">
        <v>6.8302579999999997</v>
      </c>
    </row>
    <row r="21" spans="1:14" x14ac:dyDescent="0.2">
      <c r="A21" s="24"/>
      <c r="B21" s="15" t="s">
        <v>46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3">
        <v>230800</v>
      </c>
      <c r="D22" s="13">
        <v>230800</v>
      </c>
      <c r="E22" s="14">
        <v>35023140</v>
      </c>
      <c r="F22" s="14">
        <v>21829910</v>
      </c>
      <c r="G22" s="14">
        <v>13193230</v>
      </c>
      <c r="H22" s="14">
        <v>-13193230</v>
      </c>
      <c r="I22" s="13">
        <v>0.112737</v>
      </c>
      <c r="J22" s="14">
        <v>0</v>
      </c>
      <c r="K22" s="13">
        <v>0</v>
      </c>
      <c r="L22" s="14">
        <v>0</v>
      </c>
      <c r="M22" s="14">
        <v>135731500</v>
      </c>
      <c r="N22" s="13">
        <v>2.38741</v>
      </c>
    </row>
    <row r="23" spans="1:14" x14ac:dyDescent="0.2">
      <c r="A23" s="22" t="s">
        <v>43</v>
      </c>
      <c r="B23" s="15" t="s">
        <v>42</v>
      </c>
      <c r="C23" s="13">
        <v>12450</v>
      </c>
      <c r="D23" s="13">
        <v>12450</v>
      </c>
      <c r="E23" s="14">
        <v>9549085</v>
      </c>
      <c r="F23" s="14">
        <v>5885750</v>
      </c>
      <c r="G23" s="14">
        <v>3663335</v>
      </c>
      <c r="H23" s="14">
        <v>-3663335</v>
      </c>
      <c r="I23" s="13">
        <v>0.56738900000000003</v>
      </c>
      <c r="J23" s="14">
        <v>30866580</v>
      </c>
      <c r="K23" s="13">
        <v>0</v>
      </c>
      <c r="L23" s="14">
        <v>0</v>
      </c>
      <c r="M23" s="14">
        <v>70784100</v>
      </c>
      <c r="N23" s="13">
        <v>4.5859969999999999</v>
      </c>
    </row>
    <row r="24" spans="1:14" x14ac:dyDescent="0.2">
      <c r="A24" s="23"/>
      <c r="B24" s="15" t="s">
        <v>41</v>
      </c>
      <c r="C24" s="13">
        <v>3653.0947500000002</v>
      </c>
      <c r="D24" s="13">
        <v>3653.0947500000002</v>
      </c>
      <c r="E24" s="14">
        <v>0</v>
      </c>
      <c r="F24" s="14">
        <v>134827.9</v>
      </c>
      <c r="G24" s="14">
        <v>-134827.9</v>
      </c>
      <c r="H24" s="14">
        <v>0</v>
      </c>
      <c r="I24" s="13">
        <v>1.6891E-2</v>
      </c>
      <c r="J24" s="14">
        <v>7847184</v>
      </c>
      <c r="K24" s="13">
        <v>0</v>
      </c>
      <c r="L24" s="14">
        <v>0</v>
      </c>
      <c r="M24" s="14">
        <v>0</v>
      </c>
      <c r="N24" s="13" t="s">
        <v>29</v>
      </c>
    </row>
    <row r="25" spans="1:14" x14ac:dyDescent="0.2">
      <c r="A25" s="24"/>
      <c r="B25" s="15" t="s">
        <v>40</v>
      </c>
      <c r="C25" s="13">
        <v>278.38099999999997</v>
      </c>
      <c r="D25" s="13">
        <v>278.38099999999997</v>
      </c>
      <c r="E25" s="14">
        <v>0</v>
      </c>
      <c r="F25" s="14">
        <v>86990.56</v>
      </c>
      <c r="G25" s="14">
        <v>-86990.56</v>
      </c>
      <c r="H25" s="14">
        <v>0</v>
      </c>
      <c r="I25" s="13">
        <v>0.143015</v>
      </c>
      <c r="J25" s="14">
        <v>521271.9</v>
      </c>
      <c r="K25" s="13">
        <v>0</v>
      </c>
      <c r="L25" s="14">
        <v>434952.8</v>
      </c>
      <c r="M25" s="14">
        <v>0</v>
      </c>
      <c r="N25" s="13" t="s">
        <v>29</v>
      </c>
    </row>
    <row r="26" spans="1:14" x14ac:dyDescent="0.2">
      <c r="A26" s="22" t="s">
        <v>39</v>
      </c>
      <c r="B26" s="15" t="s">
        <v>38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29</v>
      </c>
      <c r="J26" s="14">
        <v>0</v>
      </c>
      <c r="K26" s="13">
        <v>0</v>
      </c>
      <c r="L26" s="14">
        <v>0</v>
      </c>
      <c r="M26" s="14">
        <v>-14118940</v>
      </c>
      <c r="N26" s="13">
        <v>-7.5199040000000004</v>
      </c>
    </row>
    <row r="27" spans="1:14" x14ac:dyDescent="0.2">
      <c r="A27" s="24"/>
      <c r="B27" s="15" t="s">
        <v>37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-411891500</v>
      </c>
      <c r="N27" s="13">
        <v>-7.8939170000000001</v>
      </c>
    </row>
    <row r="28" spans="1:14" ht="16" customHeight="1" x14ac:dyDescent="0.2">
      <c r="A28" s="22" t="s">
        <v>36</v>
      </c>
      <c r="B28" s="15" t="s">
        <v>35</v>
      </c>
      <c r="C28" s="13">
        <v>26471.973000000002</v>
      </c>
      <c r="D28" s="13">
        <v>26471.973000000002</v>
      </c>
      <c r="E28" s="14">
        <v>2729198</v>
      </c>
      <c r="F28" s="14">
        <v>6114821</v>
      </c>
      <c r="G28" s="14">
        <v>-3385623</v>
      </c>
      <c r="H28" s="14">
        <v>0</v>
      </c>
      <c r="I28" s="13">
        <v>0.15290200000000001</v>
      </c>
      <c r="J28" s="14">
        <v>61226880</v>
      </c>
      <c r="K28" s="13">
        <v>0</v>
      </c>
      <c r="L28" s="14">
        <v>0</v>
      </c>
      <c r="M28" s="14">
        <v>16741690</v>
      </c>
      <c r="N28" s="13">
        <v>1.8929959999999999</v>
      </c>
    </row>
    <row r="29" spans="1:14" x14ac:dyDescent="0.2">
      <c r="A29" s="23"/>
      <c r="B29" s="15" t="s">
        <v>34</v>
      </c>
      <c r="C29" s="13">
        <v>857.70799999999997</v>
      </c>
      <c r="D29" s="13">
        <v>857.70799999999997</v>
      </c>
      <c r="E29" s="14">
        <v>142784.79999999999</v>
      </c>
      <c r="F29" s="14">
        <v>270758.7</v>
      </c>
      <c r="G29" s="14">
        <v>-127974</v>
      </c>
      <c r="H29" s="14">
        <v>0</v>
      </c>
      <c r="I29" s="13">
        <v>0.220663</v>
      </c>
      <c r="J29" s="14">
        <v>2002066</v>
      </c>
      <c r="K29" s="13">
        <v>0</v>
      </c>
      <c r="L29" s="14">
        <v>0</v>
      </c>
      <c r="M29" s="14">
        <v>548921.5</v>
      </c>
      <c r="N29" s="13">
        <v>1.327361</v>
      </c>
    </row>
    <row r="30" spans="1:14" x14ac:dyDescent="0.2">
      <c r="A30" s="23"/>
      <c r="B30" s="15" t="s">
        <v>33</v>
      </c>
      <c r="C30" s="13">
        <v>457.99400000000003</v>
      </c>
      <c r="D30" s="13">
        <v>457.99400000000003</v>
      </c>
      <c r="E30" s="14">
        <v>31042.26</v>
      </c>
      <c r="F30" s="14">
        <v>250613</v>
      </c>
      <c r="G30" s="14">
        <v>-219570.7</v>
      </c>
      <c r="H30" s="14">
        <v>0</v>
      </c>
      <c r="I30" s="13">
        <v>0.28145300000000001</v>
      </c>
      <c r="J30" s="14">
        <v>1220288</v>
      </c>
      <c r="K30" s="13">
        <v>0</v>
      </c>
      <c r="L30" s="14">
        <v>0</v>
      </c>
      <c r="M30" s="14">
        <v>549749.4</v>
      </c>
      <c r="N30" s="13">
        <v>1.9518519999999999</v>
      </c>
    </row>
    <row r="31" spans="1:14" ht="30" x14ac:dyDescent="0.2">
      <c r="A31" s="24"/>
      <c r="B31" s="15" t="s">
        <v>32</v>
      </c>
      <c r="C31" s="13">
        <v>5300</v>
      </c>
      <c r="D31" s="13">
        <v>5300</v>
      </c>
      <c r="E31" s="14">
        <v>846578.6</v>
      </c>
      <c r="F31" s="14">
        <v>2232174</v>
      </c>
      <c r="G31" s="14">
        <v>-1385595</v>
      </c>
      <c r="H31" s="14">
        <v>0</v>
      </c>
      <c r="I31" s="13">
        <v>0.26585700000000001</v>
      </c>
      <c r="J31" s="14">
        <v>12966100</v>
      </c>
      <c r="K31" s="13">
        <v>0</v>
      </c>
      <c r="L31" s="14">
        <v>0</v>
      </c>
      <c r="M31" s="14">
        <v>10545950</v>
      </c>
      <c r="N31" s="13">
        <v>3.4253960000000001</v>
      </c>
    </row>
    <row r="32" spans="1:14" x14ac:dyDescent="0.2">
      <c r="A32" s="15" t="s">
        <v>31</v>
      </c>
      <c r="B32" s="15" t="s">
        <v>30</v>
      </c>
      <c r="C32" s="13">
        <v>46768.008000000002</v>
      </c>
      <c r="D32" s="13">
        <v>46768.008000000002</v>
      </c>
      <c r="E32" s="14">
        <v>86120.38</v>
      </c>
      <c r="F32" s="14">
        <v>93509.37</v>
      </c>
      <c r="G32" s="14">
        <v>-7388.9840000000004</v>
      </c>
      <c r="H32" s="14">
        <v>0</v>
      </c>
      <c r="I32" s="13">
        <v>0.72307699999999997</v>
      </c>
      <c r="J32" s="14">
        <v>0</v>
      </c>
      <c r="K32" s="13">
        <v>0</v>
      </c>
      <c r="L32" s="14">
        <v>0</v>
      </c>
      <c r="M32" s="14">
        <v>0</v>
      </c>
      <c r="N32" s="13" t="s">
        <v>29</v>
      </c>
    </row>
    <row r="33" spans="1:14" x14ac:dyDescent="0.2">
      <c r="I33" s="12" t="s">
        <v>28</v>
      </c>
      <c r="J33" s="11">
        <f>SUM(J2:J30)</f>
        <v>312453256.65000004</v>
      </c>
      <c r="K33" s="10" t="s">
        <v>27</v>
      </c>
      <c r="L33" s="8">
        <f>SUM(L1:L30)</f>
        <v>81875281.219999984</v>
      </c>
      <c r="M33" s="8">
        <f>SUM(M1:M30)</f>
        <v>153567949.67999998</v>
      </c>
      <c r="N33" s="8">
        <f>SUM(N1:N30)</f>
        <v>130.07548699999998</v>
      </c>
    </row>
    <row r="34" spans="1:14" x14ac:dyDescent="0.2">
      <c r="I34" s="9" t="s">
        <v>26</v>
      </c>
      <c r="J34" s="8">
        <f>SUM(J15,J17)</f>
        <v>9787781</v>
      </c>
    </row>
    <row r="35" spans="1:14" x14ac:dyDescent="0.2">
      <c r="I35" s="9" t="s">
        <v>25</v>
      </c>
      <c r="J35" s="8">
        <f>SUM(J20)</f>
        <v>1348080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22</v>
      </c>
      <c r="C40" s="8">
        <f>SUMIFS($J$2:$J$34,$B$2:$B$34, "Solar PV")+SUMIFS($J$2:$J$34,$B$2:$B$34, "Offshore Wind")+SUMIFS($J$2:$J$34,$B$2:$B$34, "Onshore Wind")+SUMIFS($J$2:$J$34,$B$2:$B$34, "Sewage Gas")</f>
        <v>11257826.4</v>
      </c>
    </row>
    <row r="41" spans="1:14" x14ac:dyDescent="0.2">
      <c r="A41" t="s">
        <v>21</v>
      </c>
      <c r="C41" s="8">
        <f>SUMIFS($J$2:$J$34,$B$2:$B$34, "Offshore Wind")+SUMIFS($J$2:$J$34,$B$2:$B$34, "Onshore Wind")</f>
        <v>9787781</v>
      </c>
    </row>
    <row r="42" spans="1:14" x14ac:dyDescent="0.2">
      <c r="A42" t="s">
        <v>20</v>
      </c>
      <c r="C42" s="8">
        <f>-$M$26</f>
        <v>14118940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F262-5BBC-A445-BB30-0BD27E566EE6}">
  <dimension ref="A1:N42"/>
  <sheetViews>
    <sheetView topLeftCell="A16" workbookViewId="0">
      <selection activeCell="D48" sqref="D48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3544252</v>
      </c>
      <c r="F7" s="14">
        <v>0</v>
      </c>
      <c r="G7" s="14">
        <v>3544252</v>
      </c>
      <c r="H7" s="14">
        <v>0</v>
      </c>
      <c r="I7" s="13">
        <v>0.11844300000000001</v>
      </c>
      <c r="J7" s="14">
        <v>26379320</v>
      </c>
      <c r="K7" s="13">
        <v>0</v>
      </c>
      <c r="L7" s="14">
        <v>40348850</v>
      </c>
      <c r="M7" s="14">
        <v>40348850</v>
      </c>
      <c r="N7" s="13">
        <v>11.384308000000001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4559.6049999999996</v>
      </c>
      <c r="F9" s="14">
        <v>0</v>
      </c>
      <c r="G9" s="14">
        <v>4559.6049999999996</v>
      </c>
      <c r="H9" s="14">
        <v>0</v>
      </c>
      <c r="I9" s="13">
        <v>0.18970699999999999</v>
      </c>
      <c r="J9" s="14">
        <v>19475.39</v>
      </c>
      <c r="K9" s="13">
        <v>0</v>
      </c>
      <c r="L9" s="14">
        <v>56812.68</v>
      </c>
      <c r="M9" s="14">
        <v>97821.15</v>
      </c>
      <c r="N9" s="13">
        <v>21.453818999999999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985.98009999999999</v>
      </c>
      <c r="F10" s="14">
        <v>0</v>
      </c>
      <c r="G10" s="14">
        <v>985.98009999999999</v>
      </c>
      <c r="H10" s="14">
        <v>0</v>
      </c>
      <c r="I10" s="13">
        <v>5.4100000000000003E-4</v>
      </c>
      <c r="J10" s="14">
        <v>1822421</v>
      </c>
      <c r="K10" s="13">
        <v>0</v>
      </c>
      <c r="L10" s="14">
        <v>53242.93</v>
      </c>
      <c r="M10" s="14">
        <v>53415.83</v>
      </c>
      <c r="N10" s="13">
        <v>54.175313000000003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1416387</v>
      </c>
      <c r="F11" s="14">
        <v>0</v>
      </c>
      <c r="G11" s="14">
        <v>1416387</v>
      </c>
      <c r="H11" s="14">
        <v>0</v>
      </c>
      <c r="I11" s="13">
        <v>0.34166099999999999</v>
      </c>
      <c r="J11" s="14">
        <v>241849.9</v>
      </c>
      <c r="K11" s="13">
        <v>0</v>
      </c>
      <c r="L11" s="14">
        <v>0</v>
      </c>
      <c r="M11" s="14">
        <v>9439016</v>
      </c>
      <c r="N11" s="13">
        <v>6.6641510000000004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237103</v>
      </c>
      <c r="F13" s="14">
        <v>0</v>
      </c>
      <c r="G13" s="14">
        <v>237103</v>
      </c>
      <c r="H13" s="14">
        <v>0</v>
      </c>
      <c r="I13" s="13">
        <v>0.42661900000000003</v>
      </c>
      <c r="J13" s="14">
        <v>36666.589999999997</v>
      </c>
      <c r="K13" s="13">
        <v>0</v>
      </c>
      <c r="L13" s="14">
        <v>0</v>
      </c>
      <c r="M13" s="14">
        <v>1996544</v>
      </c>
      <c r="N13" s="13">
        <v>8.4205780000000008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4060086</v>
      </c>
      <c r="F14" s="14">
        <v>0</v>
      </c>
      <c r="G14" s="14">
        <v>4060086</v>
      </c>
      <c r="H14" s="14">
        <v>0</v>
      </c>
      <c r="I14" s="13">
        <v>0.40660000000000002</v>
      </c>
      <c r="J14" s="14">
        <v>5925364</v>
      </c>
      <c r="K14" s="13">
        <v>0</v>
      </c>
      <c r="L14" s="14">
        <v>40600860</v>
      </c>
      <c r="M14" s="14">
        <v>67848500</v>
      </c>
      <c r="N14" s="13">
        <v>16.711099999999998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25499370</v>
      </c>
      <c r="F15" s="14">
        <v>0</v>
      </c>
      <c r="G15" s="14">
        <v>25499370</v>
      </c>
      <c r="H15" s="14">
        <v>0</v>
      </c>
      <c r="I15" s="13">
        <v>0.21795400000000001</v>
      </c>
      <c r="J15" s="14">
        <v>6615477</v>
      </c>
      <c r="K15" s="13">
        <v>0</v>
      </c>
      <c r="L15" s="14">
        <v>0</v>
      </c>
      <c r="M15" s="14">
        <v>102437800</v>
      </c>
      <c r="N15" s="13">
        <v>4.0172679999999996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11414740</v>
      </c>
      <c r="F17" s="14">
        <v>0</v>
      </c>
      <c r="G17" s="14">
        <v>11414740</v>
      </c>
      <c r="H17" s="14">
        <v>0</v>
      </c>
      <c r="I17" s="13">
        <v>0.19156599999999999</v>
      </c>
      <c r="J17" s="14">
        <v>2920392</v>
      </c>
      <c r="K17" s="13">
        <v>0</v>
      </c>
      <c r="L17" s="14">
        <v>0</v>
      </c>
      <c r="M17" s="14">
        <v>42126150</v>
      </c>
      <c r="N17" s="13">
        <v>3.6905039999999998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12995040</v>
      </c>
      <c r="F20" s="14">
        <v>0</v>
      </c>
      <c r="G20" s="14">
        <v>12995040</v>
      </c>
      <c r="H20" s="14">
        <v>0</v>
      </c>
      <c r="I20" s="13">
        <v>0.146956</v>
      </c>
      <c r="J20" s="14">
        <v>1570499</v>
      </c>
      <c r="K20" s="13">
        <v>0</v>
      </c>
      <c r="L20" s="14">
        <v>0</v>
      </c>
      <c r="M20" s="14">
        <v>90210550</v>
      </c>
      <c r="N20" s="13">
        <v>6.9419209999999998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35364110</v>
      </c>
      <c r="F22" s="14">
        <v>21540860</v>
      </c>
      <c r="G22" s="14">
        <v>13823250</v>
      </c>
      <c r="H22" s="14">
        <v>-13823250</v>
      </c>
      <c r="I22" s="13">
        <v>0.11284</v>
      </c>
      <c r="J22" s="14">
        <v>0</v>
      </c>
      <c r="K22" s="13">
        <v>0</v>
      </c>
      <c r="L22" s="14">
        <v>0</v>
      </c>
      <c r="M22" s="14">
        <v>133319500</v>
      </c>
      <c r="N22" s="13">
        <v>2.3428450000000001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9582992</v>
      </c>
      <c r="F23" s="14">
        <v>5947862</v>
      </c>
      <c r="G23" s="14">
        <v>3635130</v>
      </c>
      <c r="H23" s="14">
        <v>-3635130</v>
      </c>
      <c r="I23" s="13">
        <v>0.57091899999999995</v>
      </c>
      <c r="J23" s="14">
        <v>30838380</v>
      </c>
      <c r="K23" s="13">
        <v>0</v>
      </c>
      <c r="L23" s="14">
        <v>0</v>
      </c>
      <c r="M23" s="14">
        <v>70335700</v>
      </c>
      <c r="N23" s="13">
        <v>4.528772</v>
      </c>
    </row>
    <row r="24" spans="1:14" x14ac:dyDescent="0.2">
      <c r="A24" s="23"/>
      <c r="B24" s="15" t="s">
        <v>79</v>
      </c>
      <c r="C24" s="14">
        <v>26000000</v>
      </c>
      <c r="D24" s="14">
        <v>26000000</v>
      </c>
      <c r="E24" s="14">
        <v>0</v>
      </c>
      <c r="F24" s="14">
        <v>109235.3</v>
      </c>
      <c r="G24" s="14">
        <v>-109235.3</v>
      </c>
      <c r="H24" s="14">
        <v>0</v>
      </c>
      <c r="I24" s="13">
        <v>1.9999999999999999E-6</v>
      </c>
      <c r="J24" s="14">
        <v>56809890000</v>
      </c>
      <c r="K24" s="13">
        <v>0</v>
      </c>
      <c r="L24" s="14">
        <v>1.0923499999999999</v>
      </c>
      <c r="M24" s="14">
        <v>-882868.5</v>
      </c>
      <c r="N24" s="13">
        <v>-8.0822660000000006</v>
      </c>
    </row>
    <row r="25" spans="1:14" x14ac:dyDescent="0.2">
      <c r="A25" s="23"/>
      <c r="B25" s="15" t="s">
        <v>41</v>
      </c>
      <c r="C25" s="14">
        <v>3653.0949999999998</v>
      </c>
      <c r="D25" s="14">
        <v>3653.0949999999998</v>
      </c>
      <c r="E25" s="14">
        <v>0</v>
      </c>
      <c r="F25" s="14">
        <v>131416.1</v>
      </c>
      <c r="G25" s="14">
        <v>-131416.1</v>
      </c>
      <c r="H25" s="14">
        <v>0</v>
      </c>
      <c r="I25" s="13">
        <v>1.6463999999999999E-2</v>
      </c>
      <c r="J25" s="14">
        <v>7850596</v>
      </c>
      <c r="K25" s="13">
        <v>0</v>
      </c>
      <c r="L25" s="14">
        <v>0</v>
      </c>
      <c r="M25" s="14">
        <v>0</v>
      </c>
      <c r="N25" s="13" t="s">
        <v>29</v>
      </c>
    </row>
    <row r="26" spans="1:14" x14ac:dyDescent="0.2">
      <c r="A26" s="24"/>
      <c r="B26" s="15" t="s">
        <v>40</v>
      </c>
      <c r="C26" s="14">
        <v>278.38099999999997</v>
      </c>
      <c r="D26" s="14">
        <v>278.38099999999997</v>
      </c>
      <c r="E26" s="14">
        <v>0</v>
      </c>
      <c r="F26" s="14">
        <v>88302.75</v>
      </c>
      <c r="G26" s="14">
        <v>-88302.75</v>
      </c>
      <c r="H26" s="14">
        <v>0</v>
      </c>
      <c r="I26" s="13">
        <v>0.145172</v>
      </c>
      <c r="J26" s="14">
        <v>519959.7</v>
      </c>
      <c r="K26" s="13">
        <v>0</v>
      </c>
      <c r="L26" s="14">
        <v>441513.7</v>
      </c>
      <c r="M26" s="14">
        <v>0</v>
      </c>
      <c r="N26" s="13" t="s">
        <v>29</v>
      </c>
    </row>
    <row r="27" spans="1:14" x14ac:dyDescent="0.2">
      <c r="A27" s="22" t="s">
        <v>39</v>
      </c>
      <c r="B27" s="15" t="s">
        <v>38</v>
      </c>
      <c r="C27" s="14">
        <v>0</v>
      </c>
      <c r="D27" s="14">
        <v>0</v>
      </c>
      <c r="E27" s="14">
        <v>0</v>
      </c>
      <c r="F27" s="14">
        <v>1877543</v>
      </c>
      <c r="G27" s="14">
        <v>-1877543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-14097900</v>
      </c>
      <c r="N27" s="13">
        <v>-7.5086969999999997</v>
      </c>
    </row>
    <row r="28" spans="1:14" x14ac:dyDescent="0.2">
      <c r="A28" s="24"/>
      <c r="B28" s="15" t="s">
        <v>37</v>
      </c>
      <c r="C28" s="14">
        <v>0</v>
      </c>
      <c r="D28" s="14">
        <v>0</v>
      </c>
      <c r="E28" s="14">
        <v>0</v>
      </c>
      <c r="F28" s="14">
        <v>52178340</v>
      </c>
      <c r="G28" s="14">
        <v>-52178340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-411303000</v>
      </c>
      <c r="N28" s="13">
        <v>-7.8826400000000003</v>
      </c>
    </row>
    <row r="29" spans="1:14" x14ac:dyDescent="0.2">
      <c r="A29" s="22" t="s">
        <v>36</v>
      </c>
      <c r="B29" s="15" t="s">
        <v>35</v>
      </c>
      <c r="C29" s="14">
        <v>26471.97</v>
      </c>
      <c r="D29" s="14">
        <v>26471.97</v>
      </c>
      <c r="E29" s="14">
        <v>2741421</v>
      </c>
      <c r="F29" s="14">
        <v>6133689</v>
      </c>
      <c r="G29" s="14">
        <v>-3392268</v>
      </c>
      <c r="H29" s="14">
        <v>0</v>
      </c>
      <c r="I29" s="13">
        <v>0.15343899999999999</v>
      </c>
      <c r="J29" s="14">
        <v>61233530</v>
      </c>
      <c r="K29" s="13">
        <v>0</v>
      </c>
      <c r="L29" s="14">
        <v>0</v>
      </c>
      <c r="M29" s="14">
        <v>16580990</v>
      </c>
      <c r="N29" s="13">
        <v>1.8682570000000001</v>
      </c>
    </row>
    <row r="30" spans="1:14" ht="30" x14ac:dyDescent="0.2">
      <c r="A30" s="23"/>
      <c r="B30" s="15" t="s">
        <v>34</v>
      </c>
      <c r="C30" s="14">
        <v>857.70799999999997</v>
      </c>
      <c r="D30" s="14">
        <v>857.70799999999997</v>
      </c>
      <c r="E30" s="14">
        <v>143178.5</v>
      </c>
      <c r="F30" s="14">
        <v>273329.3</v>
      </c>
      <c r="G30" s="14">
        <v>-130150.8</v>
      </c>
      <c r="H30" s="14">
        <v>0</v>
      </c>
      <c r="I30" s="13">
        <v>0.222245</v>
      </c>
      <c r="J30" s="14">
        <v>2004243</v>
      </c>
      <c r="K30" s="13">
        <v>0</v>
      </c>
      <c r="L30" s="14">
        <v>0</v>
      </c>
      <c r="M30" s="14">
        <v>543694.1</v>
      </c>
      <c r="N30" s="13">
        <v>1.305364</v>
      </c>
    </row>
    <row r="31" spans="1:14" ht="30" x14ac:dyDescent="0.2">
      <c r="A31" s="23"/>
      <c r="B31" s="15" t="s">
        <v>33</v>
      </c>
      <c r="C31" s="14">
        <v>457.99400000000003</v>
      </c>
      <c r="D31" s="14">
        <v>457.99400000000003</v>
      </c>
      <c r="E31" s="14">
        <v>31291.71</v>
      </c>
      <c r="F31" s="14">
        <v>253075.20000000001</v>
      </c>
      <c r="G31" s="14">
        <v>-221783.5</v>
      </c>
      <c r="H31" s="14">
        <v>0</v>
      </c>
      <c r="I31" s="13">
        <v>0.284163</v>
      </c>
      <c r="J31" s="14">
        <v>1222500</v>
      </c>
      <c r="K31" s="13">
        <v>0</v>
      </c>
      <c r="L31" s="14">
        <v>0</v>
      </c>
      <c r="M31" s="14">
        <v>544677.80000000005</v>
      </c>
      <c r="N31" s="13">
        <v>1.915405</v>
      </c>
    </row>
    <row r="32" spans="1:14" ht="30" x14ac:dyDescent="0.2">
      <c r="A32" s="24"/>
      <c r="B32" s="15" t="s">
        <v>32</v>
      </c>
      <c r="C32" s="14">
        <v>5300</v>
      </c>
      <c r="D32" s="14">
        <v>5300</v>
      </c>
      <c r="E32" s="14">
        <v>863060.3</v>
      </c>
      <c r="F32" s="14">
        <v>2239119</v>
      </c>
      <c r="G32" s="14">
        <v>-1376059</v>
      </c>
      <c r="H32" s="14">
        <v>0</v>
      </c>
      <c r="I32" s="13">
        <v>0.26788000000000001</v>
      </c>
      <c r="J32" s="14">
        <v>12956560</v>
      </c>
      <c r="K32" s="13">
        <v>0</v>
      </c>
      <c r="L32" s="14">
        <v>0</v>
      </c>
      <c r="M32" s="14">
        <v>10420020</v>
      </c>
      <c r="N32" s="13">
        <v>3.3589359999999999</v>
      </c>
    </row>
    <row r="33" spans="1:14" x14ac:dyDescent="0.2">
      <c r="A33" s="22" t="s">
        <v>31</v>
      </c>
      <c r="B33" s="15" t="s">
        <v>79</v>
      </c>
      <c r="C33" s="14">
        <v>13000000</v>
      </c>
      <c r="D33" s="14">
        <v>13000000</v>
      </c>
      <c r="E33" s="14">
        <v>54617.63</v>
      </c>
      <c r="F33" s="14">
        <v>54617.63</v>
      </c>
      <c r="G33" s="14">
        <v>0</v>
      </c>
      <c r="H33" s="14">
        <v>0</v>
      </c>
      <c r="I33" s="13">
        <v>0.99992599999999998</v>
      </c>
      <c r="J33" s="14">
        <v>0</v>
      </c>
      <c r="K33" s="13">
        <v>0</v>
      </c>
      <c r="L33" s="14">
        <v>0</v>
      </c>
      <c r="M33" s="14">
        <v>0</v>
      </c>
      <c r="N33" s="13" t="s">
        <v>29</v>
      </c>
    </row>
    <row r="34" spans="1:14" x14ac:dyDescent="0.2">
      <c r="A34" s="24"/>
      <c r="B34" s="15" t="s">
        <v>30</v>
      </c>
      <c r="C34" s="14">
        <v>46768.01</v>
      </c>
      <c r="D34" s="14">
        <v>46768.01</v>
      </c>
      <c r="E34" s="14">
        <v>86530.8</v>
      </c>
      <c r="F34" s="14">
        <v>90219.3</v>
      </c>
      <c r="G34" s="14">
        <v>-3688.498</v>
      </c>
      <c r="H34" s="14">
        <v>0</v>
      </c>
      <c r="I34" s="13">
        <v>0.360952</v>
      </c>
      <c r="J34" s="14">
        <v>0</v>
      </c>
      <c r="K34" s="13">
        <v>0</v>
      </c>
      <c r="L34" s="14">
        <v>0</v>
      </c>
      <c r="M34" s="14">
        <v>0</v>
      </c>
      <c r="N34" s="13" t="s">
        <v>29</v>
      </c>
    </row>
    <row r="35" spans="1:14" x14ac:dyDescent="0.2">
      <c r="I35" s="12" t="s">
        <v>28</v>
      </c>
      <c r="J35" s="11">
        <f>SUM(J2:J32)</f>
        <v>57135286620.279999</v>
      </c>
      <c r="K35" s="10" t="s">
        <v>27</v>
      </c>
      <c r="L35" s="8">
        <f>SUM(L3:L32)</f>
        <v>81501280.402350008</v>
      </c>
      <c r="M35" s="8">
        <f>SUM(M3:M32)</f>
        <v>160019460.38000003</v>
      </c>
      <c r="N35" s="8">
        <f>SUM(N3:N32)</f>
        <v>125.30493800000004</v>
      </c>
    </row>
    <row r="36" spans="1:14" x14ac:dyDescent="0.2">
      <c r="I36" s="9" t="s">
        <v>26</v>
      </c>
      <c r="J36" s="8">
        <f>SUM(J15,J17)</f>
        <v>9535869</v>
      </c>
    </row>
    <row r="37" spans="1:14" x14ac:dyDescent="0.2">
      <c r="I37" s="9" t="s">
        <v>25</v>
      </c>
      <c r="J37" s="8">
        <f>SUM(J20)</f>
        <v>1570499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22</v>
      </c>
      <c r="C40" s="8">
        <f>SUMIFS($J$2:$J$32,$B$2:$B$32, "Solar PV")+SUMIFS($J$2:$J$32,$B$2:$B$32, "Offshore Wind")+SUMIFS($J$2:$J$32,$B$2:$B$32, "Onshore Wind")+SUMIFS($J$2:$J$32,$B$2:$B$32, "Sewage Gas")</f>
        <v>11228333.4</v>
      </c>
    </row>
    <row r="41" spans="1:14" x14ac:dyDescent="0.2">
      <c r="A41" t="s">
        <v>21</v>
      </c>
      <c r="C41" s="8">
        <f>SUMIFS($J$2:$J$32,$B$2:$B$32, "Offshore Wind")+SUMIFS($J$2:$J$32,$B$2:$B$32, "Onshore Wind")</f>
        <v>9535869</v>
      </c>
    </row>
    <row r="42" spans="1:14" x14ac:dyDescent="0.2">
      <c r="A42" t="s">
        <v>20</v>
      </c>
      <c r="C42" s="8">
        <f>-$M$27</f>
        <v>14097900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83A8-A097-6D43-AC94-6EE0A13A259F}">
  <dimension ref="A1:N42"/>
  <sheetViews>
    <sheetView topLeftCell="A17" workbookViewId="0">
      <selection activeCell="D48" sqref="D48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3541053</v>
      </c>
      <c r="F7" s="14">
        <v>0</v>
      </c>
      <c r="G7" s="14">
        <v>3541053</v>
      </c>
      <c r="H7" s="14">
        <v>0</v>
      </c>
      <c r="I7" s="14">
        <v>0.1183365</v>
      </c>
      <c r="J7" s="14">
        <v>26382520</v>
      </c>
      <c r="K7" s="13">
        <v>0</v>
      </c>
      <c r="L7" s="14">
        <v>40561730</v>
      </c>
      <c r="M7" s="14">
        <v>40561730</v>
      </c>
      <c r="N7" s="13">
        <v>11.454711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4643.509</v>
      </c>
      <c r="F9" s="14">
        <v>0</v>
      </c>
      <c r="G9" s="14">
        <v>4643.509</v>
      </c>
      <c r="H9" s="14">
        <v>0</v>
      </c>
      <c r="I9" s="14">
        <v>0.19319819999999999</v>
      </c>
      <c r="J9" s="14">
        <v>19391.490000000002</v>
      </c>
      <c r="K9" s="13">
        <v>0</v>
      </c>
      <c r="L9" s="14">
        <v>57858.12</v>
      </c>
      <c r="M9" s="14">
        <v>99417.85</v>
      </c>
      <c r="N9" s="13">
        <v>21.410025999999998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1373.6420000000001</v>
      </c>
      <c r="F10" s="14">
        <v>0</v>
      </c>
      <c r="G10" s="14">
        <v>1373.6420000000001</v>
      </c>
      <c r="H10" s="14">
        <v>0</v>
      </c>
      <c r="I10" s="14">
        <v>7.533393E-4</v>
      </c>
      <c r="J10" s="14">
        <v>1822033</v>
      </c>
      <c r="K10" s="13">
        <v>0</v>
      </c>
      <c r="L10" s="14">
        <v>74176.66</v>
      </c>
      <c r="M10" s="14">
        <v>74347.88</v>
      </c>
      <c r="N10" s="13">
        <v>54.124564999999997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1399606</v>
      </c>
      <c r="F11" s="14">
        <v>0</v>
      </c>
      <c r="G11" s="14">
        <v>1399606</v>
      </c>
      <c r="H11" s="14">
        <v>0</v>
      </c>
      <c r="I11" s="14">
        <v>0.3376132</v>
      </c>
      <c r="J11" s="14">
        <v>258630.3</v>
      </c>
      <c r="K11" s="13">
        <v>0</v>
      </c>
      <c r="L11" s="14">
        <v>0</v>
      </c>
      <c r="M11" s="14">
        <v>9528779</v>
      </c>
      <c r="N11" s="13">
        <v>6.8081849999999999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240007.2</v>
      </c>
      <c r="F13" s="14">
        <v>0</v>
      </c>
      <c r="G13" s="14">
        <v>240007.2</v>
      </c>
      <c r="H13" s="14">
        <v>0</v>
      </c>
      <c r="I13" s="14">
        <v>0.43184440000000002</v>
      </c>
      <c r="J13" s="14">
        <v>33762.400000000001</v>
      </c>
      <c r="K13" s="13">
        <v>0</v>
      </c>
      <c r="L13" s="14">
        <v>0</v>
      </c>
      <c r="M13" s="14">
        <v>2004213</v>
      </c>
      <c r="N13" s="13">
        <v>8.3506409999999995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4053639</v>
      </c>
      <c r="F14" s="14">
        <v>0</v>
      </c>
      <c r="G14" s="14">
        <v>4053639</v>
      </c>
      <c r="H14" s="14">
        <v>0</v>
      </c>
      <c r="I14" s="14">
        <v>0.4059545</v>
      </c>
      <c r="J14" s="14">
        <v>5931811</v>
      </c>
      <c r="K14" s="13">
        <v>0</v>
      </c>
      <c r="L14" s="14">
        <v>40536390</v>
      </c>
      <c r="M14" s="14">
        <v>67962270</v>
      </c>
      <c r="N14" s="13">
        <v>16.765744999999999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25184070</v>
      </c>
      <c r="F15" s="14">
        <v>0</v>
      </c>
      <c r="G15" s="14">
        <v>25184070</v>
      </c>
      <c r="H15" s="14">
        <v>0</v>
      </c>
      <c r="I15" s="14">
        <v>0.21525939999999999</v>
      </c>
      <c r="J15" s="14">
        <v>6930775</v>
      </c>
      <c r="K15" s="13">
        <v>0</v>
      </c>
      <c r="L15" s="14">
        <v>0</v>
      </c>
      <c r="M15" s="14">
        <v>102429300</v>
      </c>
      <c r="N15" s="13">
        <v>4.0672249999999996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11270940</v>
      </c>
      <c r="F17" s="14">
        <v>0</v>
      </c>
      <c r="G17" s="14">
        <v>11270940</v>
      </c>
      <c r="H17" s="14">
        <v>0</v>
      </c>
      <c r="I17" s="14">
        <v>0.1891523</v>
      </c>
      <c r="J17" s="14">
        <v>3064199</v>
      </c>
      <c r="K17" s="13">
        <v>0</v>
      </c>
      <c r="L17" s="14">
        <v>0</v>
      </c>
      <c r="M17" s="14">
        <v>42266950</v>
      </c>
      <c r="N17" s="13">
        <v>3.7500840000000002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13221380</v>
      </c>
      <c r="F20" s="14">
        <v>0</v>
      </c>
      <c r="G20" s="14">
        <v>13221380</v>
      </c>
      <c r="H20" s="14">
        <v>0</v>
      </c>
      <c r="I20" s="14">
        <v>0.14951600000000001</v>
      </c>
      <c r="J20" s="14">
        <v>1344158</v>
      </c>
      <c r="K20" s="13">
        <v>0</v>
      </c>
      <c r="L20" s="14">
        <v>0</v>
      </c>
      <c r="M20" s="14">
        <v>90280280</v>
      </c>
      <c r="N20" s="13">
        <v>6.828354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34790030</v>
      </c>
      <c r="F22" s="14">
        <v>21544090</v>
      </c>
      <c r="G22" s="14">
        <v>13245940</v>
      </c>
      <c r="H22" s="14">
        <v>-13245940</v>
      </c>
      <c r="I22" s="14">
        <v>0.111708</v>
      </c>
      <c r="J22" s="14">
        <v>0</v>
      </c>
      <c r="K22" s="13">
        <v>0</v>
      </c>
      <c r="L22" s="14">
        <v>0</v>
      </c>
      <c r="M22" s="14">
        <v>133333100</v>
      </c>
      <c r="N22" s="13">
        <v>2.3668269999999998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9526165</v>
      </c>
      <c r="F23" s="14">
        <v>5894316</v>
      </c>
      <c r="G23" s="14">
        <v>3631849</v>
      </c>
      <c r="H23" s="14">
        <v>-3631849</v>
      </c>
      <c r="I23" s="14">
        <v>0.56686170000000002</v>
      </c>
      <c r="J23" s="14">
        <v>30835100</v>
      </c>
      <c r="K23" s="13">
        <v>0</v>
      </c>
      <c r="L23" s="14">
        <v>0</v>
      </c>
      <c r="M23" s="14">
        <v>70623860</v>
      </c>
      <c r="N23" s="13">
        <v>4.5798740000000002</v>
      </c>
    </row>
    <row r="24" spans="1:14" x14ac:dyDescent="0.2">
      <c r="A24" s="23"/>
      <c r="B24" s="15" t="s">
        <v>41</v>
      </c>
      <c r="C24" s="14">
        <v>3653.0949999999998</v>
      </c>
      <c r="D24" s="14">
        <v>3653.0949999999998</v>
      </c>
      <c r="E24" s="14">
        <v>0</v>
      </c>
      <c r="F24" s="14">
        <v>137504.4</v>
      </c>
      <c r="G24" s="14">
        <v>-137504.4</v>
      </c>
      <c r="H24" s="14">
        <v>0</v>
      </c>
      <c r="I24" s="14">
        <v>1.7226789999999999E-2</v>
      </c>
      <c r="J24" s="14">
        <v>7844508</v>
      </c>
      <c r="K24" s="13">
        <v>0</v>
      </c>
      <c r="L24" s="14">
        <v>0</v>
      </c>
      <c r="M24" s="14">
        <v>0</v>
      </c>
      <c r="N24" s="13" t="s">
        <v>29</v>
      </c>
    </row>
    <row r="25" spans="1:14" x14ac:dyDescent="0.2">
      <c r="A25" s="23"/>
      <c r="B25" s="15" t="s">
        <v>40</v>
      </c>
      <c r="C25" s="14">
        <v>278.38099999999997</v>
      </c>
      <c r="D25" s="14">
        <v>278.38099999999997</v>
      </c>
      <c r="E25" s="14">
        <v>0</v>
      </c>
      <c r="F25" s="14">
        <v>92166.44</v>
      </c>
      <c r="G25" s="14">
        <v>-92166.44</v>
      </c>
      <c r="H25" s="14">
        <v>0</v>
      </c>
      <c r="I25" s="14">
        <v>0.15152409999999999</v>
      </c>
      <c r="J25" s="14">
        <v>516096</v>
      </c>
      <c r="K25" s="13">
        <v>0</v>
      </c>
      <c r="L25" s="14">
        <v>460832.2</v>
      </c>
      <c r="M25" s="14">
        <v>0</v>
      </c>
      <c r="N25" s="13" t="s">
        <v>29</v>
      </c>
    </row>
    <row r="26" spans="1:14" x14ac:dyDescent="0.2">
      <c r="A26" s="24"/>
      <c r="B26" s="15" t="s">
        <v>80</v>
      </c>
      <c r="C26" s="14">
        <v>156000000</v>
      </c>
      <c r="D26" s="14">
        <v>156000000</v>
      </c>
      <c r="E26" s="14">
        <v>0</v>
      </c>
      <c r="F26" s="14">
        <v>16445.91</v>
      </c>
      <c r="G26" s="14">
        <v>-16445.91</v>
      </c>
      <c r="H26" s="14">
        <v>16445.91</v>
      </c>
      <c r="I26" s="14">
        <v>4.8248270000000003E-8</v>
      </c>
      <c r="J26" s="14">
        <v>340860000000</v>
      </c>
      <c r="K26" s="13">
        <v>0</v>
      </c>
      <c r="L26" s="14">
        <v>0.16446</v>
      </c>
      <c r="M26" s="14">
        <v>-86144.25</v>
      </c>
      <c r="N26" s="13">
        <v>-5.2380370000000003</v>
      </c>
    </row>
    <row r="27" spans="1:14" x14ac:dyDescent="0.2">
      <c r="A27" s="22" t="s">
        <v>39</v>
      </c>
      <c r="B27" s="15" t="s">
        <v>38</v>
      </c>
      <c r="C27" s="14">
        <v>0</v>
      </c>
      <c r="D27" s="14">
        <v>0</v>
      </c>
      <c r="E27" s="14">
        <v>0</v>
      </c>
      <c r="F27" s="14">
        <v>1877543</v>
      </c>
      <c r="G27" s="14">
        <v>-1877543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-14124690</v>
      </c>
      <c r="N27" s="13">
        <v>-7.5229660000000003</v>
      </c>
    </row>
    <row r="28" spans="1:14" x14ac:dyDescent="0.2">
      <c r="A28" s="24"/>
      <c r="B28" s="15" t="s">
        <v>37</v>
      </c>
      <c r="C28" s="14">
        <v>0</v>
      </c>
      <c r="D28" s="14">
        <v>0</v>
      </c>
      <c r="E28" s="14">
        <v>0</v>
      </c>
      <c r="F28" s="14">
        <v>52178340</v>
      </c>
      <c r="G28" s="14">
        <v>-52178340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-411818900</v>
      </c>
      <c r="N28" s="13">
        <v>-7.8925270000000003</v>
      </c>
    </row>
    <row r="29" spans="1:14" x14ac:dyDescent="0.2">
      <c r="A29" s="22" t="s">
        <v>36</v>
      </c>
      <c r="B29" s="15" t="s">
        <v>35</v>
      </c>
      <c r="C29" s="14">
        <v>26471.97</v>
      </c>
      <c r="D29" s="14">
        <v>26471.97</v>
      </c>
      <c r="E29" s="14">
        <v>3422228</v>
      </c>
      <c r="F29" s="14">
        <v>6657994</v>
      </c>
      <c r="G29" s="14">
        <v>-3235766</v>
      </c>
      <c r="H29" s="14">
        <v>0</v>
      </c>
      <c r="I29" s="14">
        <v>0.17427390000000001</v>
      </c>
      <c r="J29" s="14">
        <v>61077030</v>
      </c>
      <c r="K29" s="13">
        <v>0</v>
      </c>
      <c r="L29" s="14">
        <v>0</v>
      </c>
      <c r="M29" s="14">
        <v>16733650</v>
      </c>
      <c r="N29" s="13">
        <v>1.660048</v>
      </c>
    </row>
    <row r="30" spans="1:14" ht="30" x14ac:dyDescent="0.2">
      <c r="A30" s="23"/>
      <c r="B30" s="15" t="s">
        <v>34</v>
      </c>
      <c r="C30" s="14">
        <v>857.70799999999997</v>
      </c>
      <c r="D30" s="14">
        <v>857.70799999999997</v>
      </c>
      <c r="E30" s="14">
        <v>178312</v>
      </c>
      <c r="F30" s="14">
        <v>299158.8</v>
      </c>
      <c r="G30" s="14">
        <v>-120846.8</v>
      </c>
      <c r="H30" s="14">
        <v>0</v>
      </c>
      <c r="I30" s="14">
        <v>0.25477450000000001</v>
      </c>
      <c r="J30" s="14">
        <v>1994939</v>
      </c>
      <c r="K30" s="13">
        <v>0</v>
      </c>
      <c r="L30" s="14">
        <v>0</v>
      </c>
      <c r="M30" s="14">
        <v>548845.80000000005</v>
      </c>
      <c r="N30" s="13">
        <v>1.149486</v>
      </c>
    </row>
    <row r="31" spans="1:14" ht="30" x14ac:dyDescent="0.2">
      <c r="A31" s="23"/>
      <c r="B31" s="15" t="s">
        <v>33</v>
      </c>
      <c r="C31" s="14">
        <v>457.99400000000003</v>
      </c>
      <c r="D31" s="14">
        <v>457.99400000000003</v>
      </c>
      <c r="E31" s="14">
        <v>32601.86</v>
      </c>
      <c r="F31" s="14">
        <v>245888.6</v>
      </c>
      <c r="G31" s="14">
        <v>-213286.7</v>
      </c>
      <c r="H31" s="14">
        <v>0</v>
      </c>
      <c r="I31" s="14">
        <v>0.27829090000000001</v>
      </c>
      <c r="J31" s="14">
        <v>1214004</v>
      </c>
      <c r="K31" s="13">
        <v>0</v>
      </c>
      <c r="L31" s="14">
        <v>0</v>
      </c>
      <c r="M31" s="14">
        <v>549093.30000000005</v>
      </c>
      <c r="N31" s="13">
        <v>1.971678</v>
      </c>
    </row>
    <row r="32" spans="1:14" ht="30" x14ac:dyDescent="0.2">
      <c r="A32" s="24"/>
      <c r="B32" s="15" t="s">
        <v>32</v>
      </c>
      <c r="C32" s="14">
        <v>5300</v>
      </c>
      <c r="D32" s="14">
        <v>5300</v>
      </c>
      <c r="E32" s="14">
        <v>997080.9</v>
      </c>
      <c r="F32" s="14">
        <v>2287389</v>
      </c>
      <c r="G32" s="14">
        <v>-1290308</v>
      </c>
      <c r="H32" s="14">
        <v>0</v>
      </c>
      <c r="I32" s="14">
        <v>0.28362080000000001</v>
      </c>
      <c r="J32" s="14">
        <v>12870810</v>
      </c>
      <c r="K32" s="13">
        <v>0</v>
      </c>
      <c r="L32" s="14">
        <v>0</v>
      </c>
      <c r="M32" s="14">
        <v>10511430</v>
      </c>
      <c r="N32" s="13">
        <v>3.2003430000000002</v>
      </c>
    </row>
    <row r="33" spans="1:14" x14ac:dyDescent="0.2">
      <c r="A33" s="15" t="s">
        <v>31</v>
      </c>
      <c r="B33" s="15" t="s">
        <v>30</v>
      </c>
      <c r="C33" s="14">
        <v>46768.01</v>
      </c>
      <c r="D33" s="14">
        <v>46768.01</v>
      </c>
      <c r="E33" s="14">
        <v>90821.73</v>
      </c>
      <c r="F33" s="14">
        <v>94908.4</v>
      </c>
      <c r="G33" s="14">
        <v>-4086.6709999999998</v>
      </c>
      <c r="H33" s="14">
        <v>0</v>
      </c>
      <c r="I33" s="14">
        <v>0.39991650000000001</v>
      </c>
      <c r="J33" s="14">
        <v>0</v>
      </c>
      <c r="K33" s="13">
        <v>0</v>
      </c>
      <c r="L33" s="14">
        <v>0</v>
      </c>
      <c r="M33" s="14">
        <v>0</v>
      </c>
      <c r="N33" s="13" t="s">
        <v>29</v>
      </c>
    </row>
    <row r="34" spans="1:14" x14ac:dyDescent="0.2">
      <c r="H34" s="16"/>
      <c r="I34" s="12" t="s">
        <v>28</v>
      </c>
      <c r="J34" s="11">
        <f>SUM(J1:J31)</f>
        <v>341172508343.89001</v>
      </c>
      <c r="K34" s="10" t="s">
        <v>27</v>
      </c>
      <c r="L34" s="8">
        <f>SUM(L2:L31)</f>
        <v>81690987.144460008</v>
      </c>
      <c r="M34" s="8">
        <f>SUM(M2:M31)</f>
        <v>150966102.58000004</v>
      </c>
      <c r="N34" s="8">
        <f>SUM(N2:N31)</f>
        <v>124.63391899999998</v>
      </c>
    </row>
    <row r="35" spans="1:14" x14ac:dyDescent="0.2">
      <c r="I35" s="9" t="s">
        <v>26</v>
      </c>
      <c r="J35" s="8">
        <f>SUM(J15,J17)</f>
        <v>9994974</v>
      </c>
    </row>
    <row r="36" spans="1:14" x14ac:dyDescent="0.2">
      <c r="I36" s="9" t="s">
        <v>25</v>
      </c>
      <c r="J36" s="8">
        <f>SUM(J20)</f>
        <v>1344158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22</v>
      </c>
      <c r="C40" s="8">
        <f>SUMIFS($J$2:$J$34,$B$2:$B$34, "Solar PV")+SUMIFS($J$2:$J$34,$B$2:$B$34, "Offshore Wind")+SUMIFS($J$2:$J$34,$B$2:$B$34, "Onshore Wind")+SUMIFS($J$2:$J$34,$B$2:$B$34, "Sewage Gas")</f>
        <v>11461097.4</v>
      </c>
    </row>
    <row r="41" spans="1:14" x14ac:dyDescent="0.2">
      <c r="A41" t="s">
        <v>21</v>
      </c>
      <c r="C41" s="8">
        <f>SUMIFS($J$2:$J$34,$B$2:$B$34, "Offshore Wind")+SUMIFS($J$2:$J$34,$B$2:$B$34, "Onshore Wind")</f>
        <v>9994974</v>
      </c>
    </row>
    <row r="42" spans="1:14" x14ac:dyDescent="0.2">
      <c r="A42" t="s">
        <v>20</v>
      </c>
      <c r="C42" s="8">
        <f>-$M$27</f>
        <v>14124690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714D-D2DA-4F47-B102-CFDE858E7B76}">
  <dimension ref="A1:N45"/>
  <sheetViews>
    <sheetView topLeftCell="A23" workbookViewId="0">
      <selection activeCell="D48" sqref="D48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3522451</v>
      </c>
      <c r="F7" s="14">
        <v>0</v>
      </c>
      <c r="G7" s="14">
        <v>3522451</v>
      </c>
      <c r="H7" s="14">
        <v>0</v>
      </c>
      <c r="I7" s="14">
        <v>0.1177149</v>
      </c>
      <c r="J7" s="14">
        <v>26401120</v>
      </c>
      <c r="K7" s="13">
        <v>0</v>
      </c>
      <c r="L7" s="14">
        <v>40227900</v>
      </c>
      <c r="M7" s="14">
        <v>40227900</v>
      </c>
      <c r="N7" s="13">
        <v>11.420431000000001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4564.6790000000001</v>
      </c>
      <c r="F9" s="14">
        <v>0</v>
      </c>
      <c r="G9" s="14">
        <v>4564.6790000000001</v>
      </c>
      <c r="H9" s="14">
        <v>0</v>
      </c>
      <c r="I9" s="14">
        <v>0.18991820000000001</v>
      </c>
      <c r="J9" s="14">
        <v>19470.32</v>
      </c>
      <c r="K9" s="13">
        <v>0</v>
      </c>
      <c r="L9" s="14">
        <v>56875.9</v>
      </c>
      <c r="M9" s="14">
        <v>97976.78</v>
      </c>
      <c r="N9" s="13">
        <v>21.464089999999999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939.55420000000004</v>
      </c>
      <c r="F10" s="14">
        <v>0</v>
      </c>
      <c r="G10" s="14">
        <v>939.55420000000004</v>
      </c>
      <c r="H10" s="14">
        <v>0</v>
      </c>
      <c r="I10" s="14">
        <v>5.1527180000000004E-4</v>
      </c>
      <c r="J10" s="14">
        <v>1822467</v>
      </c>
      <c r="K10" s="13">
        <v>0</v>
      </c>
      <c r="L10" s="14">
        <v>50735.92</v>
      </c>
      <c r="M10" s="14">
        <v>50908.45</v>
      </c>
      <c r="N10" s="13">
        <v>54.183860000000003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1385678</v>
      </c>
      <c r="F11" s="14">
        <v>0</v>
      </c>
      <c r="G11" s="14">
        <v>1385678</v>
      </c>
      <c r="H11" s="14">
        <v>0</v>
      </c>
      <c r="I11" s="14">
        <v>0.33425339999999998</v>
      </c>
      <c r="J11" s="14">
        <v>272558.8</v>
      </c>
      <c r="K11" s="13">
        <v>0</v>
      </c>
      <c r="L11" s="14">
        <v>0</v>
      </c>
      <c r="M11" s="14">
        <v>9492907</v>
      </c>
      <c r="N11" s="13">
        <v>6.8507309999999997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239212.9</v>
      </c>
      <c r="F13" s="14">
        <v>0</v>
      </c>
      <c r="G13" s="14">
        <v>239212.9</v>
      </c>
      <c r="H13" s="14">
        <v>0</v>
      </c>
      <c r="I13" s="14">
        <v>0.4304153</v>
      </c>
      <c r="J13" s="14">
        <v>34556.69</v>
      </c>
      <c r="K13" s="13">
        <v>0</v>
      </c>
      <c r="L13" s="14">
        <v>0</v>
      </c>
      <c r="M13" s="14">
        <v>1997884</v>
      </c>
      <c r="N13" s="13">
        <v>8.3519100000000002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4052395</v>
      </c>
      <c r="F14" s="14">
        <v>0</v>
      </c>
      <c r="G14" s="14">
        <v>4052395</v>
      </c>
      <c r="H14" s="14">
        <v>0</v>
      </c>
      <c r="I14" s="14">
        <v>0.40583000000000002</v>
      </c>
      <c r="J14" s="14">
        <v>5933055</v>
      </c>
      <c r="K14" s="13">
        <v>0</v>
      </c>
      <c r="L14" s="14">
        <v>40523950</v>
      </c>
      <c r="M14" s="14">
        <v>67645010</v>
      </c>
      <c r="N14" s="13">
        <v>16.692602000000001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25297990</v>
      </c>
      <c r="F15" s="14">
        <v>0</v>
      </c>
      <c r="G15" s="14">
        <v>25297990</v>
      </c>
      <c r="H15" s="14">
        <v>0</v>
      </c>
      <c r="I15" s="14">
        <v>0.21623310000000001</v>
      </c>
      <c r="J15" s="14">
        <v>6816858</v>
      </c>
      <c r="K15" s="13">
        <v>0</v>
      </c>
      <c r="L15" s="14">
        <v>0</v>
      </c>
      <c r="M15" s="14">
        <v>102337400</v>
      </c>
      <c r="N15" s="13">
        <v>4.0452769999999996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11166210</v>
      </c>
      <c r="F17" s="14">
        <v>0</v>
      </c>
      <c r="G17" s="14">
        <v>11166210</v>
      </c>
      <c r="H17" s="14">
        <v>0</v>
      </c>
      <c r="I17" s="14">
        <v>0.1873947</v>
      </c>
      <c r="J17" s="14">
        <v>3168929</v>
      </c>
      <c r="K17" s="13">
        <v>0</v>
      </c>
      <c r="L17" s="14">
        <v>0</v>
      </c>
      <c r="M17" s="14">
        <v>42204570</v>
      </c>
      <c r="N17" s="13">
        <v>3.7796690000000002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13153100</v>
      </c>
      <c r="F20" s="14">
        <v>0</v>
      </c>
      <c r="G20" s="14">
        <v>13153100</v>
      </c>
      <c r="H20" s="14">
        <v>0</v>
      </c>
      <c r="I20" s="14">
        <v>0.14874380000000001</v>
      </c>
      <c r="J20" s="14">
        <v>1412444</v>
      </c>
      <c r="K20" s="13">
        <v>0</v>
      </c>
      <c r="L20" s="14">
        <v>0</v>
      </c>
      <c r="M20" s="14">
        <v>90049560</v>
      </c>
      <c r="N20" s="13">
        <v>6.8462630000000004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34980080</v>
      </c>
      <c r="F22" s="14">
        <v>21402270</v>
      </c>
      <c r="G22" s="14">
        <v>13577810</v>
      </c>
      <c r="H22" s="14">
        <v>-13577810</v>
      </c>
      <c r="I22" s="14">
        <v>0.1118036</v>
      </c>
      <c r="J22" s="14">
        <v>0</v>
      </c>
      <c r="K22" s="13">
        <v>0</v>
      </c>
      <c r="L22" s="14">
        <v>0</v>
      </c>
      <c r="M22" s="14">
        <v>132119300</v>
      </c>
      <c r="N22" s="13">
        <v>2.3432750000000002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9507955</v>
      </c>
      <c r="F23" s="14">
        <v>5895185</v>
      </c>
      <c r="G23" s="14">
        <v>3612770</v>
      </c>
      <c r="H23" s="14">
        <v>-3612770</v>
      </c>
      <c r="I23" s="14">
        <v>0.56622430000000001</v>
      </c>
      <c r="J23" s="14">
        <v>30816020</v>
      </c>
      <c r="K23" s="13">
        <v>0</v>
      </c>
      <c r="L23" s="14">
        <v>0</v>
      </c>
      <c r="M23" s="14">
        <v>70048000</v>
      </c>
      <c r="N23" s="13">
        <v>4.547644</v>
      </c>
    </row>
    <row r="24" spans="1:14" x14ac:dyDescent="0.2">
      <c r="A24" s="23"/>
      <c r="B24" s="15" t="s">
        <v>79</v>
      </c>
      <c r="C24" s="14">
        <v>26000000</v>
      </c>
      <c r="D24" s="14">
        <v>26000000</v>
      </c>
      <c r="E24" s="14">
        <v>0</v>
      </c>
      <c r="F24" s="14">
        <v>109040.9</v>
      </c>
      <c r="G24" s="14">
        <v>-109040.9</v>
      </c>
      <c r="H24" s="14">
        <v>0</v>
      </c>
      <c r="I24" s="14">
        <v>1.9193969999999999E-6</v>
      </c>
      <c r="J24" s="14">
        <v>56809890000</v>
      </c>
      <c r="K24" s="13">
        <v>0</v>
      </c>
      <c r="L24" s="14">
        <v>1.0904100000000001</v>
      </c>
      <c r="M24" s="14">
        <v>-807885.7</v>
      </c>
      <c r="N24" s="13">
        <v>-7.409014</v>
      </c>
    </row>
    <row r="25" spans="1:14" x14ac:dyDescent="0.2">
      <c r="A25" s="23"/>
      <c r="B25" s="15" t="s">
        <v>41</v>
      </c>
      <c r="C25" s="14">
        <v>3653.0949999999998</v>
      </c>
      <c r="D25" s="14">
        <v>3653.0949999999998</v>
      </c>
      <c r="E25" s="14">
        <v>0</v>
      </c>
      <c r="F25" s="14">
        <v>136478.5</v>
      </c>
      <c r="G25" s="14">
        <v>-136478.5</v>
      </c>
      <c r="H25" s="14">
        <v>0</v>
      </c>
      <c r="I25" s="14">
        <v>1.7098260000000001E-2</v>
      </c>
      <c r="J25" s="14">
        <v>7845534</v>
      </c>
      <c r="K25" s="13">
        <v>0</v>
      </c>
      <c r="L25" s="14">
        <v>0</v>
      </c>
      <c r="M25" s="14">
        <v>0</v>
      </c>
      <c r="N25" s="13" t="s">
        <v>29</v>
      </c>
    </row>
    <row r="26" spans="1:14" ht="30" x14ac:dyDescent="0.2">
      <c r="A26" s="23"/>
      <c r="B26" s="15" t="s">
        <v>40</v>
      </c>
      <c r="C26" s="14">
        <v>278.38099999999997</v>
      </c>
      <c r="D26" s="14">
        <v>278.38099999999997</v>
      </c>
      <c r="E26" s="14">
        <v>0</v>
      </c>
      <c r="F26" s="14">
        <v>91497.84</v>
      </c>
      <c r="G26" s="14">
        <v>-91497.84</v>
      </c>
      <c r="H26" s="14">
        <v>0</v>
      </c>
      <c r="I26" s="14">
        <v>0.1504249</v>
      </c>
      <c r="J26" s="14">
        <v>516764.6</v>
      </c>
      <c r="K26" s="13">
        <v>0</v>
      </c>
      <c r="L26" s="14">
        <v>457489.2</v>
      </c>
      <c r="M26" s="14">
        <v>0</v>
      </c>
      <c r="N26" s="13" t="s">
        <v>29</v>
      </c>
    </row>
    <row r="27" spans="1:14" x14ac:dyDescent="0.2">
      <c r="A27" s="24"/>
      <c r="B27" s="15" t="s">
        <v>80</v>
      </c>
      <c r="C27" s="14">
        <v>156000000</v>
      </c>
      <c r="D27" s="14">
        <v>156000000</v>
      </c>
      <c r="E27" s="14">
        <v>0</v>
      </c>
      <c r="F27" s="14">
        <v>16643.259999999998</v>
      </c>
      <c r="G27" s="14">
        <v>-16643.259999999998</v>
      </c>
      <c r="H27" s="14">
        <v>16643.259999999998</v>
      </c>
      <c r="I27" s="14">
        <v>4.8827240000000001E-8</v>
      </c>
      <c r="J27" s="14">
        <v>340860000000</v>
      </c>
      <c r="K27" s="13">
        <v>0</v>
      </c>
      <c r="L27" s="14">
        <v>0.16642999999999999</v>
      </c>
      <c r="M27" s="14">
        <v>-90369.41</v>
      </c>
      <c r="N27" s="13">
        <v>-5.429792</v>
      </c>
    </row>
    <row r="28" spans="1:14" x14ac:dyDescent="0.2">
      <c r="A28" s="22" t="s">
        <v>39</v>
      </c>
      <c r="B28" s="15" t="s">
        <v>38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-14080300</v>
      </c>
      <c r="N28" s="13">
        <v>-7.4993230000000004</v>
      </c>
    </row>
    <row r="29" spans="1:14" x14ac:dyDescent="0.2">
      <c r="A29" s="24"/>
      <c r="B29" s="15" t="s">
        <v>37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29</v>
      </c>
      <c r="J29" s="14">
        <v>0</v>
      </c>
      <c r="K29" s="13">
        <v>0</v>
      </c>
      <c r="L29" s="14">
        <v>0</v>
      </c>
      <c r="M29" s="14">
        <v>-410518000</v>
      </c>
      <c r="N29" s="13">
        <v>-7.8675949999999997</v>
      </c>
    </row>
    <row r="30" spans="1:14" x14ac:dyDescent="0.2">
      <c r="A30" s="22" t="s">
        <v>36</v>
      </c>
      <c r="B30" s="15" t="s">
        <v>35</v>
      </c>
      <c r="C30" s="14">
        <v>26471.97</v>
      </c>
      <c r="D30" s="14">
        <v>26471.97</v>
      </c>
      <c r="E30" s="14">
        <v>3617944</v>
      </c>
      <c r="F30" s="14">
        <v>6804928</v>
      </c>
      <c r="G30" s="14">
        <v>-3186985</v>
      </c>
      <c r="H30" s="14">
        <v>0</v>
      </c>
      <c r="I30" s="14">
        <v>0.18019789999999999</v>
      </c>
      <c r="J30" s="14">
        <v>61028250</v>
      </c>
      <c r="K30" s="13">
        <v>0</v>
      </c>
      <c r="L30" s="14">
        <v>0</v>
      </c>
      <c r="M30" s="14">
        <v>16528890</v>
      </c>
      <c r="N30" s="13">
        <v>1.5858289999999999</v>
      </c>
    </row>
    <row r="31" spans="1:14" ht="30" x14ac:dyDescent="0.2">
      <c r="A31" s="23"/>
      <c r="B31" s="15" t="s">
        <v>34</v>
      </c>
      <c r="C31" s="14">
        <v>857.70799999999997</v>
      </c>
      <c r="D31" s="14">
        <v>857.70799999999997</v>
      </c>
      <c r="E31" s="14">
        <v>182298.6</v>
      </c>
      <c r="F31" s="14">
        <v>300876.40000000002</v>
      </c>
      <c r="G31" s="14">
        <v>-118577.9</v>
      </c>
      <c r="H31" s="14">
        <v>0</v>
      </c>
      <c r="I31" s="14">
        <v>0.2578182</v>
      </c>
      <c r="J31" s="14">
        <v>1992670</v>
      </c>
      <c r="K31" s="13">
        <v>0</v>
      </c>
      <c r="L31" s="14">
        <v>0</v>
      </c>
      <c r="M31" s="14">
        <v>542221.30000000005</v>
      </c>
      <c r="N31" s="13">
        <v>1.1222049999999999</v>
      </c>
    </row>
    <row r="32" spans="1:14" ht="30" x14ac:dyDescent="0.2">
      <c r="A32" s="23"/>
      <c r="B32" s="15" t="s">
        <v>33</v>
      </c>
      <c r="C32" s="14">
        <v>457.99400000000003</v>
      </c>
      <c r="D32" s="14">
        <v>457.99400000000003</v>
      </c>
      <c r="E32" s="14">
        <v>33421.78</v>
      </c>
      <c r="F32" s="14">
        <v>239437.1</v>
      </c>
      <c r="G32" s="14">
        <v>-206015.3</v>
      </c>
      <c r="H32" s="14">
        <v>0</v>
      </c>
      <c r="I32" s="14">
        <v>0.2726634</v>
      </c>
      <c r="J32" s="14">
        <v>1206732</v>
      </c>
      <c r="K32" s="13">
        <v>0</v>
      </c>
      <c r="L32" s="14">
        <v>0</v>
      </c>
      <c r="M32" s="14">
        <v>543258.30000000005</v>
      </c>
      <c r="N32" s="13">
        <v>1.9909859999999999</v>
      </c>
    </row>
    <row r="33" spans="1:14" ht="30" x14ac:dyDescent="0.2">
      <c r="A33" s="24"/>
      <c r="B33" s="15" t="s">
        <v>32</v>
      </c>
      <c r="C33" s="14">
        <v>5300</v>
      </c>
      <c r="D33" s="14">
        <v>5300</v>
      </c>
      <c r="E33" s="14">
        <v>1068761</v>
      </c>
      <c r="F33" s="14">
        <v>2323427</v>
      </c>
      <c r="G33" s="14">
        <v>-1254666</v>
      </c>
      <c r="H33" s="14">
        <v>0</v>
      </c>
      <c r="I33" s="14">
        <v>0.29292240000000003</v>
      </c>
      <c r="J33" s="14">
        <v>12835170</v>
      </c>
      <c r="K33" s="13">
        <v>0</v>
      </c>
      <c r="L33" s="14">
        <v>0</v>
      </c>
      <c r="M33" s="14">
        <v>10364760</v>
      </c>
      <c r="N33" s="13">
        <v>3.0554800000000002</v>
      </c>
    </row>
    <row r="34" spans="1:14" x14ac:dyDescent="0.2">
      <c r="A34" s="22" t="s">
        <v>31</v>
      </c>
      <c r="B34" s="15" t="s">
        <v>79</v>
      </c>
      <c r="C34" s="14">
        <v>13000000</v>
      </c>
      <c r="D34" s="14">
        <v>13000000</v>
      </c>
      <c r="E34" s="14">
        <v>54520.46</v>
      </c>
      <c r="F34" s="14">
        <v>54520.46</v>
      </c>
      <c r="G34" s="14">
        <v>0</v>
      </c>
      <c r="H34" s="14">
        <v>0</v>
      </c>
      <c r="I34" s="14">
        <v>0.99992650000000005</v>
      </c>
      <c r="J34" s="14">
        <v>0</v>
      </c>
      <c r="K34" s="13">
        <v>0</v>
      </c>
      <c r="L34" s="14">
        <v>0</v>
      </c>
      <c r="M34" s="14">
        <v>0</v>
      </c>
      <c r="N34" s="13" t="s">
        <v>29</v>
      </c>
    </row>
    <row r="35" spans="1:14" x14ac:dyDescent="0.2">
      <c r="A35" s="24"/>
      <c r="B35" s="15" t="s">
        <v>30</v>
      </c>
      <c r="C35" s="14">
        <v>46768.01</v>
      </c>
      <c r="D35" s="14">
        <v>46768.01</v>
      </c>
      <c r="E35" s="14">
        <v>90325.05</v>
      </c>
      <c r="F35" s="14">
        <v>94362.16</v>
      </c>
      <c r="G35" s="14">
        <v>-4037.1089999999999</v>
      </c>
      <c r="H35" s="14">
        <v>0</v>
      </c>
      <c r="I35" s="14">
        <v>0.39506649999999999</v>
      </c>
      <c r="J35" s="14">
        <v>0</v>
      </c>
      <c r="K35" s="13">
        <v>0</v>
      </c>
      <c r="L35" s="14">
        <v>0</v>
      </c>
      <c r="M35" s="14">
        <v>0</v>
      </c>
      <c r="N35" s="13" t="s">
        <v>29</v>
      </c>
    </row>
    <row r="36" spans="1:14" x14ac:dyDescent="0.2">
      <c r="I36" s="12" t="s">
        <v>28</v>
      </c>
      <c r="J36" s="11">
        <f>SUM(J3:J33)</f>
        <v>397994438206.31</v>
      </c>
      <c r="K36" s="10" t="s">
        <v>27</v>
      </c>
      <c r="L36" s="8">
        <f>SUM(L4:L33)</f>
        <v>81316952.276839986</v>
      </c>
      <c r="M36" s="8">
        <f>SUM(M4:M33)</f>
        <v>158753990.72000003</v>
      </c>
      <c r="N36" s="8">
        <f>SUM(N4:N33)</f>
        <v>120.074528</v>
      </c>
    </row>
    <row r="37" spans="1:14" x14ac:dyDescent="0.2">
      <c r="I37" s="9" t="s">
        <v>26</v>
      </c>
      <c r="J37" s="8">
        <f>SUM(J15,J17)</f>
        <v>9985787</v>
      </c>
    </row>
    <row r="38" spans="1:14" x14ac:dyDescent="0.2">
      <c r="A38" t="s">
        <v>24</v>
      </c>
      <c r="I38" s="9" t="s">
        <v>25</v>
      </c>
      <c r="J38" s="8">
        <f>SUM(J20)</f>
        <v>1412444</v>
      </c>
    </row>
    <row r="39" spans="1:14" x14ac:dyDescent="0.2">
      <c r="A39" t="s">
        <v>23</v>
      </c>
      <c r="C39" s="8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22</v>
      </c>
      <c r="C40" s="8">
        <f>SUMIFS($J$2:$J$32,$B$2:$B$32, "Solar PV")+SUMIFS($J$2:$J$32,$B$2:$B$32, "Offshore Wind")+SUMIFS($J$2:$J$32,$B$2:$B$32, "Onshore Wind")+SUMIFS($J$2:$J$32,$B$2:$B$32, "Sewage Gas")</f>
        <v>11520196.4</v>
      </c>
    </row>
    <row r="41" spans="1:14" x14ac:dyDescent="0.2">
      <c r="A41" t="s">
        <v>21</v>
      </c>
      <c r="C41" s="8">
        <f>SUMIFS($J$2:$J$32,$B$2:$B$32, "Offshore Wind")+SUMIFS($J$2:$J$32,$B$2:$B$32, "Onshore Wind")</f>
        <v>9985787</v>
      </c>
    </row>
    <row r="42" spans="1:14" x14ac:dyDescent="0.2">
      <c r="A42" t="s">
        <v>20</v>
      </c>
      <c r="C42" s="8">
        <f>-$M$28</f>
        <v>14080300</v>
      </c>
    </row>
    <row r="44" spans="1:14" ht="17" customHeight="1" x14ac:dyDescent="0.2">
      <c r="A44" t="s">
        <v>82</v>
      </c>
    </row>
    <row r="45" spans="1:14" x14ac:dyDescent="0.2">
      <c r="A45" t="s">
        <v>81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5635-2948-AA4F-BB7E-28A8CEC7D419}">
  <dimension ref="A1:M30"/>
  <sheetViews>
    <sheetView workbookViewId="0">
      <selection sqref="A1:M30"/>
    </sheetView>
  </sheetViews>
  <sheetFormatPr baseColWidth="10" defaultRowHeight="16" x14ac:dyDescent="0.2"/>
  <sheetData>
    <row r="1" spans="1:13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</row>
    <row r="2" spans="1:13" ht="30" x14ac:dyDescent="0.2">
      <c r="A2" s="22" t="s">
        <v>66</v>
      </c>
      <c r="B2" s="15" t="s">
        <v>65</v>
      </c>
      <c r="C2" s="13">
        <v>0</v>
      </c>
      <c r="D2" s="13">
        <v>372.43929000000003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</row>
    <row r="3" spans="1:13" x14ac:dyDescent="0.2">
      <c r="A3" s="23"/>
      <c r="B3" s="15" t="s">
        <v>64</v>
      </c>
      <c r="C3" s="13">
        <v>0</v>
      </c>
      <c r="D3" s="13">
        <v>1642.8915400000001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</row>
    <row r="4" spans="1:13" x14ac:dyDescent="0.2">
      <c r="A4" s="23"/>
      <c r="B4" s="15" t="s">
        <v>63</v>
      </c>
      <c r="C4" s="13">
        <v>0</v>
      </c>
      <c r="D4" s="13">
        <v>9185.8067100000007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</row>
    <row r="5" spans="1:13" ht="45" x14ac:dyDescent="0.2">
      <c r="A5" s="23"/>
      <c r="B5" s="15" t="s">
        <v>62</v>
      </c>
      <c r="C5" s="13">
        <v>0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6" spans="1:13" ht="30" x14ac:dyDescent="0.2">
      <c r="A6" s="23"/>
      <c r="B6" s="15" t="s">
        <v>61</v>
      </c>
      <c r="C6" s="13">
        <v>0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</row>
    <row r="7" spans="1:13" ht="30" x14ac:dyDescent="0.2">
      <c r="A7" s="23"/>
      <c r="B7" s="15" t="s">
        <v>60</v>
      </c>
      <c r="C7" s="13">
        <v>0</v>
      </c>
      <c r="D7" s="13">
        <v>13695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</row>
    <row r="8" spans="1:13" x14ac:dyDescent="0.2">
      <c r="A8" s="23"/>
      <c r="B8" s="15" t="s">
        <v>59</v>
      </c>
      <c r="C8" s="13">
        <v>0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 spans="1:13" x14ac:dyDescent="0.2">
      <c r="A9" s="23"/>
      <c r="B9" s="15" t="s">
        <v>58</v>
      </c>
      <c r="C9" s="13">
        <v>0</v>
      </c>
      <c r="D9" s="13">
        <v>11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</row>
    <row r="10" spans="1:13" x14ac:dyDescent="0.2">
      <c r="A10" s="23"/>
      <c r="B10" s="15" t="s">
        <v>57</v>
      </c>
      <c r="C10" s="13">
        <v>0</v>
      </c>
      <c r="D10" s="13">
        <v>834.51107000000002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 spans="1:13" x14ac:dyDescent="0.2">
      <c r="A11" s="23"/>
      <c r="B11" s="15" t="s">
        <v>56</v>
      </c>
      <c r="C11" s="13">
        <v>0</v>
      </c>
      <c r="D11" s="13">
        <v>1897.296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</row>
    <row r="12" spans="1:13" ht="30" x14ac:dyDescent="0.2">
      <c r="A12" s="23"/>
      <c r="B12" s="15" t="s">
        <v>55</v>
      </c>
      <c r="C12" s="13">
        <v>0</v>
      </c>
      <c r="D12" s="13">
        <v>48629.190949999997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 spans="1:13" x14ac:dyDescent="0.2">
      <c r="A13" s="23"/>
      <c r="B13" s="15" t="s">
        <v>54</v>
      </c>
      <c r="C13" s="13">
        <v>0</v>
      </c>
      <c r="D13" s="13">
        <v>254.358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</row>
    <row r="14" spans="1:13" x14ac:dyDescent="0.2">
      <c r="A14" s="23"/>
      <c r="B14" s="15" t="s">
        <v>53</v>
      </c>
      <c r="C14" s="13">
        <v>0</v>
      </c>
      <c r="D14" s="13">
        <v>4570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 spans="1:13" ht="30" x14ac:dyDescent="0.2">
      <c r="A15" s="23"/>
      <c r="B15" s="15" t="s">
        <v>52</v>
      </c>
      <c r="C15" s="13">
        <v>0</v>
      </c>
      <c r="D15" s="13">
        <v>53544.201999999997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</row>
    <row r="16" spans="1:13" x14ac:dyDescent="0.2">
      <c r="A16" s="23"/>
      <c r="B16" s="15" t="s">
        <v>51</v>
      </c>
      <c r="C16" s="13">
        <v>0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 spans="1:13" x14ac:dyDescent="0.2">
      <c r="A17" s="23"/>
      <c r="B17" s="15" t="s">
        <v>50</v>
      </c>
      <c r="C17" s="13">
        <v>0</v>
      </c>
      <c r="D17" s="13">
        <v>27270.741000000002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</row>
    <row r="18" spans="1:13" ht="30" x14ac:dyDescent="0.2">
      <c r="A18" s="23"/>
      <c r="B18" s="15" t="s">
        <v>49</v>
      </c>
      <c r="C18" s="13">
        <v>0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 spans="1:13" x14ac:dyDescent="0.2">
      <c r="A19" s="23"/>
      <c r="B19" s="15" t="s">
        <v>48</v>
      </c>
      <c r="C19" s="13">
        <v>0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</row>
    <row r="20" spans="1:13" x14ac:dyDescent="0.2">
      <c r="A20" s="23"/>
      <c r="B20" s="15" t="s">
        <v>47</v>
      </c>
      <c r="C20" s="13">
        <v>0</v>
      </c>
      <c r="D20" s="13">
        <v>40470.421999999999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 spans="1:13" ht="30" x14ac:dyDescent="0.2">
      <c r="A21" s="24"/>
      <c r="B21" s="15" t="s">
        <v>46</v>
      </c>
      <c r="C21" s="13">
        <v>0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</row>
    <row r="22" spans="1:13" x14ac:dyDescent="0.2">
      <c r="A22" s="15" t="s">
        <v>45</v>
      </c>
      <c r="B22" s="15" t="s">
        <v>44</v>
      </c>
      <c r="C22" s="13">
        <v>0</v>
      </c>
      <c r="D22" s="13">
        <v>230800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 spans="1:13" x14ac:dyDescent="0.2">
      <c r="A23" s="22" t="s">
        <v>43</v>
      </c>
      <c r="B23" s="15" t="s">
        <v>42</v>
      </c>
      <c r="C23" s="13">
        <v>0</v>
      </c>
      <c r="D23" s="13">
        <v>12450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</row>
    <row r="24" spans="1:13" x14ac:dyDescent="0.2">
      <c r="A24" s="23"/>
      <c r="B24" s="15" t="s">
        <v>41</v>
      </c>
      <c r="C24" s="13">
        <v>0</v>
      </c>
      <c r="D24" s="13">
        <v>3653.0947500000002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 spans="1:13" ht="30" x14ac:dyDescent="0.2">
      <c r="A25" s="24"/>
      <c r="B25" s="15" t="s">
        <v>40</v>
      </c>
      <c r="C25" s="13">
        <v>0</v>
      </c>
      <c r="D25" s="13">
        <v>278.38099999999997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</row>
    <row r="26" spans="1:13" ht="30" x14ac:dyDescent="0.2">
      <c r="A26" s="22" t="s">
        <v>36</v>
      </c>
      <c r="B26" s="15" t="s">
        <v>35</v>
      </c>
      <c r="C26" s="13">
        <v>0</v>
      </c>
      <c r="D26" s="13">
        <v>26471.973000000002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 spans="1:13" ht="45" x14ac:dyDescent="0.2">
      <c r="A27" s="23"/>
      <c r="B27" s="15" t="s">
        <v>34</v>
      </c>
      <c r="C27" s="13">
        <v>0</v>
      </c>
      <c r="D27" s="13">
        <v>857.70799999999997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</row>
    <row r="28" spans="1:13" ht="45" x14ac:dyDescent="0.2">
      <c r="A28" s="23"/>
      <c r="B28" s="15" t="s">
        <v>33</v>
      </c>
      <c r="C28" s="13">
        <v>0</v>
      </c>
      <c r="D28" s="13">
        <v>457.99400000000003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 spans="1:13" ht="60" x14ac:dyDescent="0.2">
      <c r="A29" s="24"/>
      <c r="B29" s="15" t="s">
        <v>32</v>
      </c>
      <c r="C29" s="13">
        <v>0</v>
      </c>
      <c r="D29" s="13">
        <v>5300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</row>
    <row r="30" spans="1:13" x14ac:dyDescent="0.2">
      <c r="A30" s="15" t="s">
        <v>31</v>
      </c>
      <c r="B30" s="15" t="s">
        <v>30</v>
      </c>
      <c r="C30" s="13">
        <v>0</v>
      </c>
      <c r="D30" s="13">
        <v>46768.008000000002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</sheetData>
  <mergeCells count="3">
    <mergeCell ref="A2:A21"/>
    <mergeCell ref="A23:A25"/>
    <mergeCell ref="A26:A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87AD-9809-0344-92AE-527B1C0C2A70}">
  <dimension ref="A1:N43"/>
  <sheetViews>
    <sheetView topLeftCell="A12" workbookViewId="0">
      <selection sqref="A1:M33"/>
    </sheetView>
  </sheetViews>
  <sheetFormatPr baseColWidth="10" defaultColWidth="17" defaultRowHeight="16" x14ac:dyDescent="0.2"/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/>
    </row>
    <row r="2" spans="1:14" ht="30" customHeight="1" x14ac:dyDescent="0.2">
      <c r="A2" s="22" t="s">
        <v>66</v>
      </c>
      <c r="B2" s="15" t="s">
        <v>65</v>
      </c>
      <c r="C2" s="13">
        <v>0</v>
      </c>
      <c r="D2" s="14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/>
    </row>
    <row r="3" spans="1:14" x14ac:dyDescent="0.2">
      <c r="A3" s="23"/>
      <c r="B3" s="15" t="s">
        <v>64</v>
      </c>
      <c r="C3" s="13">
        <v>0</v>
      </c>
      <c r="D3" s="14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/>
    </row>
    <row r="4" spans="1:14" x14ac:dyDescent="0.2">
      <c r="A4" s="23"/>
      <c r="B4" s="15" t="s">
        <v>63</v>
      </c>
      <c r="C4" s="13">
        <v>0</v>
      </c>
      <c r="D4" s="14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/>
    </row>
    <row r="5" spans="1:14" ht="45" customHeight="1" x14ac:dyDescent="0.2">
      <c r="A5" s="23"/>
      <c r="B5" s="15" t="s">
        <v>62</v>
      </c>
      <c r="C5" s="13">
        <v>0</v>
      </c>
      <c r="D5" s="14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/>
    </row>
    <row r="6" spans="1:14" ht="30" x14ac:dyDescent="0.2">
      <c r="A6" s="23"/>
      <c r="B6" s="15" t="s">
        <v>61</v>
      </c>
      <c r="C6" s="13">
        <v>0</v>
      </c>
      <c r="D6" s="14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/>
    </row>
    <row r="7" spans="1:14" ht="30" customHeight="1" x14ac:dyDescent="0.2">
      <c r="A7" s="23"/>
      <c r="B7" s="15" t="s">
        <v>60</v>
      </c>
      <c r="C7" s="13">
        <v>0</v>
      </c>
      <c r="D7" s="14">
        <v>13695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/>
    </row>
    <row r="8" spans="1:14" x14ac:dyDescent="0.2">
      <c r="A8" s="23"/>
      <c r="B8" s="15" t="s">
        <v>59</v>
      </c>
      <c r="C8" s="13">
        <v>0</v>
      </c>
      <c r="D8" s="14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/>
    </row>
    <row r="9" spans="1:14" x14ac:dyDescent="0.2">
      <c r="A9" s="23"/>
      <c r="B9" s="15" t="s">
        <v>58</v>
      </c>
      <c r="C9" s="13">
        <v>0</v>
      </c>
      <c r="D9" s="14">
        <v>11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/>
    </row>
    <row r="10" spans="1:14" x14ac:dyDescent="0.2">
      <c r="A10" s="23"/>
      <c r="B10" s="15" t="s">
        <v>57</v>
      </c>
      <c r="C10" s="13">
        <v>0</v>
      </c>
      <c r="D10" s="14">
        <v>834.51110000000006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/>
    </row>
    <row r="11" spans="1:14" x14ac:dyDescent="0.2">
      <c r="A11" s="23"/>
      <c r="B11" s="15" t="s">
        <v>56</v>
      </c>
      <c r="C11" s="13">
        <v>0</v>
      </c>
      <c r="D11" s="14">
        <v>1897.296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/>
    </row>
    <row r="12" spans="1:14" ht="30" customHeight="1" x14ac:dyDescent="0.2">
      <c r="A12" s="23"/>
      <c r="B12" s="15" t="s">
        <v>55</v>
      </c>
      <c r="C12" s="13">
        <v>0</v>
      </c>
      <c r="D12" s="14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/>
    </row>
    <row r="13" spans="1:14" x14ac:dyDescent="0.2">
      <c r="A13" s="23"/>
      <c r="B13" s="15" t="s">
        <v>54</v>
      </c>
      <c r="C13" s="13">
        <v>0</v>
      </c>
      <c r="D13" s="14">
        <v>254.358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/>
    </row>
    <row r="14" spans="1:14" x14ac:dyDescent="0.2">
      <c r="A14" s="23"/>
      <c r="B14" s="15" t="s">
        <v>53</v>
      </c>
      <c r="C14" s="13">
        <v>0</v>
      </c>
      <c r="D14" s="14">
        <v>4570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/>
    </row>
    <row r="15" spans="1:14" ht="30" customHeight="1" x14ac:dyDescent="0.2">
      <c r="A15" s="23"/>
      <c r="B15" s="15" t="s">
        <v>52</v>
      </c>
      <c r="C15" s="13">
        <v>0</v>
      </c>
      <c r="D15" s="14">
        <v>53544.2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/>
    </row>
    <row r="16" spans="1:14" x14ac:dyDescent="0.2">
      <c r="A16" s="23"/>
      <c r="B16" s="15" t="s">
        <v>51</v>
      </c>
      <c r="C16" s="13">
        <v>0</v>
      </c>
      <c r="D16" s="14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/>
    </row>
    <row r="17" spans="1:14" x14ac:dyDescent="0.2">
      <c r="A17" s="23"/>
      <c r="B17" s="15" t="s">
        <v>50</v>
      </c>
      <c r="C17" s="13">
        <v>0</v>
      </c>
      <c r="D17" s="14">
        <v>27270.74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/>
    </row>
    <row r="18" spans="1:14" ht="30" x14ac:dyDescent="0.2">
      <c r="A18" s="23"/>
      <c r="B18" s="15" t="s">
        <v>49</v>
      </c>
      <c r="C18" s="13">
        <v>0</v>
      </c>
      <c r="D18" s="14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/>
    </row>
    <row r="19" spans="1:14" x14ac:dyDescent="0.2">
      <c r="A19" s="23"/>
      <c r="B19" s="15" t="s">
        <v>48</v>
      </c>
      <c r="C19" s="13">
        <v>0</v>
      </c>
      <c r="D19" s="14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/>
    </row>
    <row r="20" spans="1:14" x14ac:dyDescent="0.2">
      <c r="A20" s="23"/>
      <c r="B20" s="15" t="s">
        <v>47</v>
      </c>
      <c r="C20" s="13">
        <v>0</v>
      </c>
      <c r="D20" s="14">
        <v>40470.42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/>
    </row>
    <row r="21" spans="1:14" ht="30" customHeight="1" x14ac:dyDescent="0.2">
      <c r="A21" s="24"/>
      <c r="B21" s="15" t="s">
        <v>46</v>
      </c>
      <c r="C21" s="13">
        <v>0</v>
      </c>
      <c r="D21" s="14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/>
    </row>
    <row r="22" spans="1:14" x14ac:dyDescent="0.2">
      <c r="A22" s="15" t="s">
        <v>45</v>
      </c>
      <c r="B22" s="15" t="s">
        <v>44</v>
      </c>
      <c r="C22" s="13">
        <v>0</v>
      </c>
      <c r="D22" s="14">
        <v>230800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/>
    </row>
    <row r="23" spans="1:14" x14ac:dyDescent="0.2">
      <c r="A23" s="22" t="s">
        <v>43</v>
      </c>
      <c r="B23" s="15" t="s">
        <v>42</v>
      </c>
      <c r="C23" s="13">
        <v>0</v>
      </c>
      <c r="D23" s="14">
        <v>12450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/>
    </row>
    <row r="24" spans="1:14" x14ac:dyDescent="0.2">
      <c r="A24" s="23"/>
      <c r="B24" s="15" t="s">
        <v>79</v>
      </c>
      <c r="C24" s="13">
        <v>0</v>
      </c>
      <c r="D24" s="14">
        <v>26000000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/>
    </row>
    <row r="25" spans="1:14" ht="30" customHeight="1" x14ac:dyDescent="0.2">
      <c r="A25" s="23"/>
      <c r="B25" s="15" t="s">
        <v>41</v>
      </c>
      <c r="C25" s="13">
        <v>0</v>
      </c>
      <c r="D25" s="14">
        <v>3653.0949999999998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/>
    </row>
    <row r="26" spans="1:14" x14ac:dyDescent="0.2">
      <c r="A26" s="23"/>
      <c r="B26" s="15" t="s">
        <v>40</v>
      </c>
      <c r="C26" s="13">
        <v>0</v>
      </c>
      <c r="D26" s="14">
        <v>278.38099999999997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/>
    </row>
    <row r="27" spans="1:14" x14ac:dyDescent="0.2">
      <c r="A27" s="24"/>
      <c r="B27" s="15" t="s">
        <v>80</v>
      </c>
      <c r="C27" s="13">
        <v>0</v>
      </c>
      <c r="D27" s="14">
        <v>156000000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/>
    </row>
    <row r="28" spans="1:14" ht="30" customHeight="1" x14ac:dyDescent="0.2">
      <c r="A28" s="22" t="s">
        <v>36</v>
      </c>
      <c r="B28" s="15" t="s">
        <v>35</v>
      </c>
      <c r="C28" s="13">
        <v>0</v>
      </c>
      <c r="D28" s="14">
        <v>26471.97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/>
    </row>
    <row r="29" spans="1:14" ht="45" customHeight="1" x14ac:dyDescent="0.2">
      <c r="A29" s="23"/>
      <c r="B29" s="15" t="s">
        <v>34</v>
      </c>
      <c r="C29" s="13">
        <v>0</v>
      </c>
      <c r="D29" s="14">
        <v>857.70799999999997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/>
    </row>
    <row r="30" spans="1:14" ht="45" customHeight="1" x14ac:dyDescent="0.2">
      <c r="A30" s="23"/>
      <c r="B30" s="15" t="s">
        <v>33</v>
      </c>
      <c r="C30" s="13">
        <v>0</v>
      </c>
      <c r="D30" s="14">
        <v>457.99400000000003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/>
    </row>
    <row r="31" spans="1:14" ht="60" customHeight="1" x14ac:dyDescent="0.2">
      <c r="A31" s="24"/>
      <c r="B31" s="15" t="s">
        <v>32</v>
      </c>
      <c r="C31" s="13">
        <v>0</v>
      </c>
      <c r="D31" s="14">
        <v>5300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/>
    </row>
    <row r="32" spans="1:14" x14ac:dyDescent="0.2">
      <c r="A32" s="22" t="s">
        <v>31</v>
      </c>
      <c r="B32" s="15" t="s">
        <v>79</v>
      </c>
      <c r="C32" s="13">
        <v>0</v>
      </c>
      <c r="D32" s="14">
        <v>13000000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/>
    </row>
    <row r="33" spans="1:14" x14ac:dyDescent="0.2">
      <c r="A33" s="24"/>
      <c r="B33" s="15" t="s">
        <v>30</v>
      </c>
      <c r="C33" s="13">
        <v>0</v>
      </c>
      <c r="D33" s="14">
        <v>46768.01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/>
    </row>
    <row r="34" spans="1:14" x14ac:dyDescent="0.2">
      <c r="A34" s="22"/>
      <c r="B34" s="15"/>
      <c r="C34" s="14"/>
      <c r="D34" s="14"/>
      <c r="E34" s="14"/>
      <c r="F34" s="14"/>
      <c r="G34" s="14"/>
      <c r="H34" s="14"/>
      <c r="I34" s="14"/>
      <c r="J34" s="14"/>
      <c r="K34" s="13"/>
      <c r="L34" s="14"/>
      <c r="M34" s="14"/>
      <c r="N34" s="13"/>
    </row>
    <row r="35" spans="1:14" x14ac:dyDescent="0.2">
      <c r="A35" s="24"/>
      <c r="B35" s="15"/>
      <c r="C35" s="14"/>
      <c r="D35" s="14"/>
      <c r="E35" s="14"/>
      <c r="F35" s="14"/>
      <c r="G35" s="14"/>
      <c r="H35" s="14"/>
      <c r="I35" s="14"/>
      <c r="J35" s="14"/>
      <c r="K35" s="13"/>
      <c r="L35" s="14"/>
      <c r="M35" s="14"/>
      <c r="N35" s="13"/>
    </row>
    <row r="36" spans="1:14" x14ac:dyDescent="0.2">
      <c r="A36" s="19"/>
      <c r="B36" s="19"/>
      <c r="C36" s="9"/>
      <c r="D36" s="9"/>
      <c r="E36" s="17"/>
      <c r="F36" s="17"/>
      <c r="G36" s="17"/>
      <c r="H36" s="17"/>
      <c r="I36" s="9"/>
      <c r="J36" s="18"/>
      <c r="K36" s="9"/>
      <c r="L36" s="17"/>
      <c r="M36" s="17"/>
      <c r="N36" s="9"/>
    </row>
    <row r="37" spans="1:14" x14ac:dyDescent="0.2">
      <c r="I37" s="12" t="s">
        <v>28</v>
      </c>
      <c r="J37" s="11" t="e">
        <f>SUM(#REF!)</f>
        <v>#REF!</v>
      </c>
      <c r="K37" s="10" t="s">
        <v>27</v>
      </c>
      <c r="L37" s="8">
        <f>SUM(L1:L30)</f>
        <v>0</v>
      </c>
      <c r="M37" s="8">
        <f>SUM(M1:M30)</f>
        <v>0</v>
      </c>
      <c r="N37" s="8">
        <f>SUM(N1:N30)</f>
        <v>0</v>
      </c>
    </row>
    <row r="38" spans="1:14" x14ac:dyDescent="0.2">
      <c r="I38" s="9" t="s">
        <v>26</v>
      </c>
      <c r="J38" s="8">
        <f>SUM(J12,J14)</f>
        <v>0</v>
      </c>
    </row>
    <row r="39" spans="1:14" x14ac:dyDescent="0.2">
      <c r="A39" t="s">
        <v>24</v>
      </c>
      <c r="I39" s="9" t="s">
        <v>25</v>
      </c>
      <c r="J39" s="8">
        <f>SUM(J17)</f>
        <v>0</v>
      </c>
    </row>
    <row r="40" spans="1:14" x14ac:dyDescent="0.2">
      <c r="A40" t="s">
        <v>23</v>
      </c>
      <c r="C40" s="8">
        <f>SUMIFS($D$2:$D$32,$B$2:$B$32, "Solar PV")+SUMIFS($D$2:$D$32,$B$2:$B$32, "Offshore Wind")+SUMIFS($D$2:$D$32,$B$2:$B$32, "Onshore Wind")+SUMIFS($D$2:$D$32,$B$2:$B$32, "Sewage Gas")</f>
        <v>121341.17939</v>
      </c>
    </row>
    <row r="41" spans="1:14" x14ac:dyDescent="0.2">
      <c r="A41" t="s">
        <v>22</v>
      </c>
      <c r="C41" s="8">
        <f>SUMIFS($J$2:$J$32,$B$2:$B$32, "Solar PV")+SUMIFS($J$2:$J$32,$B$2:$B$32, "Offshore Wind")+SUMIFS($J$2:$J$32,$B$2:$B$32, "Onshore Wind")+SUMIFS($J$2:$J$32,$B$2:$B$32, "Sewage Gas")</f>
        <v>0</v>
      </c>
    </row>
    <row r="42" spans="1:14" x14ac:dyDescent="0.2">
      <c r="A42" t="s">
        <v>21</v>
      </c>
      <c r="C42" s="8">
        <f>SUMIFS($J$2:$J$32,$B$2:$B$32, "Offshore Wind")+SUMIFS($J$2:$J$32,$B$2:$B$32, "Onshore Wind")</f>
        <v>0</v>
      </c>
    </row>
    <row r="43" spans="1:14" x14ac:dyDescent="0.2">
      <c r="A43" t="s">
        <v>20</v>
      </c>
      <c r="C43" s="8">
        <f>-$M$28</f>
        <v>0</v>
      </c>
    </row>
  </sheetData>
  <mergeCells count="5">
    <mergeCell ref="A34:A35"/>
    <mergeCell ref="A2:A21"/>
    <mergeCell ref="A23:A27"/>
    <mergeCell ref="A28:A31"/>
    <mergeCell ref="A32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2026-08-20T12:44:31Z</dcterms:modified>
</cp:coreProperties>
</file>