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7F7719D1-1CC9-AC4F-870D-861C80B75E2B}" xr6:coauthVersionLast="47" xr6:coauthVersionMax="47" xr10:uidLastSave="{00000000-0000-0000-0000-000000000000}"/>
  <bookViews>
    <workbookView xWindow="10260" yWindow="70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G11" i="8"/>
  <c r="G12" i="8"/>
  <c r="C15" i="8"/>
  <c r="B14" i="8"/>
  <c r="E11" i="8"/>
  <c r="B12" i="8"/>
  <c r="E13" i="8"/>
  <c r="E14" i="8"/>
  <c r="G15" i="8"/>
  <c r="E15" i="8"/>
  <c r="D13" i="8"/>
  <c r="F15" i="8"/>
  <c r="F13" i="8"/>
  <c r="B13" i="8"/>
  <c r="D15" i="8"/>
  <c r="B15" i="8"/>
  <c r="C14" i="8"/>
  <c r="C11" i="8"/>
  <c r="B7" i="8"/>
  <c r="B8" i="8"/>
  <c r="F11" i="8"/>
  <c r="G13" i="8"/>
  <c r="F12" i="8"/>
  <c r="B11" i="8"/>
  <c r="D12" i="8"/>
  <c r="C13" i="8"/>
  <c r="G14" i="8"/>
  <c r="F14" i="8"/>
  <c r="D14" i="8"/>
  <c r="C12" i="8"/>
  <c r="D11" i="8"/>
  <c r="E12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<sst xmlns="http://schemas.openxmlformats.org/spreadsheetml/2006/main" count="323" uniqueCount="78">
  <si>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</si>
  <si>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</si>
  <si>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</si>
  <si>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</si>
  <si>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</si>
  <si>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</si>
  <si>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</si>
  <si>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</si>
  <si>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</si>
  <si>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</si>
  <si>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</si>
  <si>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</si>
  <si>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</si>
  <si>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</si>
  <si>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</si>
  <si>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</si>
  <si>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</si>
  <si>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</si>
  <si>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</si>
  <si>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</si>
  <si>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</si>
  <si>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</si>
  <si>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</si>
  <si>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</si>
  <si>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</si>
  <si>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Scotland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</si>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</sst>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H16" sqref="H16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25</v>
      </c>
    </row>
    <row r="4" spans="1:7" x14ac:dyDescent="0.2">
      <c r="A4" s="4" t="s">
        <v>4</v>
      </c>
      <c r="B4" s="2">
        <v>10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10214852.45806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10243011.15907</v>
      </c>
      <c r="D11" s="3">
        <f t="shared" ca="1" si="0"/>
        <v>10556578.042499999</v>
      </c>
      <c r="E11" s="3">
        <f t="shared" ca="1" si="0"/>
        <v>10447319.837959999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5926080.1230300004</v>
      </c>
      <c r="C12" s="3">
        <f t="shared" ref="C12:G12" ca="1" si="1">SUMIFS(INDIRECT(C$10&amp;"!$J$2:$J$35"), INDIRECT(C$10&amp;"!$B$2:$B$35"), "Offshore Wind")</f>
        <v>5921635.7406400004</v>
      </c>
      <c r="D12" s="3">
        <f t="shared" ca="1" si="1"/>
        <v>6106268.1300400002</v>
      </c>
      <c r="E12" s="3">
        <f t="shared" ca="1" si="1"/>
        <v>6068711.96612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2783600.3607000001</v>
      </c>
      <c r="C13" s="5">
        <f t="shared" ref="C13:G13" ca="1" si="2">SUMIFS(INDIRECT(C$10&amp;"!$J$2:$J$35"), INDIRECT(C$10&amp;"!$B$2:$B$35"), "Onshore Wind")</f>
        <v>2702967.8615999999</v>
      </c>
      <c r="D13" s="5">
        <f t="shared" ca="1" si="2"/>
        <v>2805296.2551099998</v>
      </c>
      <c r="E13" s="5">
        <f t="shared" ca="1" si="2"/>
        <v>2892745.6418400002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1272609.3357299999</v>
      </c>
      <c r="C14" s="5">
        <f t="shared" ref="C14:G14" ca="1" si="3">SUMIFS(INDIRECT(C$10&amp;"!$J$2:$J$35"), INDIRECT(C$10&amp;"!$B$2:$B$35"), "Solar PV")</f>
        <v>1367202.5786900001</v>
      </c>
      <c r="D14" s="5">
        <f t="shared" ca="1" si="3"/>
        <v>1395346.1584699999</v>
      </c>
      <c r="E14" s="5">
        <f t="shared" ca="1" si="3"/>
        <v>1222202.8291799999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42159247.949879996</v>
      </c>
      <c r="C15" s="3">
        <f t="shared" ref="C15:G15" ca="1" si="4">-SUMIFS(INDIRECT(C$10&amp;"!$M$2:$M$35"), INDIRECT(C$10&amp;"!$B$2:$B$35"), "Data Centre")</f>
        <v>41871531.981509998</v>
      </c>
      <c r="D15" s="3">
        <f t="shared" ca="1" si="4"/>
        <v>42278393.184780002</v>
      </c>
      <c r="E15" s="3">
        <f t="shared" ca="1" si="4"/>
        <v>41280542.128409997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105208638.89117301</v>
      </c>
      <c r="C16" s="3">
        <v>104117383.49204201</v>
      </c>
      <c r="D16" s="3">
        <v>104777554.93683</v>
      </c>
      <c r="E16" s="3">
        <v>101156168.64884301</v>
      </c>
      <c r="F16" s="3" t="s">
        <v>77</v>
      </c>
      <c r="G16" s="3" t="s">
        <v>77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-2.7566429496279632E-3</v>
      </c>
      <c r="D18" s="9">
        <f t="shared" ref="D18:G18" ca="1" si="5">1-D$11/$B$11</f>
        <v>-3.345379542612581E-2</v>
      </c>
      <c r="E18" s="9">
        <f t="shared" ca="1" si="5"/>
        <v>-2.2757781461304472E-2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7.4997001352172799E-4</v>
      </c>
      <c r="D19" s="9">
        <f t="shared" ref="D19:G19" ca="1" si="6">1-D$12/$B$12</f>
        <v>-3.040593499736044E-2</v>
      </c>
      <c r="E19" s="9">
        <f t="shared" ca="1" si="6"/>
        <v>-2.4068497240815612E-2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2.8966981122147573E-2</v>
      </c>
      <c r="D20" s="9">
        <f t="shared" ref="D20:G20" ca="1" si="7">1-D$13/$B$13</f>
        <v>-7.7941843650801701E-3</v>
      </c>
      <c r="E20" s="9">
        <f t="shared" ca="1" si="7"/>
        <v>-3.921011172471367E-2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-7.4330150112987381E-2</v>
      </c>
      <c r="D21" s="9">
        <f t="shared" ref="D21:G21" ca="1" si="8">1-D$14/$B$14</f>
        <v>-9.6445012066169733E-2</v>
      </c>
      <c r="E21" s="9">
        <f t="shared" ca="1" si="8"/>
        <v>3.9608782628555605E-2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6.8245042869844452E-3</v>
      </c>
      <c r="D22" s="9">
        <f t="shared" ref="D22:G22" ca="1" si="9">1-D$15/$B$15</f>
        <v>-2.8260759072753494E-3</v>
      </c>
      <c r="E22" s="9">
        <f t="shared" ca="1" si="9"/>
        <v>2.084254023019172E-2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1.0372298421803428E-2</v>
      </c>
      <c r="D23" s="9">
        <f t="shared" ref="D23:G23" si="10">1-D$16/$B$16</f>
        <v>4.0974197450545091E-3</v>
      </c>
      <c r="E23" s="9">
        <f t="shared" si="10"/>
        <v>3.8518417166501395E-2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3A7D-1698-5C43-AE58-A483821AB90C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4463786.4052299997</v>
      </c>
      <c r="F7" s="10">
        <v>0</v>
      </c>
      <c r="G7" s="10">
        <v>4463786.4052299997</v>
      </c>
      <c r="H7" s="10">
        <v>0</v>
      </c>
      <c r="I7" s="10">
        <v>0.1491728981380066</v>
      </c>
      <c r="J7" s="10">
        <v>25459788.594769999</v>
      </c>
      <c r="K7" s="10">
        <v>0</v>
      </c>
      <c r="L7" s="10">
        <v>57879150.48612</v>
      </c>
      <c r="M7" s="10">
        <v>57879150.48612</v>
      </c>
      <c r="N7" s="10">
        <v>12.96637993434936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6271.3280000000004</v>
      </c>
      <c r="F9" s="10">
        <v>0</v>
      </c>
      <c r="G9" s="10">
        <v>6271.3280000000004</v>
      </c>
      <c r="H9" s="10">
        <v>0</v>
      </c>
      <c r="I9" s="10">
        <v>0.26092454545454552</v>
      </c>
      <c r="J9" s="10">
        <v>17763.671999999999</v>
      </c>
      <c r="K9" s="10">
        <v>0</v>
      </c>
      <c r="L9" s="10">
        <v>78140.746880000006</v>
      </c>
      <c r="M9" s="10">
        <v>143085.74692999999</v>
      </c>
      <c r="N9" s="10">
        <v>22.81588547019863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13641.034149999999</v>
      </c>
      <c r="F10" s="10">
        <v>0</v>
      </c>
      <c r="G10" s="10">
        <v>13641.034149999999</v>
      </c>
      <c r="H10" s="10">
        <v>0</v>
      </c>
      <c r="I10" s="10">
        <v>7.481075116235426E-3</v>
      </c>
      <c r="J10" s="10">
        <v>1809765.6454799999</v>
      </c>
      <c r="K10" s="10">
        <v>0</v>
      </c>
      <c r="L10" s="10">
        <v>736615.84415000002</v>
      </c>
      <c r="M10" s="10">
        <v>806326.19987999997</v>
      </c>
      <c r="N10" s="10">
        <v>59.110306837694459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1457517.0371699999</v>
      </c>
      <c r="F11" s="10">
        <v>0</v>
      </c>
      <c r="G11" s="10">
        <v>1457517.0371699999</v>
      </c>
      <c r="H11" s="10">
        <v>0</v>
      </c>
      <c r="I11" s="10">
        <v>0.35158238356060412</v>
      </c>
      <c r="J11" s="10">
        <v>200719.66683</v>
      </c>
      <c r="K11" s="10">
        <v>0</v>
      </c>
      <c r="L11" s="10">
        <v>0</v>
      </c>
      <c r="M11" s="10">
        <v>11867427.631619999</v>
      </c>
      <c r="N11" s="10">
        <v>8.1422222592006364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241926.57905</v>
      </c>
      <c r="F13" s="10">
        <v>0</v>
      </c>
      <c r="G13" s="10">
        <v>241926.57905</v>
      </c>
      <c r="H13" s="10">
        <v>0</v>
      </c>
      <c r="I13" s="10">
        <v>0.43529808380314361</v>
      </c>
      <c r="J13" s="10">
        <v>31842.97177</v>
      </c>
      <c r="K13" s="10">
        <v>0</v>
      </c>
      <c r="L13" s="10">
        <v>0</v>
      </c>
      <c r="M13" s="10">
        <v>2400074.7105100001</v>
      </c>
      <c r="N13" s="10">
        <v>9.920673617737469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4586706.53364</v>
      </c>
      <c r="F14" s="10">
        <v>0</v>
      </c>
      <c r="G14" s="10">
        <v>4586706.53364</v>
      </c>
      <c r="H14" s="10">
        <v>0</v>
      </c>
      <c r="I14" s="10">
        <v>0.45933899124726468</v>
      </c>
      <c r="J14" s="10">
        <v>5398743.46636</v>
      </c>
      <c r="K14" s="10">
        <v>0</v>
      </c>
      <c r="L14" s="10">
        <v>45867065.336379997</v>
      </c>
      <c r="M14" s="10">
        <v>85335327.365590006</v>
      </c>
      <c r="N14" s="10">
        <v>18.604924208495039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26188765.986529998</v>
      </c>
      <c r="F15" s="10">
        <v>0</v>
      </c>
      <c r="G15" s="10">
        <v>26188765.986529998</v>
      </c>
      <c r="H15" s="10">
        <v>0</v>
      </c>
      <c r="I15" s="10">
        <v>0.22384693042955431</v>
      </c>
      <c r="J15" s="10">
        <v>5926080.1230300004</v>
      </c>
      <c r="K15" s="10">
        <v>0</v>
      </c>
      <c r="L15" s="10">
        <v>0</v>
      </c>
      <c r="M15" s="10">
        <v>122314046.8527</v>
      </c>
      <c r="N15" s="10">
        <v>4.67047767283408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11551533.995719999</v>
      </c>
      <c r="F17" s="10">
        <v>0</v>
      </c>
      <c r="G17" s="10">
        <v>11551533.995719999</v>
      </c>
      <c r="H17" s="10">
        <v>0</v>
      </c>
      <c r="I17" s="10">
        <v>0.19386137142368079</v>
      </c>
      <c r="J17" s="10">
        <v>2783600.3607000001</v>
      </c>
      <c r="K17" s="10">
        <v>0</v>
      </c>
      <c r="L17" s="10">
        <v>0</v>
      </c>
      <c r="M17" s="10">
        <v>50893100.958889998</v>
      </c>
      <c r="N17" s="10">
        <v>4.4057439426437064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13292932.12348</v>
      </c>
      <c r="F20" s="10">
        <v>0</v>
      </c>
      <c r="G20" s="10">
        <v>13292932.12348</v>
      </c>
      <c r="H20" s="10">
        <v>0</v>
      </c>
      <c r="I20" s="10">
        <v>0.15032513869017719</v>
      </c>
      <c r="J20" s="10">
        <v>1272609.3357299999</v>
      </c>
      <c r="K20" s="10">
        <v>0</v>
      </c>
      <c r="L20" s="10">
        <v>0</v>
      </c>
      <c r="M20" s="10">
        <v>106029055.81854001</v>
      </c>
      <c r="N20" s="10">
        <v>7.9763482396581651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41128500.371320002</v>
      </c>
      <c r="F22" s="10">
        <v>20112200.8013</v>
      </c>
      <c r="G22" s="10">
        <v>21016299.570020001</v>
      </c>
      <c r="H22" s="10">
        <v>-21016299.570020001</v>
      </c>
      <c r="I22" s="10">
        <v>0.121437525389948</v>
      </c>
      <c r="J22" s="10">
        <v>0</v>
      </c>
      <c r="K22" s="10">
        <v>0</v>
      </c>
      <c r="L22" s="10">
        <v>0</v>
      </c>
      <c r="M22" s="10">
        <v>245154726.37878999</v>
      </c>
      <c r="N22" s="10">
        <v>4.0031338906365352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10160195.4856</v>
      </c>
      <c r="F23" s="10">
        <v>5581953.0186999999</v>
      </c>
      <c r="G23" s="10">
        <v>4578242.4669000003</v>
      </c>
      <c r="H23" s="10">
        <v>-4578242.4669000003</v>
      </c>
      <c r="I23" s="10">
        <v>0.57868631485943778</v>
      </c>
      <c r="J23" s="10">
        <v>31781492.466899998</v>
      </c>
      <c r="K23" s="10">
        <v>0</v>
      </c>
      <c r="L23" s="10">
        <v>0</v>
      </c>
      <c r="M23" s="10">
        <v>100778536.17354</v>
      </c>
      <c r="N23" s="10">
        <v>6.4018285817961704</v>
      </c>
    </row>
    <row r="24" spans="1:14" x14ac:dyDescent="0.2">
      <c r="A24" s="12"/>
      <c r="B24" s="11" t="s">
        <v>37</v>
      </c>
      <c r="C24" s="10">
        <v>3653.0947500000002</v>
      </c>
      <c r="D24" s="10">
        <v>3653.0947500000002</v>
      </c>
      <c r="E24" s="10">
        <v>0</v>
      </c>
      <c r="F24" s="10">
        <v>193131.86037000001</v>
      </c>
      <c r="G24" s="10">
        <v>-193131.86037000001</v>
      </c>
      <c r="H24" s="10">
        <v>0</v>
      </c>
      <c r="I24" s="10">
        <v>2.419588761008731E-2</v>
      </c>
      <c r="J24" s="10">
        <v>7788880.1782600004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36</v>
      </c>
      <c r="C25" s="10">
        <v>278.38099999999997</v>
      </c>
      <c r="D25" s="10">
        <v>278.38099999999997</v>
      </c>
      <c r="E25" s="10">
        <v>0</v>
      </c>
      <c r="F25" s="10">
        <v>129533.29552</v>
      </c>
      <c r="G25" s="10">
        <v>-129533.29552</v>
      </c>
      <c r="H25" s="10">
        <v>0</v>
      </c>
      <c r="I25" s="10">
        <v>0.21295623623738691</v>
      </c>
      <c r="J25" s="10">
        <v>478729.18948</v>
      </c>
      <c r="K25" s="10">
        <v>0</v>
      </c>
      <c r="L25" s="10">
        <v>647666.47759999998</v>
      </c>
      <c r="M25" s="10">
        <v>0</v>
      </c>
    </row>
    <row r="26" spans="1:14" x14ac:dyDescent="0.2">
      <c r="A26" s="12" t="s">
        <v>35</v>
      </c>
      <c r="B26" s="11" t="s">
        <v>34</v>
      </c>
      <c r="C26" s="10">
        <v>0</v>
      </c>
      <c r="D26" s="10">
        <v>0</v>
      </c>
      <c r="E26" s="10">
        <v>0</v>
      </c>
      <c r="F26" s="10">
        <v>4693920.3252499998</v>
      </c>
      <c r="G26" s="10">
        <v>-4693920.3252499998</v>
      </c>
      <c r="H26" s="10">
        <v>0</v>
      </c>
      <c r="J26" s="10">
        <v>0</v>
      </c>
      <c r="K26" s="10">
        <v>0</v>
      </c>
      <c r="L26" s="10">
        <v>0</v>
      </c>
      <c r="M26" s="10">
        <v>-42159247.949879996</v>
      </c>
      <c r="N26" s="10">
        <v>-8.9816709695465295</v>
      </c>
    </row>
    <row r="27" spans="1:14" x14ac:dyDescent="0.2">
      <c r="A27" s="12"/>
      <c r="B27" s="11" t="s">
        <v>33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-485909451.95060003</v>
      </c>
      <c r="N27" s="10">
        <v>-9.312475084923971</v>
      </c>
    </row>
    <row r="28" spans="1:14" x14ac:dyDescent="0.2">
      <c r="A28" s="12" t="s">
        <v>32</v>
      </c>
      <c r="B28" s="11" t="s">
        <v>31</v>
      </c>
      <c r="C28" s="10">
        <v>26471.973000000002</v>
      </c>
      <c r="D28" s="10">
        <v>26471.973000000002</v>
      </c>
      <c r="E28" s="10">
        <v>2442486.5425300002</v>
      </c>
      <c r="F28" s="10">
        <v>5685960.0157300001</v>
      </c>
      <c r="G28" s="10">
        <v>-3243473.4731999999</v>
      </c>
      <c r="H28" s="10">
        <v>0</v>
      </c>
      <c r="I28" s="10">
        <v>0.14053024457225</v>
      </c>
      <c r="J28" s="10">
        <v>61084734.478200004</v>
      </c>
      <c r="K28" s="10">
        <v>0</v>
      </c>
      <c r="L28" s="10">
        <v>0</v>
      </c>
      <c r="M28" s="10">
        <v>19847502.467239998</v>
      </c>
      <c r="N28" s="10">
        <v>2.441733772785236</v>
      </c>
    </row>
    <row r="29" spans="1:14" x14ac:dyDescent="0.2">
      <c r="A29" s="12"/>
      <c r="B29" s="11" t="s">
        <v>30</v>
      </c>
      <c r="C29" s="10">
        <v>857.70799999999997</v>
      </c>
      <c r="D29" s="10">
        <v>857.70799999999997</v>
      </c>
      <c r="E29" s="10">
        <v>118391.24161</v>
      </c>
      <c r="F29" s="10">
        <v>246816.70421</v>
      </c>
      <c r="G29" s="10">
        <v>-128425.46259</v>
      </c>
      <c r="H29" s="10">
        <v>0</v>
      </c>
      <c r="I29" s="10">
        <v>0.194871937769031</v>
      </c>
      <c r="J29" s="10">
        <v>2002517.4425900001</v>
      </c>
      <c r="K29" s="10">
        <v>0</v>
      </c>
      <c r="L29" s="10">
        <v>0</v>
      </c>
      <c r="M29" s="10">
        <v>652857.45764000004</v>
      </c>
      <c r="N29" s="10">
        <v>1.787632187533541</v>
      </c>
    </row>
    <row r="30" spans="1:14" x14ac:dyDescent="0.2">
      <c r="A30" s="12"/>
      <c r="B30" s="11" t="s">
        <v>29</v>
      </c>
      <c r="C30" s="10">
        <v>457.99400000000003</v>
      </c>
      <c r="D30" s="10">
        <v>457.99400000000003</v>
      </c>
      <c r="E30" s="10">
        <v>30770.164680000002</v>
      </c>
      <c r="F30" s="10">
        <v>233846.17989</v>
      </c>
      <c r="G30" s="10">
        <v>-203076.01521000001</v>
      </c>
      <c r="H30" s="10">
        <v>0</v>
      </c>
      <c r="I30" s="10">
        <v>0.26442678288361848</v>
      </c>
      <c r="J30" s="10">
        <v>1203792.90521</v>
      </c>
      <c r="K30" s="10">
        <v>0</v>
      </c>
      <c r="L30" s="10">
        <v>0</v>
      </c>
      <c r="M30" s="10">
        <v>646937.30087000004</v>
      </c>
      <c r="N30" s="10">
        <v>2.4448122584964498</v>
      </c>
    </row>
    <row r="31" spans="1:14" x14ac:dyDescent="0.2">
      <c r="A31" s="12"/>
      <c r="B31" s="11" t="s">
        <v>28</v>
      </c>
      <c r="C31" s="10">
        <v>5300</v>
      </c>
      <c r="D31" s="10">
        <v>5300</v>
      </c>
      <c r="E31" s="10">
        <v>830522.42004</v>
      </c>
      <c r="F31" s="10">
        <v>2172463.2241600002</v>
      </c>
      <c r="G31" s="10">
        <v>-1341940.80412</v>
      </c>
      <c r="H31" s="10">
        <v>0</v>
      </c>
      <c r="I31" s="10">
        <v>0.25931398867924532</v>
      </c>
      <c r="J31" s="10">
        <v>12922440.80412</v>
      </c>
      <c r="K31" s="10">
        <v>0</v>
      </c>
      <c r="L31" s="10">
        <v>0</v>
      </c>
      <c r="M31" s="10">
        <v>12715403.53686</v>
      </c>
      <c r="N31" s="10">
        <v>4.2342538492018571</v>
      </c>
    </row>
    <row r="32" spans="1:14" x14ac:dyDescent="0.2">
      <c r="A32" s="11" t="s">
        <v>27</v>
      </c>
      <c r="B32" s="11" t="s">
        <v>26</v>
      </c>
      <c r="C32" s="10">
        <v>46768.008000000002</v>
      </c>
      <c r="D32" s="10">
        <v>46768.008000000002</v>
      </c>
      <c r="E32" s="10">
        <v>127198.60186</v>
      </c>
      <c r="F32" s="10">
        <v>132857.60860000001</v>
      </c>
      <c r="G32" s="10">
        <v>-5659.0067399999998</v>
      </c>
      <c r="H32" s="10">
        <v>0</v>
      </c>
      <c r="I32" s="10">
        <v>0.55378335442467419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FE9C-C56F-4C4F-85DB-C0CB3C38CE84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4420369.6424200004</v>
      </c>
      <c r="F7" s="10">
        <v>0</v>
      </c>
      <c r="G7" s="10">
        <v>4420369.6424200004</v>
      </c>
      <c r="H7" s="10">
        <v>0</v>
      </c>
      <c r="I7" s="10">
        <v>0.14772197663380801</v>
      </c>
      <c r="J7" s="10">
        <v>25503205.357579999</v>
      </c>
      <c r="K7" s="10">
        <v>0</v>
      </c>
      <c r="L7" s="10">
        <v>56799693.642439999</v>
      </c>
      <c r="M7" s="10">
        <v>56799693.642439999</v>
      </c>
      <c r="N7" s="10">
        <v>12.84953480717186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6290.2110000000002</v>
      </c>
      <c r="F9" s="10">
        <v>0</v>
      </c>
      <c r="G9" s="10">
        <v>6290.2110000000002</v>
      </c>
      <c r="H9" s="10">
        <v>0</v>
      </c>
      <c r="I9" s="10">
        <v>0.26171090909090911</v>
      </c>
      <c r="J9" s="10">
        <v>17744.789000000001</v>
      </c>
      <c r="K9" s="10">
        <v>0</v>
      </c>
      <c r="L9" s="10">
        <v>78376.029060000001</v>
      </c>
      <c r="M9" s="10">
        <v>142113.24645999999</v>
      </c>
      <c r="N9" s="10">
        <v>22.592725491694509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13705.88551</v>
      </c>
      <c r="F10" s="10">
        <v>0</v>
      </c>
      <c r="G10" s="10">
        <v>13705.88551</v>
      </c>
      <c r="H10" s="10">
        <v>0</v>
      </c>
      <c r="I10" s="10">
        <v>7.5166408517504738E-3</v>
      </c>
      <c r="J10" s="10">
        <v>1809700.79412</v>
      </c>
      <c r="K10" s="10">
        <v>0</v>
      </c>
      <c r="L10" s="10">
        <v>740117.8175</v>
      </c>
      <c r="M10" s="10">
        <v>804260.73193000001</v>
      </c>
      <c r="N10" s="10">
        <v>58.679920353530846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1440809.2550299999</v>
      </c>
      <c r="F11" s="10">
        <v>0</v>
      </c>
      <c r="G11" s="10">
        <v>1440809.2550299999</v>
      </c>
      <c r="H11" s="10">
        <v>0</v>
      </c>
      <c r="I11" s="10">
        <v>0.34755213208692792</v>
      </c>
      <c r="J11" s="10">
        <v>217427.44897</v>
      </c>
      <c r="K11" s="10">
        <v>0</v>
      </c>
      <c r="L11" s="10">
        <v>0</v>
      </c>
      <c r="M11" s="10">
        <v>11769965.91938</v>
      </c>
      <c r="N11" s="10">
        <v>8.1689966081307901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239992.02165000001</v>
      </c>
      <c r="F13" s="10">
        <v>0</v>
      </c>
      <c r="G13" s="10">
        <v>239992.02165000001</v>
      </c>
      <c r="H13" s="10">
        <v>0</v>
      </c>
      <c r="I13" s="10">
        <v>0.4318172418402409</v>
      </c>
      <c r="J13" s="10">
        <v>33777.529170000002</v>
      </c>
      <c r="K13" s="10">
        <v>0</v>
      </c>
      <c r="L13" s="10">
        <v>0</v>
      </c>
      <c r="M13" s="10">
        <v>2380608.4020699998</v>
      </c>
      <c r="N13" s="10">
        <v>9.9195310615801713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4584541.0093799997</v>
      </c>
      <c r="F14" s="10">
        <v>0</v>
      </c>
      <c r="G14" s="10">
        <v>4584541.0093799997</v>
      </c>
      <c r="H14" s="10">
        <v>0</v>
      </c>
      <c r="I14" s="10">
        <v>0.45912212253829321</v>
      </c>
      <c r="J14" s="10">
        <v>5400908.9906200003</v>
      </c>
      <c r="K14" s="10">
        <v>0</v>
      </c>
      <c r="L14" s="10">
        <v>45845410.093759999</v>
      </c>
      <c r="M14" s="10">
        <v>84728388.188840002</v>
      </c>
      <c r="N14" s="10">
        <v>18.481324133903922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26193210.368930001</v>
      </c>
      <c r="F15" s="10">
        <v>0</v>
      </c>
      <c r="G15" s="10">
        <v>26193210.368930001</v>
      </c>
      <c r="H15" s="10">
        <v>0</v>
      </c>
      <c r="I15" s="10">
        <v>0.2238849184828639</v>
      </c>
      <c r="J15" s="10">
        <v>5921635.7406400004</v>
      </c>
      <c r="K15" s="10">
        <v>0</v>
      </c>
      <c r="L15" s="10">
        <v>0</v>
      </c>
      <c r="M15" s="10">
        <v>121474459.22179</v>
      </c>
      <c r="N15" s="10">
        <v>4.6376315657782117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11632166.494820001</v>
      </c>
      <c r="F17" s="10">
        <v>0</v>
      </c>
      <c r="G17" s="10">
        <v>11632166.494820001</v>
      </c>
      <c r="H17" s="10">
        <v>0</v>
      </c>
      <c r="I17" s="10">
        <v>0.19521457044383211</v>
      </c>
      <c r="J17" s="10">
        <v>2702967.8615999999</v>
      </c>
      <c r="K17" s="10">
        <v>0</v>
      </c>
      <c r="L17" s="10">
        <v>0</v>
      </c>
      <c r="M17" s="10">
        <v>50548259.928520001</v>
      </c>
      <c r="N17" s="10">
        <v>4.3455584975889803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13198338.880519999</v>
      </c>
      <c r="F20" s="10">
        <v>0</v>
      </c>
      <c r="G20" s="10">
        <v>13198338.880519999</v>
      </c>
      <c r="H20" s="10">
        <v>0</v>
      </c>
      <c r="I20" s="10">
        <v>0.14925541646192869</v>
      </c>
      <c r="J20" s="10">
        <v>1367202.5786900001</v>
      </c>
      <c r="K20" s="10">
        <v>0</v>
      </c>
      <c r="L20" s="10">
        <v>0</v>
      </c>
      <c r="M20" s="10">
        <v>105544832.66997001</v>
      </c>
      <c r="N20" s="10">
        <v>7.996827000563929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39938281.888180003</v>
      </c>
      <c r="F22" s="10">
        <v>20541607.517329998</v>
      </c>
      <c r="G22" s="10">
        <v>19396674.370859999</v>
      </c>
      <c r="H22" s="10">
        <v>-19396674.370859999</v>
      </c>
      <c r="I22" s="10">
        <v>0.1199288702339688</v>
      </c>
      <c r="J22" s="10">
        <v>0</v>
      </c>
      <c r="K22" s="10">
        <v>0</v>
      </c>
      <c r="L22" s="10">
        <v>0</v>
      </c>
      <c r="M22" s="10">
        <v>239329735.12250999</v>
      </c>
      <c r="N22" s="10">
        <v>3.9571787826682692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10107283.786189999</v>
      </c>
      <c r="F23" s="10">
        <v>5573571.3324199999</v>
      </c>
      <c r="G23" s="10">
        <v>4533712.4537699996</v>
      </c>
      <c r="H23" s="10">
        <v>-4533712.4537699996</v>
      </c>
      <c r="I23" s="10">
        <v>0.57643315100401604</v>
      </c>
      <c r="J23" s="10">
        <v>31736962.45377</v>
      </c>
      <c r="K23" s="10">
        <v>0</v>
      </c>
      <c r="L23" s="10">
        <v>0</v>
      </c>
      <c r="M23" s="10">
        <v>98947205.467779994</v>
      </c>
      <c r="N23" s="10">
        <v>6.3100643904032712</v>
      </c>
    </row>
    <row r="24" spans="1:14" x14ac:dyDescent="0.2">
      <c r="A24" s="12"/>
      <c r="B24" s="11" t="s">
        <v>75</v>
      </c>
      <c r="C24" s="10">
        <v>28000000</v>
      </c>
      <c r="D24" s="10">
        <v>28000000</v>
      </c>
      <c r="E24" s="10">
        <v>0</v>
      </c>
      <c r="F24" s="10">
        <v>282882.07127999997</v>
      </c>
      <c r="G24" s="10">
        <v>-282882.07127999997</v>
      </c>
      <c r="H24" s="10">
        <v>0</v>
      </c>
      <c r="I24" s="10">
        <v>4.6237671428571433E-6</v>
      </c>
      <c r="J24" s="10">
        <v>61179717117.928726</v>
      </c>
      <c r="K24" s="10">
        <v>0</v>
      </c>
      <c r="L24" s="10">
        <v>2.8288199999999999</v>
      </c>
      <c r="M24" s="10">
        <v>-1947367.5809500001</v>
      </c>
      <c r="N24" s="10">
        <v>-6.8840260739774024</v>
      </c>
    </row>
    <row r="25" spans="1:14" x14ac:dyDescent="0.2">
      <c r="A25" s="12"/>
      <c r="B25" s="11" t="s">
        <v>37</v>
      </c>
      <c r="C25" s="10">
        <v>3653.0947500000002</v>
      </c>
      <c r="D25" s="10">
        <v>3653.0947500000002</v>
      </c>
      <c r="E25" s="10">
        <v>0</v>
      </c>
      <c r="F25" s="10">
        <v>194884.25620999999</v>
      </c>
      <c r="G25" s="10">
        <v>-194884.25620999999</v>
      </c>
      <c r="H25" s="10">
        <v>0</v>
      </c>
      <c r="I25" s="10">
        <v>2.4415430232134001E-2</v>
      </c>
      <c r="J25" s="10">
        <v>7787127.7824200001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36</v>
      </c>
      <c r="C26" s="10">
        <v>278.38099999999997</v>
      </c>
      <c r="D26" s="10">
        <v>278.38099999999997</v>
      </c>
      <c r="E26" s="10">
        <v>0</v>
      </c>
      <c r="F26" s="10">
        <v>130756.61608000001</v>
      </c>
      <c r="G26" s="10">
        <v>-130756.61608000001</v>
      </c>
      <c r="H26" s="10">
        <v>0</v>
      </c>
      <c r="I26" s="10">
        <v>0.2149674007924392</v>
      </c>
      <c r="J26" s="10">
        <v>477505.86891999998</v>
      </c>
      <c r="K26" s="10">
        <v>0</v>
      </c>
      <c r="L26" s="10">
        <v>653783.08042000001</v>
      </c>
      <c r="M26" s="10">
        <v>0</v>
      </c>
    </row>
    <row r="27" spans="1:14" x14ac:dyDescent="0.2">
      <c r="A27" s="12" t="s">
        <v>35</v>
      </c>
      <c r="B27" s="11" t="s">
        <v>34</v>
      </c>
      <c r="C27" s="10">
        <v>0</v>
      </c>
      <c r="D27" s="10">
        <v>0</v>
      </c>
      <c r="E27" s="10">
        <v>0</v>
      </c>
      <c r="F27" s="10">
        <v>4693920.3252499998</v>
      </c>
      <c r="G27" s="10">
        <v>-4693920.3252499998</v>
      </c>
      <c r="H27" s="10">
        <v>0</v>
      </c>
      <c r="J27" s="10">
        <v>0</v>
      </c>
      <c r="K27" s="10">
        <v>0</v>
      </c>
      <c r="L27" s="10">
        <v>0</v>
      </c>
      <c r="M27" s="10">
        <v>-41871531.981509998</v>
      </c>
      <c r="N27" s="10">
        <v>-8.9203755169173284</v>
      </c>
    </row>
    <row r="28" spans="1:14" x14ac:dyDescent="0.2">
      <c r="A28" s="12"/>
      <c r="B28" s="11" t="s">
        <v>33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-482581212.02879</v>
      </c>
      <c r="N28" s="10">
        <v>-9.2486892265039682</v>
      </c>
    </row>
    <row r="29" spans="1:14" x14ac:dyDescent="0.2">
      <c r="A29" s="12" t="s">
        <v>32</v>
      </c>
      <c r="B29" s="11" t="s">
        <v>31</v>
      </c>
      <c r="C29" s="10">
        <v>26471.973000000002</v>
      </c>
      <c r="D29" s="10">
        <v>26471.973000000002</v>
      </c>
      <c r="E29" s="10">
        <v>2539841.1737700002</v>
      </c>
      <c r="F29" s="10">
        <v>5735473.9726799997</v>
      </c>
      <c r="G29" s="10">
        <v>-3195632.7989099999</v>
      </c>
      <c r="H29" s="10">
        <v>0</v>
      </c>
      <c r="I29" s="10">
        <v>0.14306941118442509</v>
      </c>
      <c r="J29" s="10">
        <v>61036893.803910002</v>
      </c>
      <c r="K29" s="10">
        <v>0</v>
      </c>
      <c r="L29" s="10">
        <v>0</v>
      </c>
      <c r="M29" s="10">
        <v>19556792.950649999</v>
      </c>
      <c r="N29" s="10">
        <v>2.3632686586434639</v>
      </c>
    </row>
    <row r="30" spans="1:14" x14ac:dyDescent="0.2">
      <c r="A30" s="12"/>
      <c r="B30" s="11" t="s">
        <v>30</v>
      </c>
      <c r="C30" s="10">
        <v>857.70799999999997</v>
      </c>
      <c r="D30" s="10">
        <v>857.70799999999997</v>
      </c>
      <c r="E30" s="10">
        <v>123910.25319</v>
      </c>
      <c r="F30" s="10">
        <v>249709.552</v>
      </c>
      <c r="G30" s="10">
        <v>-125799.29880999999</v>
      </c>
      <c r="H30" s="10">
        <v>0</v>
      </c>
      <c r="I30" s="10">
        <v>0.19936044667882311</v>
      </c>
      <c r="J30" s="10">
        <v>1999891.27881</v>
      </c>
      <c r="K30" s="10">
        <v>0</v>
      </c>
      <c r="L30" s="10">
        <v>0</v>
      </c>
      <c r="M30" s="10">
        <v>643322.65650000004</v>
      </c>
      <c r="N30" s="10">
        <v>1.7218644266535981</v>
      </c>
    </row>
    <row r="31" spans="1:14" x14ac:dyDescent="0.2">
      <c r="A31" s="12"/>
      <c r="B31" s="11" t="s">
        <v>29</v>
      </c>
      <c r="C31" s="10">
        <v>457.99400000000003</v>
      </c>
      <c r="D31" s="10">
        <v>457.99400000000003</v>
      </c>
      <c r="E31" s="10">
        <v>30534.633989999998</v>
      </c>
      <c r="F31" s="10">
        <v>235407.01642</v>
      </c>
      <c r="G31" s="10">
        <v>-204872.38243</v>
      </c>
      <c r="H31" s="10">
        <v>0</v>
      </c>
      <c r="I31" s="10">
        <v>0.26575114521150928</v>
      </c>
      <c r="J31" s="10">
        <v>1205589.2724299999</v>
      </c>
      <c r="K31" s="10">
        <v>0</v>
      </c>
      <c r="L31" s="10">
        <v>0</v>
      </c>
      <c r="M31" s="10">
        <v>640124.59684999997</v>
      </c>
      <c r="N31" s="10">
        <v>2.4070113463349632</v>
      </c>
    </row>
    <row r="32" spans="1:14" x14ac:dyDescent="0.2">
      <c r="A32" s="12"/>
      <c r="B32" s="11" t="s">
        <v>28</v>
      </c>
      <c r="C32" s="10">
        <v>5300</v>
      </c>
      <c r="D32" s="10">
        <v>5300</v>
      </c>
      <c r="E32" s="10">
        <v>864348.46048999997</v>
      </c>
      <c r="F32" s="10">
        <v>2179048.4958799998</v>
      </c>
      <c r="G32" s="10">
        <v>-1314700.0353900001</v>
      </c>
      <c r="H32" s="10">
        <v>0</v>
      </c>
      <c r="I32" s="10">
        <v>0.2628035886792453</v>
      </c>
      <c r="J32" s="10">
        <v>12895200.035390001</v>
      </c>
      <c r="K32" s="10">
        <v>0</v>
      </c>
      <c r="L32" s="10">
        <v>0</v>
      </c>
      <c r="M32" s="10">
        <v>12512238.630070001</v>
      </c>
      <c r="N32" s="10">
        <v>4.1112739464472154</v>
      </c>
    </row>
    <row r="33" spans="1:13" x14ac:dyDescent="0.2">
      <c r="A33" s="12" t="s">
        <v>27</v>
      </c>
      <c r="B33" s="11" t="s">
        <v>75</v>
      </c>
      <c r="C33" s="10">
        <v>14000000</v>
      </c>
      <c r="D33" s="10">
        <v>14000000</v>
      </c>
      <c r="E33" s="10">
        <v>141441.03563999999</v>
      </c>
      <c r="F33" s="10">
        <v>141441.03563999999</v>
      </c>
      <c r="G33" s="10">
        <v>0</v>
      </c>
      <c r="H33" s="10">
        <v>0</v>
      </c>
      <c r="I33" s="10">
        <v>0.99983245283214284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26</v>
      </c>
      <c r="C34" s="10">
        <v>46768.008000000002</v>
      </c>
      <c r="D34" s="10">
        <v>46768.008000000002</v>
      </c>
      <c r="E34" s="10">
        <v>128237.29037</v>
      </c>
      <c r="F34" s="10">
        <v>133899.65362999999</v>
      </c>
      <c r="G34" s="10">
        <v>-5662.3632600000001</v>
      </c>
      <c r="H34" s="10">
        <v>0</v>
      </c>
      <c r="I34" s="10">
        <v>0.5541118193445399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AAC-3A17-604C-80E3-43D3AAD8BF1B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4461701.4792999998</v>
      </c>
      <c r="F7" s="10">
        <v>0</v>
      </c>
      <c r="G7" s="10">
        <v>4461701.4792999998</v>
      </c>
      <c r="H7" s="10">
        <v>0</v>
      </c>
      <c r="I7" s="10">
        <v>0.14910322307411461</v>
      </c>
      <c r="J7" s="10">
        <v>25461873.5207</v>
      </c>
      <c r="K7" s="10">
        <v>0</v>
      </c>
      <c r="L7" s="10">
        <v>57608875.400109999</v>
      </c>
      <c r="M7" s="10">
        <v>57608875.400109999</v>
      </c>
      <c r="N7" s="10">
        <v>12.911862363371069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6483.2839999999997</v>
      </c>
      <c r="F9" s="10">
        <v>0</v>
      </c>
      <c r="G9" s="10">
        <v>6483.2839999999997</v>
      </c>
      <c r="H9" s="10">
        <v>0</v>
      </c>
      <c r="I9" s="10">
        <v>0.26974363636363641</v>
      </c>
      <c r="J9" s="10">
        <v>17551.716</v>
      </c>
      <c r="K9" s="10">
        <v>0</v>
      </c>
      <c r="L9" s="10">
        <v>80781.718640000006</v>
      </c>
      <c r="M9" s="10">
        <v>147732.05473</v>
      </c>
      <c r="N9" s="10">
        <v>22.78659198296025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13540.39291</v>
      </c>
      <c r="F10" s="10">
        <v>0</v>
      </c>
      <c r="G10" s="10">
        <v>13540.39291</v>
      </c>
      <c r="H10" s="10">
        <v>0</v>
      </c>
      <c r="I10" s="10">
        <v>7.4258811210257524E-3</v>
      </c>
      <c r="J10" s="10">
        <v>1809866.28672</v>
      </c>
      <c r="K10" s="10">
        <v>0</v>
      </c>
      <c r="L10" s="10">
        <v>731181.21730000002</v>
      </c>
      <c r="M10" s="10">
        <v>800374.17766000004</v>
      </c>
      <c r="N10" s="10">
        <v>59.110077812095568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1443269.7028699999</v>
      </c>
      <c r="F11" s="10">
        <v>0</v>
      </c>
      <c r="G11" s="10">
        <v>1443269.7028699999</v>
      </c>
      <c r="H11" s="10">
        <v>0</v>
      </c>
      <c r="I11" s="10">
        <v>0.34814563990015263</v>
      </c>
      <c r="J11" s="10">
        <v>214967.00112999999</v>
      </c>
      <c r="K11" s="10">
        <v>0</v>
      </c>
      <c r="L11" s="10">
        <v>0</v>
      </c>
      <c r="M11" s="10">
        <v>12120108.22101</v>
      </c>
      <c r="N11" s="10">
        <v>8.3976738685574919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239069.05306000001</v>
      </c>
      <c r="F13" s="10">
        <v>0</v>
      </c>
      <c r="G13" s="10">
        <v>239069.05306000001</v>
      </c>
      <c r="H13" s="10">
        <v>0</v>
      </c>
      <c r="I13" s="10">
        <v>0.43015651168825042</v>
      </c>
      <c r="J13" s="10">
        <v>34700.497750000002</v>
      </c>
      <c r="K13" s="10">
        <v>0</v>
      </c>
      <c r="L13" s="10">
        <v>0</v>
      </c>
      <c r="M13" s="10">
        <v>2422101.0210899999</v>
      </c>
      <c r="N13" s="10">
        <v>10.13138705144463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4569200.8297699997</v>
      </c>
      <c r="F14" s="10">
        <v>0</v>
      </c>
      <c r="G14" s="10">
        <v>4569200.8297699997</v>
      </c>
      <c r="H14" s="10">
        <v>0</v>
      </c>
      <c r="I14" s="10">
        <v>0.45758587089715541</v>
      </c>
      <c r="J14" s="10">
        <v>5416249.1702300003</v>
      </c>
      <c r="K14" s="10">
        <v>0</v>
      </c>
      <c r="L14" s="10">
        <v>45692008.297660001</v>
      </c>
      <c r="M14" s="10">
        <v>85084914.567760006</v>
      </c>
      <c r="N14" s="10">
        <v>18.621399593049329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26008577.979529999</v>
      </c>
      <c r="F15" s="10">
        <v>0</v>
      </c>
      <c r="G15" s="10">
        <v>26008577.979529999</v>
      </c>
      <c r="H15" s="10">
        <v>0</v>
      </c>
      <c r="I15" s="10">
        <v>0.2223067840286424</v>
      </c>
      <c r="J15" s="10">
        <v>6106268.1300400002</v>
      </c>
      <c r="K15" s="10">
        <v>0</v>
      </c>
      <c r="L15" s="10">
        <v>0</v>
      </c>
      <c r="M15" s="10">
        <v>122675800.76352</v>
      </c>
      <c r="N15" s="10">
        <v>4.7167438702305864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11529838.10131</v>
      </c>
      <c r="F17" s="10">
        <v>0</v>
      </c>
      <c r="G17" s="10">
        <v>11529838.10131</v>
      </c>
      <c r="H17" s="10">
        <v>0</v>
      </c>
      <c r="I17" s="10">
        <v>0.19349726433909509</v>
      </c>
      <c r="J17" s="10">
        <v>2805296.2551099998</v>
      </c>
      <c r="K17" s="10">
        <v>0</v>
      </c>
      <c r="L17" s="10">
        <v>0</v>
      </c>
      <c r="M17" s="10">
        <v>51282233.723920003</v>
      </c>
      <c r="N17" s="10">
        <v>4.4477843692259311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13170195.30074</v>
      </c>
      <c r="F20" s="10">
        <v>0</v>
      </c>
      <c r="G20" s="10">
        <v>13170195.30074</v>
      </c>
      <c r="H20" s="10">
        <v>0</v>
      </c>
      <c r="I20" s="10">
        <v>0.14893715069242419</v>
      </c>
      <c r="J20" s="10">
        <v>1395346.1584699999</v>
      </c>
      <c r="K20" s="10">
        <v>0</v>
      </c>
      <c r="L20" s="10">
        <v>0</v>
      </c>
      <c r="M20" s="10">
        <v>106034046.14909001</v>
      </c>
      <c r="N20" s="10">
        <v>8.0510610254083801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39762745.830859996</v>
      </c>
      <c r="F22" s="10">
        <v>20363903.508480001</v>
      </c>
      <c r="G22" s="10">
        <v>19398842.322379999</v>
      </c>
      <c r="H22" s="10">
        <v>-19398842.322379999</v>
      </c>
      <c r="I22" s="10">
        <v>0.1192284112651646</v>
      </c>
      <c r="J22" s="10">
        <v>0</v>
      </c>
      <c r="K22" s="10">
        <v>0</v>
      </c>
      <c r="L22" s="10">
        <v>0</v>
      </c>
      <c r="M22" s="10">
        <v>242199270.34184</v>
      </c>
      <c r="N22" s="10">
        <v>4.0281517925572432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10132517.43599</v>
      </c>
      <c r="F23" s="10">
        <v>5556413.3546500001</v>
      </c>
      <c r="G23" s="10">
        <v>4576104.08134</v>
      </c>
      <c r="H23" s="10">
        <v>-4576104.08134</v>
      </c>
      <c r="I23" s="10">
        <v>0.57673001526104417</v>
      </c>
      <c r="J23" s="10">
        <v>31779354.08134</v>
      </c>
      <c r="K23" s="10">
        <v>0</v>
      </c>
      <c r="L23" s="10">
        <v>0</v>
      </c>
      <c r="M23" s="10">
        <v>100441828.30403</v>
      </c>
      <c r="N23" s="10">
        <v>6.4020824405042127</v>
      </c>
    </row>
    <row r="24" spans="1:14" x14ac:dyDescent="0.2">
      <c r="A24" s="12"/>
      <c r="B24" s="11" t="s">
        <v>37</v>
      </c>
      <c r="C24" s="10">
        <v>3653.0947500000002</v>
      </c>
      <c r="D24" s="10">
        <v>3653.0947500000002</v>
      </c>
      <c r="E24" s="10">
        <v>0</v>
      </c>
      <c r="F24" s="10">
        <v>197810.90851000001</v>
      </c>
      <c r="G24" s="10">
        <v>-197810.90851000001</v>
      </c>
      <c r="H24" s="10">
        <v>0</v>
      </c>
      <c r="I24" s="10">
        <v>2.4782086476130959E-2</v>
      </c>
      <c r="J24" s="10">
        <v>7784201.1301300004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36</v>
      </c>
      <c r="C25" s="10">
        <v>278.38099999999997</v>
      </c>
      <c r="D25" s="10">
        <v>278.38099999999997</v>
      </c>
      <c r="E25" s="10">
        <v>0</v>
      </c>
      <c r="F25" s="10">
        <v>132941.57621999999</v>
      </c>
      <c r="G25" s="10">
        <v>-132941.57621999999</v>
      </c>
      <c r="H25" s="10">
        <v>0</v>
      </c>
      <c r="I25" s="10">
        <v>0.21855956405070751</v>
      </c>
      <c r="J25" s="10">
        <v>475320.90878</v>
      </c>
      <c r="K25" s="10">
        <v>0</v>
      </c>
      <c r="L25" s="10">
        <v>664707.88107999996</v>
      </c>
      <c r="M25" s="10">
        <v>-4964.8875799999996</v>
      </c>
      <c r="N25" s="10">
        <v>-3.7346389048635638E-2</v>
      </c>
    </row>
    <row r="26" spans="1:14" x14ac:dyDescent="0.2">
      <c r="A26" s="12"/>
      <c r="B26" s="11" t="s">
        <v>76</v>
      </c>
      <c r="C26" s="10">
        <v>182000000</v>
      </c>
      <c r="D26" s="10">
        <v>182000000</v>
      </c>
      <c r="E26" s="10">
        <v>0</v>
      </c>
      <c r="F26" s="10">
        <v>42200.637940000001</v>
      </c>
      <c r="G26" s="10">
        <v>-42200.637940000001</v>
      </c>
      <c r="H26" s="10">
        <v>42200.637940000001</v>
      </c>
      <c r="I26" s="10">
        <v>1.061197252747253E-7</v>
      </c>
      <c r="J26" s="10">
        <v>397669957799.36212</v>
      </c>
      <c r="K26" s="10">
        <v>0</v>
      </c>
      <c r="L26" s="10">
        <v>0.42201</v>
      </c>
      <c r="M26" s="10">
        <v>-325379.74349000002</v>
      </c>
      <c r="N26" s="10">
        <v>-7.7103049168495668</v>
      </c>
    </row>
    <row r="27" spans="1:14" x14ac:dyDescent="0.2">
      <c r="A27" s="12" t="s">
        <v>35</v>
      </c>
      <c r="B27" s="11" t="s">
        <v>34</v>
      </c>
      <c r="C27" s="10">
        <v>0</v>
      </c>
      <c r="D27" s="10">
        <v>0</v>
      </c>
      <c r="E27" s="10">
        <v>0</v>
      </c>
      <c r="F27" s="10">
        <v>4693920.3252499998</v>
      </c>
      <c r="G27" s="10">
        <v>-4693920.3252499998</v>
      </c>
      <c r="H27" s="10">
        <v>0</v>
      </c>
      <c r="J27" s="10">
        <v>0</v>
      </c>
      <c r="K27" s="10">
        <v>0</v>
      </c>
      <c r="L27" s="10">
        <v>0</v>
      </c>
      <c r="M27" s="10">
        <v>-42278393.184780002</v>
      </c>
      <c r="N27" s="10">
        <v>-9.0070538527247486</v>
      </c>
    </row>
    <row r="28" spans="1:14" x14ac:dyDescent="0.2">
      <c r="A28" s="12"/>
      <c r="B28" s="11" t="s">
        <v>33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-486289699.36299002</v>
      </c>
      <c r="N28" s="10">
        <v>-9.3197625423378128</v>
      </c>
    </row>
    <row r="29" spans="1:14" x14ac:dyDescent="0.2">
      <c r="A29" s="12" t="s">
        <v>32</v>
      </c>
      <c r="B29" s="11" t="s">
        <v>31</v>
      </c>
      <c r="C29" s="10">
        <v>26471.973000000002</v>
      </c>
      <c r="D29" s="10">
        <v>26471.973000000002</v>
      </c>
      <c r="E29" s="10">
        <v>3386724.9520999999</v>
      </c>
      <c r="F29" s="10">
        <v>6414679.7847800003</v>
      </c>
      <c r="G29" s="10">
        <v>-3027954.8326900001</v>
      </c>
      <c r="H29" s="10">
        <v>0</v>
      </c>
      <c r="I29" s="10">
        <v>0.16945351069978801</v>
      </c>
      <c r="J29" s="10">
        <v>60869215.837690003</v>
      </c>
      <c r="K29" s="10">
        <v>0</v>
      </c>
      <c r="L29" s="10">
        <v>0</v>
      </c>
      <c r="M29" s="10">
        <v>19880591.042989999</v>
      </c>
      <c r="N29" s="10">
        <v>2.028340995000375</v>
      </c>
    </row>
    <row r="30" spans="1:14" x14ac:dyDescent="0.2">
      <c r="A30" s="12"/>
      <c r="B30" s="11" t="s">
        <v>30</v>
      </c>
      <c r="C30" s="10">
        <v>857.70799999999997</v>
      </c>
      <c r="D30" s="10">
        <v>857.70799999999997</v>
      </c>
      <c r="E30" s="10">
        <v>168533.46883999999</v>
      </c>
      <c r="F30" s="10">
        <v>284761.78791000001</v>
      </c>
      <c r="G30" s="10">
        <v>-116228.31907</v>
      </c>
      <c r="H30" s="10">
        <v>0</v>
      </c>
      <c r="I30" s="10">
        <v>0.2418746006799517</v>
      </c>
      <c r="J30" s="10">
        <v>1990320.29907</v>
      </c>
      <c r="K30" s="10">
        <v>0</v>
      </c>
      <c r="L30" s="10">
        <v>0</v>
      </c>
      <c r="M30" s="10">
        <v>652561.68966999999</v>
      </c>
      <c r="N30" s="10">
        <v>1.439595275723089</v>
      </c>
    </row>
    <row r="31" spans="1:14" x14ac:dyDescent="0.2">
      <c r="A31" s="12"/>
      <c r="B31" s="11" t="s">
        <v>29</v>
      </c>
      <c r="C31" s="10">
        <v>457.99400000000003</v>
      </c>
      <c r="D31" s="10">
        <v>457.99400000000003</v>
      </c>
      <c r="E31" s="10">
        <v>31709.050950000001</v>
      </c>
      <c r="F31" s="10">
        <v>228237.74428000001</v>
      </c>
      <c r="G31" s="10">
        <v>-196528.69334</v>
      </c>
      <c r="H31" s="10">
        <v>0</v>
      </c>
      <c r="I31" s="10">
        <v>0.25976058638322769</v>
      </c>
      <c r="J31" s="10">
        <v>1197245.5833399999</v>
      </c>
      <c r="K31" s="10">
        <v>0</v>
      </c>
      <c r="L31" s="10">
        <v>0</v>
      </c>
      <c r="M31" s="10">
        <v>644957.04637</v>
      </c>
      <c r="N31" s="10">
        <v>2.4811116428098501</v>
      </c>
    </row>
    <row r="32" spans="1:14" x14ac:dyDescent="0.2">
      <c r="A32" s="12"/>
      <c r="B32" s="11" t="s">
        <v>28</v>
      </c>
      <c r="C32" s="10">
        <v>5300</v>
      </c>
      <c r="D32" s="10">
        <v>5300</v>
      </c>
      <c r="E32" s="10">
        <v>1053395.9517999999</v>
      </c>
      <c r="F32" s="10">
        <v>2265366.5949400002</v>
      </c>
      <c r="G32" s="10">
        <v>-1211970.6431400001</v>
      </c>
      <c r="H32" s="10">
        <v>0</v>
      </c>
      <c r="I32" s="10">
        <v>0.28658197358490572</v>
      </c>
      <c r="J32" s="10">
        <v>12792470.643139999</v>
      </c>
      <c r="K32" s="10">
        <v>0</v>
      </c>
      <c r="L32" s="10">
        <v>0</v>
      </c>
      <c r="M32" s="10">
        <v>13075103.152869999</v>
      </c>
      <c r="N32" s="10">
        <v>3.9397525339089978</v>
      </c>
    </row>
    <row r="33" spans="1:14" x14ac:dyDescent="0.2">
      <c r="A33" s="11" t="s">
        <v>27</v>
      </c>
      <c r="B33" s="11" t="s">
        <v>26</v>
      </c>
      <c r="C33" s="10">
        <v>46768.008000000002</v>
      </c>
      <c r="D33" s="10">
        <v>46768.008000000002</v>
      </c>
      <c r="E33" s="10">
        <v>130575.41189</v>
      </c>
      <c r="F33" s="10">
        <v>136101.47162999999</v>
      </c>
      <c r="G33" s="10">
        <v>-5526.0597399999997</v>
      </c>
      <c r="H33" s="10">
        <v>0</v>
      </c>
      <c r="I33" s="10">
        <v>0.5407733262874912</v>
      </c>
      <c r="J33" s="10">
        <v>0</v>
      </c>
      <c r="K33" s="10">
        <v>0</v>
      </c>
      <c r="L33" s="10">
        <v>0</v>
      </c>
      <c r="M33" s="10">
        <v>4964.8875799999996</v>
      </c>
      <c r="N33" s="10">
        <v>8.9844995082962931E-5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4AB8-A187-0147-BC81-FEA79AC1A9BF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4328498.6095099999</v>
      </c>
      <c r="F7" s="10">
        <v>0</v>
      </c>
      <c r="G7" s="10">
        <v>4328498.6095099999</v>
      </c>
      <c r="H7" s="10">
        <v>0</v>
      </c>
      <c r="I7" s="10">
        <v>0.14465178751369109</v>
      </c>
      <c r="J7" s="10">
        <v>25595076.390489999</v>
      </c>
      <c r="K7" s="10">
        <v>0</v>
      </c>
      <c r="L7" s="10">
        <v>54663104.160939999</v>
      </c>
      <c r="M7" s="10">
        <v>54663104.160939999</v>
      </c>
      <c r="N7" s="10">
        <v>12.628652349064041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6250.7960000000003</v>
      </c>
      <c r="F9" s="10">
        <v>0</v>
      </c>
      <c r="G9" s="10">
        <v>6250.7960000000003</v>
      </c>
      <c r="H9" s="10">
        <v>0</v>
      </c>
      <c r="I9" s="10">
        <v>0.26007090909090907</v>
      </c>
      <c r="J9" s="10">
        <v>17784.204000000002</v>
      </c>
      <c r="K9" s="10">
        <v>0</v>
      </c>
      <c r="L9" s="10">
        <v>77884.918160000001</v>
      </c>
      <c r="M9" s="10">
        <v>139044.9123</v>
      </c>
      <c r="N9" s="10">
        <v>22.244324974307709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13522.637479999999</v>
      </c>
      <c r="F10" s="10">
        <v>0</v>
      </c>
      <c r="G10" s="10">
        <v>13522.637479999999</v>
      </c>
      <c r="H10" s="10">
        <v>0</v>
      </c>
      <c r="I10" s="10">
        <v>7.4161388895655992E-3</v>
      </c>
      <c r="J10" s="10">
        <v>1809884.0421500001</v>
      </c>
      <c r="K10" s="10">
        <v>0</v>
      </c>
      <c r="L10" s="10">
        <v>730222.42396000004</v>
      </c>
      <c r="M10" s="10">
        <v>779462.94132999994</v>
      </c>
      <c r="N10" s="10">
        <v>57.641340475209446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1428006.6760199999</v>
      </c>
      <c r="F11" s="10">
        <v>0</v>
      </c>
      <c r="G11" s="10">
        <v>1428006.6760199999</v>
      </c>
      <c r="H11" s="10">
        <v>0</v>
      </c>
      <c r="I11" s="10">
        <v>0.34446389493257767</v>
      </c>
      <c r="J11" s="10">
        <v>230230.02798000001</v>
      </c>
      <c r="K11" s="10">
        <v>0</v>
      </c>
      <c r="L11" s="10">
        <v>0</v>
      </c>
      <c r="M11" s="10">
        <v>11536388.85739</v>
      </c>
      <c r="N11" s="10">
        <v>8.0786658593221254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240340.17796999999</v>
      </c>
      <c r="F13" s="10">
        <v>0</v>
      </c>
      <c r="G13" s="10">
        <v>240340.17796999999</v>
      </c>
      <c r="H13" s="10">
        <v>0</v>
      </c>
      <c r="I13" s="10">
        <v>0.43244364242524319</v>
      </c>
      <c r="J13" s="10">
        <v>33429.372840000004</v>
      </c>
      <c r="K13" s="10">
        <v>0</v>
      </c>
      <c r="L13" s="10">
        <v>0</v>
      </c>
      <c r="M13" s="10">
        <v>2345282.9708500002</v>
      </c>
      <c r="N13" s="10">
        <v>9.7581814710601797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4504787.7014100002</v>
      </c>
      <c r="F14" s="10">
        <v>0</v>
      </c>
      <c r="G14" s="10">
        <v>4504787.7014100002</v>
      </c>
      <c r="H14" s="10">
        <v>0</v>
      </c>
      <c r="I14" s="10">
        <v>0.45113517286652077</v>
      </c>
      <c r="J14" s="10">
        <v>5480662.2985899998</v>
      </c>
      <c r="K14" s="10">
        <v>0</v>
      </c>
      <c r="L14" s="10">
        <v>45047877.014150001</v>
      </c>
      <c r="M14" s="10">
        <v>82736208.969579995</v>
      </c>
      <c r="N14" s="10">
        <v>18.366283664275951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26046134.143440001</v>
      </c>
      <c r="F15" s="10">
        <v>0</v>
      </c>
      <c r="G15" s="10">
        <v>26046134.143440001</v>
      </c>
      <c r="H15" s="10">
        <v>0</v>
      </c>
      <c r="I15" s="10">
        <v>0.22262779320158699</v>
      </c>
      <c r="J15" s="10">
        <v>6068711.96612</v>
      </c>
      <c r="K15" s="10">
        <v>0</v>
      </c>
      <c r="L15" s="10">
        <v>0</v>
      </c>
      <c r="M15" s="10">
        <v>120197901.78894</v>
      </c>
      <c r="N15" s="10">
        <v>4.6148077517820374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11442388.714579999</v>
      </c>
      <c r="F17" s="10">
        <v>0</v>
      </c>
      <c r="G17" s="10">
        <v>11442388.714579999</v>
      </c>
      <c r="H17" s="10">
        <v>0</v>
      </c>
      <c r="I17" s="10">
        <v>0.19202966175359881</v>
      </c>
      <c r="J17" s="10">
        <v>2892745.6418400002</v>
      </c>
      <c r="K17" s="10">
        <v>0</v>
      </c>
      <c r="L17" s="10">
        <v>0</v>
      </c>
      <c r="M17" s="10">
        <v>49964805.236340001</v>
      </c>
      <c r="N17" s="10">
        <v>4.3666411372290792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13343338.630039999</v>
      </c>
      <c r="F20" s="10">
        <v>0</v>
      </c>
      <c r="G20" s="10">
        <v>13343338.630039999</v>
      </c>
      <c r="H20" s="10">
        <v>0</v>
      </c>
      <c r="I20" s="10">
        <v>0.15089516832811881</v>
      </c>
      <c r="J20" s="10">
        <v>1222202.8291799999</v>
      </c>
      <c r="K20" s="10">
        <v>0</v>
      </c>
      <c r="L20" s="10">
        <v>0</v>
      </c>
      <c r="M20" s="10">
        <v>104244692.33949</v>
      </c>
      <c r="N20" s="10">
        <v>7.8124894492461703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40056166.756480001</v>
      </c>
      <c r="F22" s="10">
        <v>20447393.552359998</v>
      </c>
      <c r="G22" s="10">
        <v>19608773.204119999</v>
      </c>
      <c r="H22" s="10">
        <v>-19608773.204119999</v>
      </c>
      <c r="I22" s="10">
        <v>0.11997580857885611</v>
      </c>
      <c r="J22" s="10">
        <v>0</v>
      </c>
      <c r="K22" s="10">
        <v>0</v>
      </c>
      <c r="L22" s="10">
        <v>0</v>
      </c>
      <c r="M22" s="10">
        <v>225188473.25838</v>
      </c>
      <c r="N22" s="10">
        <v>3.7219044976579339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10076298.09481</v>
      </c>
      <c r="F23" s="10">
        <v>5636812.3414700003</v>
      </c>
      <c r="G23" s="10">
        <v>4439485.7533499999</v>
      </c>
      <c r="H23" s="10">
        <v>-4439485.7533499999</v>
      </c>
      <c r="I23" s="10">
        <v>0.57761886666666662</v>
      </c>
      <c r="J23" s="10">
        <v>31642735.753350001</v>
      </c>
      <c r="K23" s="10">
        <v>0</v>
      </c>
      <c r="L23" s="10">
        <v>0</v>
      </c>
      <c r="M23" s="10">
        <v>95126290.300339997</v>
      </c>
      <c r="N23" s="10">
        <v>6.0539439780032893</v>
      </c>
    </row>
    <row r="24" spans="1:14" x14ac:dyDescent="0.2">
      <c r="A24" s="12"/>
      <c r="B24" s="11" t="s">
        <v>75</v>
      </c>
      <c r="C24" s="10">
        <v>28000000</v>
      </c>
      <c r="D24" s="10">
        <v>28000000</v>
      </c>
      <c r="E24" s="10">
        <v>0</v>
      </c>
      <c r="F24" s="10">
        <v>416538.78876999998</v>
      </c>
      <c r="G24" s="10">
        <v>-416538.78876999998</v>
      </c>
      <c r="H24" s="10">
        <v>0</v>
      </c>
      <c r="I24" s="10">
        <v>6.8084142857142859E-6</v>
      </c>
      <c r="J24" s="10">
        <v>61179583461.211227</v>
      </c>
      <c r="K24" s="10">
        <v>0</v>
      </c>
      <c r="L24" s="10">
        <v>4.1653900000000004</v>
      </c>
      <c r="M24" s="10">
        <v>-1469850.42585</v>
      </c>
      <c r="N24" s="10">
        <v>-3.5287240158711168</v>
      </c>
    </row>
    <row r="25" spans="1:14" x14ac:dyDescent="0.2">
      <c r="A25" s="12"/>
      <c r="B25" s="11" t="s">
        <v>37</v>
      </c>
      <c r="C25" s="10">
        <v>3653.0947500000002</v>
      </c>
      <c r="D25" s="10">
        <v>3653.0947500000002</v>
      </c>
      <c r="E25" s="10">
        <v>0</v>
      </c>
      <c r="F25" s="10">
        <v>190222.45013000001</v>
      </c>
      <c r="G25" s="10">
        <v>-190222.45013000001</v>
      </c>
      <c r="H25" s="10">
        <v>0</v>
      </c>
      <c r="I25" s="10">
        <v>2.3831391178671179E-2</v>
      </c>
      <c r="J25" s="10">
        <v>7791789.5885100001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36</v>
      </c>
      <c r="C26" s="10">
        <v>278.38099999999997</v>
      </c>
      <c r="D26" s="10">
        <v>278.38099999999997</v>
      </c>
      <c r="E26" s="10">
        <v>0</v>
      </c>
      <c r="F26" s="10">
        <v>127415.10503999999</v>
      </c>
      <c r="G26" s="10">
        <v>-127415.10503999999</v>
      </c>
      <c r="H26" s="10">
        <v>0</v>
      </c>
      <c r="I26" s="10">
        <v>0.20947388650805909</v>
      </c>
      <c r="J26" s="10">
        <v>480847.37995999999</v>
      </c>
      <c r="K26" s="10">
        <v>0</v>
      </c>
      <c r="L26" s="10">
        <v>637075.52520000003</v>
      </c>
      <c r="M26" s="10">
        <v>0</v>
      </c>
    </row>
    <row r="27" spans="1:14" x14ac:dyDescent="0.2">
      <c r="A27" s="12"/>
      <c r="B27" s="11" t="s">
        <v>76</v>
      </c>
      <c r="C27" s="10">
        <v>182000000</v>
      </c>
      <c r="D27" s="10">
        <v>182000000</v>
      </c>
      <c r="E27" s="10">
        <v>0</v>
      </c>
      <c r="F27" s="10">
        <v>44101.813390000003</v>
      </c>
      <c r="G27" s="10">
        <v>-44101.813390000003</v>
      </c>
      <c r="H27" s="10">
        <v>44101.813390000003</v>
      </c>
      <c r="I27" s="10">
        <v>1.109005494505495E-7</v>
      </c>
      <c r="J27" s="10">
        <v>397669955898.18658</v>
      </c>
      <c r="K27" s="10">
        <v>0</v>
      </c>
      <c r="L27" s="10">
        <v>0.44102000000000002</v>
      </c>
      <c r="M27" s="10">
        <v>-143188.87864000001</v>
      </c>
      <c r="N27" s="10">
        <v>-3.2467793637503148</v>
      </c>
    </row>
    <row r="28" spans="1:14" x14ac:dyDescent="0.2">
      <c r="A28" s="12" t="s">
        <v>35</v>
      </c>
      <c r="B28" s="11" t="s">
        <v>34</v>
      </c>
      <c r="C28" s="10">
        <v>0</v>
      </c>
      <c r="D28" s="10">
        <v>0</v>
      </c>
      <c r="E28" s="10">
        <v>0</v>
      </c>
      <c r="F28" s="10">
        <v>4693920.3252499998</v>
      </c>
      <c r="G28" s="10">
        <v>-4693920.3252499998</v>
      </c>
      <c r="H28" s="10">
        <v>0</v>
      </c>
      <c r="J28" s="10">
        <v>0</v>
      </c>
      <c r="K28" s="10">
        <v>0</v>
      </c>
      <c r="L28" s="10">
        <v>0</v>
      </c>
      <c r="M28" s="10">
        <v>-41280542.128409997</v>
      </c>
      <c r="N28" s="10">
        <v>-8.7944701329054169</v>
      </c>
    </row>
    <row r="29" spans="1:14" x14ac:dyDescent="0.2">
      <c r="A29" s="12"/>
      <c r="B29" s="11" t="s">
        <v>33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-476186605.57341999</v>
      </c>
      <c r="N29" s="10">
        <v>-9.126136324962804</v>
      </c>
    </row>
    <row r="30" spans="1:14" x14ac:dyDescent="0.2">
      <c r="A30" s="12" t="s">
        <v>32</v>
      </c>
      <c r="B30" s="11" t="s">
        <v>31</v>
      </c>
      <c r="C30" s="10">
        <v>26471.973000000002</v>
      </c>
      <c r="D30" s="10">
        <v>26471.973000000002</v>
      </c>
      <c r="E30" s="10">
        <v>3663808.7664700001</v>
      </c>
      <c r="F30" s="10">
        <v>6616026.6956099998</v>
      </c>
      <c r="G30" s="10">
        <v>-2952217.9291400001</v>
      </c>
      <c r="H30" s="10">
        <v>0</v>
      </c>
      <c r="I30" s="10">
        <v>0.17772495423744961</v>
      </c>
      <c r="J30" s="10">
        <v>60793478.934139997</v>
      </c>
      <c r="K30" s="10">
        <v>0</v>
      </c>
      <c r="L30" s="10">
        <v>0</v>
      </c>
      <c r="M30" s="10">
        <v>19334675.37204</v>
      </c>
      <c r="N30" s="10">
        <v>1.8808351005565309</v>
      </c>
    </row>
    <row r="31" spans="1:14" x14ac:dyDescent="0.2">
      <c r="A31" s="12"/>
      <c r="B31" s="11" t="s">
        <v>30</v>
      </c>
      <c r="C31" s="10">
        <v>857.70799999999997</v>
      </c>
      <c r="D31" s="10">
        <v>857.70799999999997</v>
      </c>
      <c r="E31" s="10">
        <v>164337.91401000001</v>
      </c>
      <c r="F31" s="10">
        <v>279985.20724000002</v>
      </c>
      <c r="G31" s="10">
        <v>-115647.29324</v>
      </c>
      <c r="H31" s="10">
        <v>0</v>
      </c>
      <c r="I31" s="10">
        <v>0.23708714387647081</v>
      </c>
      <c r="J31" s="10">
        <v>1989739.27324</v>
      </c>
      <c r="K31" s="10">
        <v>0</v>
      </c>
      <c r="L31" s="10">
        <v>0</v>
      </c>
      <c r="M31" s="10">
        <v>635869.04845999996</v>
      </c>
      <c r="N31" s="10">
        <v>1.4310960221889639</v>
      </c>
    </row>
    <row r="32" spans="1:14" x14ac:dyDescent="0.2">
      <c r="A32" s="12"/>
      <c r="B32" s="11" t="s">
        <v>29</v>
      </c>
      <c r="C32" s="10">
        <v>457.99400000000003</v>
      </c>
      <c r="D32" s="10">
        <v>457.99400000000003</v>
      </c>
      <c r="E32" s="10">
        <v>33766.3822</v>
      </c>
      <c r="F32" s="10">
        <v>232108.28034999999</v>
      </c>
      <c r="G32" s="10">
        <v>-198341.89814</v>
      </c>
      <c r="H32" s="10">
        <v>0</v>
      </c>
      <c r="I32" s="10">
        <v>0.26568420110307123</v>
      </c>
      <c r="J32" s="10">
        <v>1199058.7881400001</v>
      </c>
      <c r="K32" s="10">
        <v>0</v>
      </c>
      <c r="L32" s="10">
        <v>0</v>
      </c>
      <c r="M32" s="10">
        <v>632889.54842000001</v>
      </c>
      <c r="N32" s="10">
        <v>2.3804056269069722</v>
      </c>
    </row>
    <row r="33" spans="1:14" x14ac:dyDescent="0.2">
      <c r="A33" s="12"/>
      <c r="B33" s="11" t="s">
        <v>28</v>
      </c>
      <c r="C33" s="10">
        <v>5300</v>
      </c>
      <c r="D33" s="10">
        <v>5300</v>
      </c>
      <c r="E33" s="10">
        <v>1029051.60755</v>
      </c>
      <c r="F33" s="10">
        <v>2228328.7028199998</v>
      </c>
      <c r="G33" s="10">
        <v>-1199277.0952699999</v>
      </c>
      <c r="H33" s="10">
        <v>0</v>
      </c>
      <c r="I33" s="10">
        <v>0.28128149056603768</v>
      </c>
      <c r="J33" s="10">
        <v>12779777.09527</v>
      </c>
      <c r="K33" s="10">
        <v>0</v>
      </c>
      <c r="L33" s="10">
        <v>0</v>
      </c>
      <c r="M33" s="10">
        <v>12394489.242860001</v>
      </c>
      <c r="N33" s="10">
        <v>3.8050482565675332</v>
      </c>
    </row>
    <row r="34" spans="1:14" x14ac:dyDescent="0.2">
      <c r="A34" s="12" t="s">
        <v>27</v>
      </c>
      <c r="B34" s="11" t="s">
        <v>75</v>
      </c>
      <c r="C34" s="10">
        <v>14000000</v>
      </c>
      <c r="D34" s="10">
        <v>14000000</v>
      </c>
      <c r="E34" s="10">
        <v>208269.39438000001</v>
      </c>
      <c r="F34" s="10">
        <v>208269.39438000001</v>
      </c>
      <c r="G34" s="10">
        <v>0</v>
      </c>
      <c r="H34" s="10">
        <v>0</v>
      </c>
      <c r="I34" s="10">
        <v>0.99774720514714288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26</v>
      </c>
      <c r="C35" s="10">
        <v>46768.008000000002</v>
      </c>
      <c r="D35" s="10">
        <v>46768.008000000002</v>
      </c>
      <c r="E35" s="10">
        <v>125683.04598</v>
      </c>
      <c r="F35" s="10">
        <v>131423.65603000001</v>
      </c>
      <c r="G35" s="10">
        <v>-5740.6100500000002</v>
      </c>
      <c r="H35" s="10">
        <v>0</v>
      </c>
      <c r="I35" s="10">
        <v>0.56176895261393212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3E64-759C-9C46-8831-583D3FD373FD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</row>
    <row r="2" spans="1:13" x14ac:dyDescent="0.2">
      <c r="A2" s="12" t="s">
        <v>62</v>
      </c>
      <c r="B2" s="11" t="s">
        <v>61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60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59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58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57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56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55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54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53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52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51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50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49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48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47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46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45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44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43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42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41</v>
      </c>
      <c r="B22" s="11" t="s">
        <v>40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39</v>
      </c>
      <c r="B23" s="11" t="s">
        <v>38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37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32</v>
      </c>
      <c r="B26" s="11" t="s">
        <v>31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30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29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28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27</v>
      </c>
      <c r="B30" s="11" t="s">
        <v>26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A096-D538-9247-B4D5-071DA16F996B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</row>
    <row r="2" spans="1:13" x14ac:dyDescent="0.2">
      <c r="A2" s="12" t="s">
        <v>62</v>
      </c>
      <c r="B2" s="11" t="s">
        <v>61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60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59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58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57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56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55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54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53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52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51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50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49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48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47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46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45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44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43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42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41</v>
      </c>
      <c r="B22" s="11" t="s">
        <v>40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39</v>
      </c>
      <c r="B23" s="11" t="s">
        <v>38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75</v>
      </c>
      <c r="C24" s="10">
        <v>0</v>
      </c>
      <c r="D24" s="10">
        <v>28000000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37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36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76</v>
      </c>
      <c r="C27" s="10">
        <v>0</v>
      </c>
      <c r="D27" s="10">
        <v>182000000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32</v>
      </c>
      <c r="B28" s="11" t="s">
        <v>31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30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29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28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27</v>
      </c>
      <c r="B32" s="11" t="s">
        <v>75</v>
      </c>
      <c r="C32" s="10">
        <v>0</v>
      </c>
      <c r="D32" s="10">
        <v>14000000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26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2026-08-20T12:25:06Z</dcterms:modified>
</cp:coreProperties>
</file>