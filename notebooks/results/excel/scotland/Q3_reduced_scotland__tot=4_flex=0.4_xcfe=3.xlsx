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scotland/"/>
    </mc:Choice>
  </mc:AlternateContent>
  <xr:revisionPtr revIDLastSave="0" documentId="13_ncr:1_{DC3B7EF5-CF3C-F749-80B6-3CE0CEAE7E51}" xr6:coauthVersionLast="47" xr6:coauthVersionMax="47" xr10:uidLastSave="{00000000-0000-0000-0000-000000000000}"/>
  <bookViews>
    <workbookView xWindow="9620" yWindow="660" windowWidth="20620" windowHeight="17400" xr2:uid="{D4188A73-9F76-7B43-A2AE-82D891E862BC}"/>
  </bookViews>
  <sheets>
    <sheet name="Summary" sheetId="8" r:id="rId1"/>
    <sheet name="Inflexible" sheetId="15" r:id="rId2"/>
    <sheet name="Temporal" sheetId="16" r:id="rId3"/>
    <sheet name="Spatial" sheetId="17" r:id="rId4"/>
    <sheet name="Both" sheetId="18" r:id="rId5"/>
    <sheet name="CFE" sheetId="19" r:id="rId6"/>
    <sheet name="CFE_both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E14" i="8"/>
  <c r="G14" i="8"/>
  <c r="E11" i="8"/>
  <c r="E15" i="8"/>
  <c r="F14" i="8"/>
  <c r="B15" i="8"/>
  <c r="C11" i="8"/>
  <c r="C14" i="8"/>
  <c r="G12" i="8"/>
  <c r="F11" i="8"/>
  <c r="B14" i="8"/>
  <c r="B7" i="8"/>
  <c r="C13" i="8"/>
  <c r="G11" i="8"/>
  <c r="B8" i="8"/>
  <c r="B11" i="8"/>
  <c r="B12" i="8"/>
  <c r="C12" i="8"/>
  <c r="D15" i="8"/>
  <c r="E13" i="8"/>
  <c r="B13" i="8"/>
  <c r="F13" i="8"/>
  <c r="D11" i="8"/>
  <c r="F12" i="8"/>
  <c r="D14" i="8"/>
  <c r="E12" i="8"/>
  <c r="G13" i="8"/>
  <c r="G15" i="8"/>
  <c r="C15" i="8"/>
  <c r="D13" i="8"/>
  <c r="F15" i="8"/>
  <c r="D12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<sst xmlns="http://schemas.openxmlformats.org/spreadsheetml/2006/main" count="329" uniqueCount="77">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</sst>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C4" sqref="C4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76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11412215.33179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11282147.454229999</v>
      </c>
      <c r="D11" s="3">
        <f t="shared" ca="1" si="0"/>
        <v>11607062.908050001</v>
      </c>
      <c r="E11" s="3">
        <f t="shared" ca="1" si="0"/>
        <v>11405555.084270002</v>
      </c>
      <c r="F11" s="3">
        <f t="shared" ca="1" si="0"/>
        <v>11295553.786170002</v>
      </c>
      <c r="G11" s="3">
        <f t="shared" ca="1" si="0"/>
        <v>11421665.319780001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6642040.5540300002</v>
      </c>
      <c r="C12" s="3">
        <f t="shared" ref="C12:G12" ca="1" si="1">SUMIFS(INDIRECT(C$10&amp;"!$J$2:$J$35"), INDIRECT(C$10&amp;"!$B$2:$B$35"), "Offshore Wind")</f>
        <v>6747945.0236099996</v>
      </c>
      <c r="D12" s="3">
        <f t="shared" ca="1" si="1"/>
        <v>6978331.4115000004</v>
      </c>
      <c r="E12" s="3">
        <f t="shared" ca="1" si="1"/>
        <v>6789503.7605100004</v>
      </c>
      <c r="F12" s="3">
        <f t="shared" ca="1" si="1"/>
        <v>6546349.7046699999</v>
      </c>
      <c r="G12" s="3">
        <f t="shared" ca="1" si="1"/>
        <v>6643568.9334000004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3145740.1662400002</v>
      </c>
      <c r="C13" s="5">
        <f t="shared" ref="C13:G13" ca="1" si="2">SUMIFS(INDIRECT(C$10&amp;"!$J$2:$J$35"), INDIRECT(C$10&amp;"!$B$2:$B$35"), "Onshore Wind")</f>
        <v>2836769.7527100001</v>
      </c>
      <c r="D13" s="5">
        <f t="shared" ca="1" si="2"/>
        <v>2991360.34516</v>
      </c>
      <c r="E13" s="5">
        <f t="shared" ca="1" si="2"/>
        <v>2992191.1271500001</v>
      </c>
      <c r="F13" s="5">
        <f t="shared" ca="1" si="2"/>
        <v>3116530.2053100001</v>
      </c>
      <c r="G13" s="5">
        <f t="shared" ca="1" si="2"/>
        <v>3049883.1647999999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1348080.0664299999</v>
      </c>
      <c r="C14" s="5">
        <f t="shared" ref="C14:G14" ca="1" si="3">SUMIFS(INDIRECT(C$10&amp;"!$J$2:$J$35"), INDIRECT(C$10&amp;"!$B$2:$B$35"), "Solar PV")</f>
        <v>1420933.79721</v>
      </c>
      <c r="D14" s="5">
        <f t="shared" ca="1" si="3"/>
        <v>1347541.7486399999</v>
      </c>
      <c r="E14" s="5">
        <f t="shared" ca="1" si="3"/>
        <v>1341046.53468</v>
      </c>
      <c r="F14" s="5">
        <f t="shared" ca="1" si="3"/>
        <v>1349597.75281</v>
      </c>
      <c r="G14" s="5">
        <f t="shared" ca="1" si="3"/>
        <v>1431491.1810699999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14118942.215709999</v>
      </c>
      <c r="C15" s="3">
        <f t="shared" ref="C15:G15" ca="1" si="4">-SUMIFS(INDIRECT(C$10&amp;"!$M$2:$M$35"), INDIRECT(C$10&amp;"!$B$2:$B$35"), "Data Centre")</f>
        <v>13924424.648779999</v>
      </c>
      <c r="D15" s="3">
        <f t="shared" ca="1" si="4"/>
        <v>14126904.87039</v>
      </c>
      <c r="E15" s="3">
        <f t="shared" ca="1" si="4"/>
        <v>13435078.15333</v>
      </c>
      <c r="F15" s="3">
        <f t="shared" ca="1" si="4"/>
        <v>14118942.215709999</v>
      </c>
      <c r="G15" s="3">
        <f t="shared" ca="1" si="4"/>
        <v>13435078.15333</v>
      </c>
    </row>
    <row r="16" spans="1:7" x14ac:dyDescent="0.2">
      <c r="A16" s="4" t="s">
        <v>10</v>
      </c>
      <c r="B16" s="3">
        <v>81875276.025471702</v>
      </c>
      <c r="C16" s="3">
        <v>80436112.599846393</v>
      </c>
      <c r="D16" s="3">
        <v>81162063.343886897</v>
      </c>
      <c r="E16" s="3">
        <v>76445019.917204306</v>
      </c>
      <c r="F16" s="3">
        <v>81875276.025472298</v>
      </c>
      <c r="G16" s="3">
        <v>76445019.917203993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1.139725055815255E-2</v>
      </c>
      <c r="D18" s="9">
        <f t="shared" ref="D18:G18" ca="1" si="5">1-D$11/$B$11</f>
        <v>-1.7073597947037555E-2</v>
      </c>
      <c r="E18" s="9">
        <f t="shared" ca="1" si="5"/>
        <v>5.8360689194547621E-4</v>
      </c>
      <c r="F18" s="9">
        <f t="shared" ca="1" si="5"/>
        <v>1.0222515281062439E-2</v>
      </c>
      <c r="G18" s="9">
        <f t="shared" ca="1" si="5"/>
        <v>-8.2805903282223703E-4</v>
      </c>
    </row>
    <row r="19" spans="1:7" x14ac:dyDescent="0.2">
      <c r="A19" s="8" t="s">
        <v>22</v>
      </c>
      <c r="C19" s="9">
        <f ca="1">1-C$12/$B$12</f>
        <v>-1.594456834740976E-2</v>
      </c>
      <c r="D19" s="9">
        <f t="shared" ref="D19:G19" ca="1" si="6">1-D$12/$B$12</f>
        <v>-5.0630654048921642E-2</v>
      </c>
      <c r="E19" s="9">
        <f t="shared" ca="1" si="6"/>
        <v>-2.2201491436321996E-2</v>
      </c>
      <c r="F19" s="9">
        <f t="shared" ca="1" si="6"/>
        <v>1.4406845092498122E-2</v>
      </c>
      <c r="G19" s="9">
        <f t="shared" ca="1" si="6"/>
        <v>-2.3010690127045486E-4</v>
      </c>
    </row>
    <row r="20" spans="1:7" x14ac:dyDescent="0.2">
      <c r="A20" s="8" t="s">
        <v>23</v>
      </c>
      <c r="C20" s="9">
        <f ca="1">1-C$13/$B$13</f>
        <v>9.8218669439345985E-2</v>
      </c>
      <c r="D20" s="9">
        <f t="shared" ref="D20:G20" ca="1" si="7">1-D$13/$B$13</f>
        <v>4.9075833642206135E-2</v>
      </c>
      <c r="E20" s="9">
        <f t="shared" ca="1" si="7"/>
        <v>4.8811736181482601E-2</v>
      </c>
      <c r="F20" s="9">
        <f t="shared" ca="1" si="7"/>
        <v>9.2855605950804554E-3</v>
      </c>
      <c r="G20" s="9">
        <f t="shared" ca="1" si="7"/>
        <v>3.0472002255219621E-2</v>
      </c>
    </row>
    <row r="21" spans="1:7" x14ac:dyDescent="0.2">
      <c r="A21" s="8" t="s">
        <v>24</v>
      </c>
      <c r="C21" s="9">
        <f ca="1">1-C$14/$B$14</f>
        <v>-5.4042584408900973E-2</v>
      </c>
      <c r="D21" s="9">
        <f t="shared" ref="D21:G21" ca="1" si="8">1-D$14/$B$14</f>
        <v>3.9932182323976217E-4</v>
      </c>
      <c r="E21" s="9">
        <f t="shared" ca="1" si="8"/>
        <v>5.2174436260497004E-3</v>
      </c>
      <c r="F21" s="9">
        <f t="shared" ca="1" si="8"/>
        <v>-1.1258132345353111E-3</v>
      </c>
      <c r="G21" s="9">
        <f t="shared" ca="1" si="8"/>
        <v>-6.1874006386646085E-2</v>
      </c>
    </row>
    <row r="22" spans="1:7" x14ac:dyDescent="0.2">
      <c r="A22" s="8" t="s">
        <v>20</v>
      </c>
      <c r="C22" s="9">
        <f ca="1">1-C$15/$B$15</f>
        <v>1.3777063745863516E-2</v>
      </c>
      <c r="D22" s="9">
        <f t="shared" ref="D22:G22" ca="1" si="9">1-D$15/$B$15</f>
        <v>-5.639696344348355E-4</v>
      </c>
      <c r="E22" s="9">
        <f t="shared" ca="1" si="9"/>
        <v>4.8435927559719816E-2</v>
      </c>
      <c r="F22" s="9">
        <f t="shared" ca="1" si="9"/>
        <v>0</v>
      </c>
      <c r="G22" s="9">
        <f t="shared" ca="1" si="9"/>
        <v>4.8435927559719816E-2</v>
      </c>
    </row>
    <row r="23" spans="1:7" x14ac:dyDescent="0.2">
      <c r="A23" s="8" t="s">
        <v>19</v>
      </c>
      <c r="C23" s="9">
        <f>1-C$16/$B$16</f>
        <v>1.7577509298137617E-2</v>
      </c>
      <c r="D23" s="9">
        <f t="shared" ref="D23:G23" si="10">1-D$16/$B$16</f>
        <v>8.7109652169345964E-3</v>
      </c>
      <c r="E23" s="9">
        <f t="shared" si="10"/>
        <v>6.6323515130233268E-2</v>
      </c>
      <c r="F23" s="9">
        <f t="shared" si="10"/>
        <v>-7.3274719625260332E-15</v>
      </c>
      <c r="G23" s="9">
        <f t="shared" si="10"/>
        <v>6.6323515130237043E-2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F02C-7B4E-C74A-AC09-D549067DD518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3571751.38949</v>
      </c>
      <c r="F7" s="10">
        <v>0</v>
      </c>
      <c r="G7" s="10">
        <v>3571751.38949</v>
      </c>
      <c r="H7" s="10">
        <v>0</v>
      </c>
      <c r="I7" s="10">
        <v>0.1193624556407448</v>
      </c>
      <c r="J7" s="10">
        <v>26351823.610509999</v>
      </c>
      <c r="K7" s="10">
        <v>0</v>
      </c>
      <c r="L7" s="10">
        <v>40697209.38329</v>
      </c>
      <c r="M7" s="10">
        <v>40697209.38329</v>
      </c>
      <c r="N7" s="10">
        <v>11.394188705488441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4643.509</v>
      </c>
      <c r="F9" s="10">
        <v>0</v>
      </c>
      <c r="G9" s="10">
        <v>4643.509</v>
      </c>
      <c r="H9" s="10">
        <v>0</v>
      </c>
      <c r="I9" s="10">
        <v>0.1931981818181818</v>
      </c>
      <c r="J9" s="10">
        <v>19391.491000000002</v>
      </c>
      <c r="K9" s="10">
        <v>0</v>
      </c>
      <c r="L9" s="10">
        <v>57858.122139999999</v>
      </c>
      <c r="M9" s="10">
        <v>99256.849839999995</v>
      </c>
      <c r="N9" s="10">
        <v>21.375356440395642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1327.7832900000001</v>
      </c>
      <c r="F10" s="10">
        <v>0</v>
      </c>
      <c r="G10" s="10">
        <v>1327.7832900000001</v>
      </c>
      <c r="H10" s="10">
        <v>0</v>
      </c>
      <c r="I10" s="10">
        <v>7.2818686515446697E-4</v>
      </c>
      <c r="J10" s="10">
        <v>1822078.89634</v>
      </c>
      <c r="K10" s="10">
        <v>0</v>
      </c>
      <c r="L10" s="10">
        <v>71700.297619999998</v>
      </c>
      <c r="M10" s="10">
        <v>71876.930410000001</v>
      </c>
      <c r="N10" s="10">
        <v>54.133129278567672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1417072.01972</v>
      </c>
      <c r="F11" s="10">
        <v>0</v>
      </c>
      <c r="G11" s="10">
        <v>1417072.01972</v>
      </c>
      <c r="H11" s="10">
        <v>0</v>
      </c>
      <c r="I11" s="10">
        <v>0.34182623586409289</v>
      </c>
      <c r="J11" s="10">
        <v>241164.68427999999</v>
      </c>
      <c r="K11" s="10">
        <v>0</v>
      </c>
      <c r="L11" s="10">
        <v>0</v>
      </c>
      <c r="M11" s="10">
        <v>9471835.7665299997</v>
      </c>
      <c r="N11" s="10">
        <v>6.6840891591962963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238579.69</v>
      </c>
      <c r="F13" s="10">
        <v>0</v>
      </c>
      <c r="G13" s="10">
        <v>238579.69</v>
      </c>
      <c r="H13" s="10">
        <v>0</v>
      </c>
      <c r="I13" s="10">
        <v>0.42927602041217489</v>
      </c>
      <c r="J13" s="10">
        <v>35189.860809999998</v>
      </c>
      <c r="K13" s="10">
        <v>0</v>
      </c>
      <c r="L13" s="10">
        <v>0</v>
      </c>
      <c r="M13" s="10">
        <v>2000388.69138</v>
      </c>
      <c r="N13" s="10">
        <v>8.3845724037018474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4061355.54042</v>
      </c>
      <c r="F14" s="10">
        <v>0</v>
      </c>
      <c r="G14" s="10">
        <v>4061355.54042</v>
      </c>
      <c r="H14" s="10">
        <v>0</v>
      </c>
      <c r="I14" s="10">
        <v>0.40672734135667399</v>
      </c>
      <c r="J14" s="10">
        <v>5924094.4595799996</v>
      </c>
      <c r="K14" s="10">
        <v>0</v>
      </c>
      <c r="L14" s="10">
        <v>40613555.404210001</v>
      </c>
      <c r="M14" s="10">
        <v>68047738.751389995</v>
      </c>
      <c r="N14" s="10">
        <v>16.754932738315031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25472805.555539999</v>
      </c>
      <c r="F15" s="10">
        <v>0</v>
      </c>
      <c r="G15" s="10">
        <v>25472805.555539999</v>
      </c>
      <c r="H15" s="10">
        <v>0</v>
      </c>
      <c r="I15" s="10">
        <v>0.2177273008943153</v>
      </c>
      <c r="J15" s="10">
        <v>6642040.5540300002</v>
      </c>
      <c r="K15" s="10">
        <v>0</v>
      </c>
      <c r="L15" s="10">
        <v>0</v>
      </c>
      <c r="M15" s="10">
        <v>102405102.97806001</v>
      </c>
      <c r="N15" s="10">
        <v>4.0201737006685052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11189394.19018</v>
      </c>
      <c r="F17" s="10">
        <v>0</v>
      </c>
      <c r="G17" s="10">
        <v>11189394.19018</v>
      </c>
      <c r="H17" s="10">
        <v>0</v>
      </c>
      <c r="I17" s="10">
        <v>0.18778383066305379</v>
      </c>
      <c r="J17" s="10">
        <v>3145740.1662400002</v>
      </c>
      <c r="K17" s="10">
        <v>0</v>
      </c>
      <c r="L17" s="10">
        <v>0</v>
      </c>
      <c r="M17" s="10">
        <v>42150354.259559996</v>
      </c>
      <c r="N17" s="10">
        <v>3.766991626823911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13217461.392790001</v>
      </c>
      <c r="F20" s="10">
        <v>0</v>
      </c>
      <c r="G20" s="10">
        <v>13217461.392790001</v>
      </c>
      <c r="H20" s="10">
        <v>0</v>
      </c>
      <c r="I20" s="10">
        <v>0.14947166649263011</v>
      </c>
      <c r="J20" s="10">
        <v>1348080.0664299999</v>
      </c>
      <c r="K20" s="10">
        <v>0</v>
      </c>
      <c r="L20" s="10">
        <v>0</v>
      </c>
      <c r="M20" s="10">
        <v>90278673.567890003</v>
      </c>
      <c r="N20" s="10">
        <v>6.8302581574748009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35023140.076569997</v>
      </c>
      <c r="F22" s="10">
        <v>21829914.406029999</v>
      </c>
      <c r="G22" s="10">
        <v>13193225.670539999</v>
      </c>
      <c r="H22" s="10">
        <v>-13193225.670539999</v>
      </c>
      <c r="I22" s="10">
        <v>0.1127370215337955</v>
      </c>
      <c r="J22" s="10">
        <v>0</v>
      </c>
      <c r="K22" s="10">
        <v>0</v>
      </c>
      <c r="L22" s="10">
        <v>0</v>
      </c>
      <c r="M22" s="10">
        <v>135731533.85012999</v>
      </c>
      <c r="N22" s="10">
        <v>2.3874097018619609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9549084.6919800006</v>
      </c>
      <c r="F23" s="10">
        <v>5885749.93353</v>
      </c>
      <c r="G23" s="10">
        <v>3663334.7584500001</v>
      </c>
      <c r="H23" s="10">
        <v>-3663334.7584500001</v>
      </c>
      <c r="I23" s="10">
        <v>0.56738936064257028</v>
      </c>
      <c r="J23" s="10">
        <v>30866584.758450001</v>
      </c>
      <c r="K23" s="10">
        <v>0</v>
      </c>
      <c r="L23" s="10">
        <v>0</v>
      </c>
      <c r="M23" s="10">
        <v>70784103.073860005</v>
      </c>
      <c r="N23" s="10">
        <v>4.5859968561087578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134827.92462999999</v>
      </c>
      <c r="G24" s="10">
        <v>-134827.92462999999</v>
      </c>
      <c r="H24" s="10">
        <v>0</v>
      </c>
      <c r="I24" s="10">
        <v>1.6891469896859371E-2</v>
      </c>
      <c r="J24" s="10">
        <v>7847184.1140000001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86990.563639999993</v>
      </c>
      <c r="G25" s="10">
        <v>-86990.563639999993</v>
      </c>
      <c r="H25" s="10">
        <v>0</v>
      </c>
      <c r="I25" s="10">
        <v>0.14301482500601689</v>
      </c>
      <c r="J25" s="10">
        <v>521271.92135999998</v>
      </c>
      <c r="K25" s="10">
        <v>0</v>
      </c>
      <c r="L25" s="10">
        <v>434952.81819000002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1877542.78308</v>
      </c>
      <c r="G26" s="10">
        <v>-1877542.78308</v>
      </c>
      <c r="H26" s="10">
        <v>0</v>
      </c>
      <c r="J26" s="10">
        <v>0</v>
      </c>
      <c r="K26" s="10">
        <v>0</v>
      </c>
      <c r="L26" s="10">
        <v>0</v>
      </c>
      <c r="M26" s="10">
        <v>-14118942.215709999</v>
      </c>
      <c r="N26" s="10">
        <v>-7.5199044310336669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-411891455.58788002</v>
      </c>
      <c r="N27" s="10">
        <v>-7.8939170712979454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2729197.8346600002</v>
      </c>
      <c r="F28" s="10">
        <v>6114821.3175999997</v>
      </c>
      <c r="G28" s="10">
        <v>-3385623.48294</v>
      </c>
      <c r="H28" s="10">
        <v>0</v>
      </c>
      <c r="I28" s="10">
        <v>0.15290156196517729</v>
      </c>
      <c r="J28" s="10">
        <v>61226884.487939999</v>
      </c>
      <c r="K28" s="10">
        <v>0</v>
      </c>
      <c r="L28" s="10">
        <v>0</v>
      </c>
      <c r="M28" s="10">
        <v>16741690.776690001</v>
      </c>
      <c r="N28" s="10">
        <v>1.892995761479769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142784.75284999999</v>
      </c>
      <c r="F29" s="10">
        <v>270758.74018000002</v>
      </c>
      <c r="G29" s="10">
        <v>-127973.98732</v>
      </c>
      <c r="H29" s="10">
        <v>0</v>
      </c>
      <c r="I29" s="10">
        <v>0.22066339593428069</v>
      </c>
      <c r="J29" s="10">
        <v>2002065.9673200001</v>
      </c>
      <c r="K29" s="10">
        <v>0</v>
      </c>
      <c r="L29" s="10">
        <v>0</v>
      </c>
      <c r="M29" s="10">
        <v>548921.51061</v>
      </c>
      <c r="N29" s="10">
        <v>1.3273609941967011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31042.259320000001</v>
      </c>
      <c r="F30" s="10">
        <v>250612.96015999999</v>
      </c>
      <c r="G30" s="10">
        <v>-219570.70084</v>
      </c>
      <c r="H30" s="10">
        <v>0</v>
      </c>
      <c r="I30" s="10">
        <v>0.28145344698838848</v>
      </c>
      <c r="J30" s="10">
        <v>1220287.59084</v>
      </c>
      <c r="K30" s="10">
        <v>0</v>
      </c>
      <c r="L30" s="10">
        <v>0</v>
      </c>
      <c r="M30" s="10">
        <v>549749.35774000001</v>
      </c>
      <c r="N30" s="10">
        <v>1.951852227382566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846578.61364</v>
      </c>
      <c r="F31" s="10">
        <v>2232173.6644000001</v>
      </c>
      <c r="G31" s="10">
        <v>-1385595.0507499999</v>
      </c>
      <c r="H31" s="10">
        <v>0</v>
      </c>
      <c r="I31" s="10">
        <v>0.26585659245283022</v>
      </c>
      <c r="J31" s="10">
        <v>12966095.05075</v>
      </c>
      <c r="K31" s="10">
        <v>0</v>
      </c>
      <c r="L31" s="10">
        <v>0</v>
      </c>
      <c r="M31" s="10">
        <v>10545946.586680001</v>
      </c>
      <c r="N31" s="10">
        <v>3.425396287915019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86120.383579999994</v>
      </c>
      <c r="F32" s="10">
        <v>93509.367190000004</v>
      </c>
      <c r="G32" s="10">
        <v>-7388.9836100000002</v>
      </c>
      <c r="H32" s="10">
        <v>0</v>
      </c>
      <c r="I32" s="10">
        <v>0.72307673677271012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F15D-E76E-FC4A-93B9-2E8F9F54EA1D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3499177.0561000002</v>
      </c>
      <c r="F7" s="10">
        <v>0</v>
      </c>
      <c r="G7" s="10">
        <v>3499177.0561000002</v>
      </c>
      <c r="H7" s="10">
        <v>0</v>
      </c>
      <c r="I7" s="10">
        <v>0.1169371325301205</v>
      </c>
      <c r="J7" s="10">
        <v>26424397.9439</v>
      </c>
      <c r="K7" s="10">
        <v>0</v>
      </c>
      <c r="L7" s="10">
        <v>39434399.925619997</v>
      </c>
      <c r="M7" s="10">
        <v>39434399.925619997</v>
      </c>
      <c r="N7" s="10">
        <v>11.26962120167758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4387.8826799999997</v>
      </c>
      <c r="F9" s="10">
        <v>0</v>
      </c>
      <c r="G9" s="10">
        <v>4387.8826799999997</v>
      </c>
      <c r="H9" s="10">
        <v>0</v>
      </c>
      <c r="I9" s="10">
        <v>0.18256181818181819</v>
      </c>
      <c r="J9" s="10">
        <v>19647.117320000001</v>
      </c>
      <c r="K9" s="10">
        <v>0</v>
      </c>
      <c r="L9" s="10">
        <v>54673.018210000002</v>
      </c>
      <c r="M9" s="10">
        <v>94614.478539999996</v>
      </c>
      <c r="N9" s="10">
        <v>21.562718481411029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2025.88249</v>
      </c>
      <c r="N10" s="10">
        <v>56.952088452088447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1414384.2127400001</v>
      </c>
      <c r="F11" s="10">
        <v>0</v>
      </c>
      <c r="G11" s="10">
        <v>1414384.2127400001</v>
      </c>
      <c r="H11" s="10">
        <v>0</v>
      </c>
      <c r="I11" s="10">
        <v>0.34117788157461992</v>
      </c>
      <c r="J11" s="10">
        <v>243852.49126000001</v>
      </c>
      <c r="K11" s="10">
        <v>0</v>
      </c>
      <c r="L11" s="10">
        <v>0</v>
      </c>
      <c r="M11" s="10">
        <v>9262502.4044899996</v>
      </c>
      <c r="N11" s="10">
        <v>6.5487880305896624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241123.16138000001</v>
      </c>
      <c r="F13" s="10">
        <v>0</v>
      </c>
      <c r="G13" s="10">
        <v>241123.16138000001</v>
      </c>
      <c r="H13" s="10">
        <v>0</v>
      </c>
      <c r="I13" s="10">
        <v>0.43385248350749728</v>
      </c>
      <c r="J13" s="10">
        <v>32646.389439999999</v>
      </c>
      <c r="K13" s="10">
        <v>0</v>
      </c>
      <c r="L13" s="10">
        <v>0</v>
      </c>
      <c r="M13" s="10">
        <v>1968405.8007799999</v>
      </c>
      <c r="N13" s="10">
        <v>8.1634870011331735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4052743.9752400001</v>
      </c>
      <c r="F14" s="10">
        <v>0</v>
      </c>
      <c r="G14" s="10">
        <v>4052743.9752400001</v>
      </c>
      <c r="H14" s="10">
        <v>0</v>
      </c>
      <c r="I14" s="10">
        <v>0.40586492997811818</v>
      </c>
      <c r="J14" s="10">
        <v>5932706.0247600004</v>
      </c>
      <c r="K14" s="10">
        <v>0</v>
      </c>
      <c r="L14" s="10">
        <v>40527439.752410002</v>
      </c>
      <c r="M14" s="10">
        <v>66877593.503200002</v>
      </c>
      <c r="N14" s="10">
        <v>16.501805709548421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25366901.085960001</v>
      </c>
      <c r="F15" s="10">
        <v>0</v>
      </c>
      <c r="G15" s="10">
        <v>25366901.085960001</v>
      </c>
      <c r="H15" s="10">
        <v>0</v>
      </c>
      <c r="I15" s="10">
        <v>0.21682208859887389</v>
      </c>
      <c r="J15" s="10">
        <v>6747945.0236099996</v>
      </c>
      <c r="K15" s="10">
        <v>0</v>
      </c>
      <c r="L15" s="10">
        <v>0</v>
      </c>
      <c r="M15" s="10">
        <v>101381248.10755999</v>
      </c>
      <c r="N15" s="10">
        <v>3.9965957133120011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11498364.603709999</v>
      </c>
      <c r="F17" s="10">
        <v>0</v>
      </c>
      <c r="G17" s="10">
        <v>11498364.603709999</v>
      </c>
      <c r="H17" s="10">
        <v>0</v>
      </c>
      <c r="I17" s="10">
        <v>0.19296906637043709</v>
      </c>
      <c r="J17" s="10">
        <v>2836769.7527100001</v>
      </c>
      <c r="K17" s="10">
        <v>0</v>
      </c>
      <c r="L17" s="10">
        <v>0</v>
      </c>
      <c r="M17" s="10">
        <v>41523117.902800001</v>
      </c>
      <c r="N17" s="10">
        <v>3.6112194504789801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13144607.662009999</v>
      </c>
      <c r="F20" s="10">
        <v>0</v>
      </c>
      <c r="G20" s="10">
        <v>13144607.662009999</v>
      </c>
      <c r="H20" s="10">
        <v>0</v>
      </c>
      <c r="I20" s="10">
        <v>0.14864778899513331</v>
      </c>
      <c r="J20" s="10">
        <v>1420933.79721</v>
      </c>
      <c r="K20" s="10">
        <v>0</v>
      </c>
      <c r="L20" s="10">
        <v>0</v>
      </c>
      <c r="M20" s="10">
        <v>89468553.00429</v>
      </c>
      <c r="N20" s="10">
        <v>6.806483332020826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35348225.686120003</v>
      </c>
      <c r="F22" s="10">
        <v>21595749.24735</v>
      </c>
      <c r="G22" s="10">
        <v>13752476.43877</v>
      </c>
      <c r="H22" s="10">
        <v>-13752476.43877</v>
      </c>
      <c r="I22" s="10">
        <v>0.11291731265164651</v>
      </c>
      <c r="J22" s="10">
        <v>0</v>
      </c>
      <c r="K22" s="10">
        <v>0</v>
      </c>
      <c r="L22" s="10">
        <v>0</v>
      </c>
      <c r="M22" s="10">
        <v>130381034.02350999</v>
      </c>
      <c r="N22" s="10">
        <v>2.2896370367295682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9545347.6429500002</v>
      </c>
      <c r="F23" s="10">
        <v>5956448.0982400002</v>
      </c>
      <c r="G23" s="10">
        <v>3588899.54471</v>
      </c>
      <c r="H23" s="10">
        <v>-3588899.54471</v>
      </c>
      <c r="I23" s="10">
        <v>0.56985087228915665</v>
      </c>
      <c r="J23" s="10">
        <v>30792149.544709999</v>
      </c>
      <c r="K23" s="10">
        <v>0</v>
      </c>
      <c r="L23" s="10">
        <v>0</v>
      </c>
      <c r="M23" s="10">
        <v>68774516.976019993</v>
      </c>
      <c r="N23" s="10">
        <v>4.4365516182902249</v>
      </c>
    </row>
    <row r="24" spans="1:14" x14ac:dyDescent="0.2">
      <c r="A24" s="12"/>
      <c r="B24" s="11" t="s">
        <v>74</v>
      </c>
      <c r="C24" s="10">
        <v>26000000</v>
      </c>
      <c r="D24" s="10">
        <v>26000000</v>
      </c>
      <c r="E24" s="10">
        <v>0</v>
      </c>
      <c r="F24" s="10">
        <v>430082.29057999997</v>
      </c>
      <c r="G24" s="10">
        <v>-430082.29057999997</v>
      </c>
      <c r="H24" s="10">
        <v>0</v>
      </c>
      <c r="I24" s="10">
        <v>7.5705384615384617E-6</v>
      </c>
      <c r="J24" s="10">
        <v>56809569917.709427</v>
      </c>
      <c r="K24" s="10">
        <v>0</v>
      </c>
      <c r="L24" s="10">
        <v>4.3008199999999999</v>
      </c>
      <c r="M24" s="10">
        <v>-3463776.7523099999</v>
      </c>
      <c r="N24" s="10">
        <v>-8.0537535181929947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130469.12175000001</v>
      </c>
      <c r="G25" s="10">
        <v>-130469.12175000001</v>
      </c>
      <c r="H25" s="10">
        <v>0</v>
      </c>
      <c r="I25" s="10">
        <v>1.6345393176566251E-2</v>
      </c>
      <c r="J25" s="10">
        <v>7851542.9168800004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83534.834040000002</v>
      </c>
      <c r="G26" s="10">
        <v>-83534.834040000002</v>
      </c>
      <c r="H26" s="10">
        <v>0</v>
      </c>
      <c r="I26" s="10">
        <v>0.13733354647048471</v>
      </c>
      <c r="J26" s="10">
        <v>524727.65096</v>
      </c>
      <c r="K26" s="10">
        <v>0</v>
      </c>
      <c r="L26" s="10">
        <v>417674.17021000001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1877542.78308</v>
      </c>
      <c r="G27" s="10">
        <v>-1877542.78308</v>
      </c>
      <c r="H27" s="10">
        <v>0</v>
      </c>
      <c r="J27" s="10">
        <v>0</v>
      </c>
      <c r="K27" s="10">
        <v>0</v>
      </c>
      <c r="L27" s="10">
        <v>0</v>
      </c>
      <c r="M27" s="10">
        <v>-13924424.648779999</v>
      </c>
      <c r="N27" s="10">
        <v>-7.4163022260854747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-406314455.93563002</v>
      </c>
      <c r="N28" s="10">
        <v>-7.7870336382529963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2428163.9194299998</v>
      </c>
      <c r="F29" s="10">
        <v>5849234.8361900002</v>
      </c>
      <c r="G29" s="10">
        <v>-3421070.9167499999</v>
      </c>
      <c r="H29" s="10">
        <v>0</v>
      </c>
      <c r="I29" s="10">
        <v>0.14310543381107249</v>
      </c>
      <c r="J29" s="10">
        <v>61262331.921750002</v>
      </c>
      <c r="K29" s="10">
        <v>0</v>
      </c>
      <c r="L29" s="10">
        <v>0</v>
      </c>
      <c r="M29" s="10">
        <v>16040343.688829999</v>
      </c>
      <c r="N29" s="10">
        <v>1.9378483711980581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123957.57918</v>
      </c>
      <c r="F30" s="10">
        <v>254978.86241999999</v>
      </c>
      <c r="G30" s="10">
        <v>-131021.28324</v>
      </c>
      <c r="H30" s="10">
        <v>0</v>
      </c>
      <c r="I30" s="10">
        <v>0.2021973562098057</v>
      </c>
      <c r="J30" s="10">
        <v>2005113.26324</v>
      </c>
      <c r="K30" s="10">
        <v>0</v>
      </c>
      <c r="L30" s="10">
        <v>0</v>
      </c>
      <c r="M30" s="10">
        <v>527296.42619000003</v>
      </c>
      <c r="N30" s="10">
        <v>1.3915168225071299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30116.553550000001</v>
      </c>
      <c r="F31" s="10">
        <v>248062.58316000001</v>
      </c>
      <c r="G31" s="10">
        <v>-217946.02961</v>
      </c>
      <c r="H31" s="10">
        <v>0</v>
      </c>
      <c r="I31" s="10">
        <v>0.2779798643650353</v>
      </c>
      <c r="J31" s="10">
        <v>1218662.91961</v>
      </c>
      <c r="K31" s="10">
        <v>0</v>
      </c>
      <c r="L31" s="10">
        <v>0</v>
      </c>
      <c r="M31" s="10">
        <v>530863.66437000001</v>
      </c>
      <c r="N31" s="10">
        <v>1.90835177932579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811953.83083999995</v>
      </c>
      <c r="F32" s="10">
        <v>2208783.03229</v>
      </c>
      <c r="G32" s="10">
        <v>-1396829.2014599999</v>
      </c>
      <c r="H32" s="10">
        <v>0</v>
      </c>
      <c r="I32" s="10">
        <v>0.26084684339622638</v>
      </c>
      <c r="J32" s="10">
        <v>12977329.20146</v>
      </c>
      <c r="K32" s="10">
        <v>0</v>
      </c>
      <c r="L32" s="10">
        <v>0</v>
      </c>
      <c r="M32" s="10">
        <v>9950163.4539999999</v>
      </c>
      <c r="N32" s="10">
        <v>3.2939523964279278</v>
      </c>
    </row>
    <row r="33" spans="1:13" x14ac:dyDescent="0.2">
      <c r="A33" s="12" t="s">
        <v>26</v>
      </c>
      <c r="B33" s="11" t="s">
        <v>74</v>
      </c>
      <c r="C33" s="10">
        <v>13000000</v>
      </c>
      <c r="D33" s="10">
        <v>13000000</v>
      </c>
      <c r="E33" s="10">
        <v>215041.14528999999</v>
      </c>
      <c r="F33" s="10">
        <v>215041.14528999999</v>
      </c>
      <c r="G33" s="10">
        <v>0</v>
      </c>
      <c r="H33" s="10">
        <v>0</v>
      </c>
      <c r="I33" s="10">
        <v>0.99970645057076912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82443.558380000002</v>
      </c>
      <c r="F34" s="10">
        <v>90237.109570000001</v>
      </c>
      <c r="G34" s="10">
        <v>-7793.5511900000001</v>
      </c>
      <c r="H34" s="10">
        <v>0</v>
      </c>
      <c r="I34" s="10">
        <v>0.76266721644419833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EF26-633D-EF4C-9CB9-EFCC6EC803E9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3535410.5906699998</v>
      </c>
      <c r="F7" s="10">
        <v>0</v>
      </c>
      <c r="G7" s="10">
        <v>3535410.5906699998</v>
      </c>
      <c r="H7" s="10">
        <v>0</v>
      </c>
      <c r="I7" s="10">
        <v>0.11814800146038699</v>
      </c>
      <c r="J7" s="10">
        <v>26388164.409329999</v>
      </c>
      <c r="K7" s="10">
        <v>0</v>
      </c>
      <c r="L7" s="10">
        <v>40154785.316919997</v>
      </c>
      <c r="M7" s="10">
        <v>40154785.316919997</v>
      </c>
      <c r="N7" s="10">
        <v>11.357884574299691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4829.6239999999998</v>
      </c>
      <c r="F9" s="10">
        <v>0</v>
      </c>
      <c r="G9" s="10">
        <v>4829.6239999999998</v>
      </c>
      <c r="H9" s="10">
        <v>0</v>
      </c>
      <c r="I9" s="10">
        <v>0.20094090909090909</v>
      </c>
      <c r="J9" s="10">
        <v>19205.376</v>
      </c>
      <c r="K9" s="10">
        <v>0</v>
      </c>
      <c r="L9" s="10">
        <v>60177.115039999997</v>
      </c>
      <c r="M9" s="10">
        <v>101874.68562</v>
      </c>
      <c r="N9" s="10">
        <v>21.09374985861967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1558.3295599999999</v>
      </c>
      <c r="F10" s="10">
        <v>0</v>
      </c>
      <c r="G10" s="10">
        <v>1558.3295599999999</v>
      </c>
      <c r="H10" s="10">
        <v>0</v>
      </c>
      <c r="I10" s="10">
        <v>8.5462017897497747E-4</v>
      </c>
      <c r="J10" s="10">
        <v>1821848.3500699999</v>
      </c>
      <c r="K10" s="10">
        <v>0</v>
      </c>
      <c r="L10" s="10">
        <v>84149.796319999994</v>
      </c>
      <c r="M10" s="10">
        <v>84308.424060000005</v>
      </c>
      <c r="N10" s="10">
        <v>54.102118650009118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1402044.7705099999</v>
      </c>
      <c r="F11" s="10">
        <v>0</v>
      </c>
      <c r="G11" s="10">
        <v>1402044.7705099999</v>
      </c>
      <c r="H11" s="10">
        <v>0</v>
      </c>
      <c r="I11" s="10">
        <v>0.33820136130577411</v>
      </c>
      <c r="J11" s="10">
        <v>256191.93349</v>
      </c>
      <c r="K11" s="10">
        <v>0</v>
      </c>
      <c r="L11" s="10">
        <v>0</v>
      </c>
      <c r="M11" s="10">
        <v>9737734.6114000008</v>
      </c>
      <c r="N11" s="10">
        <v>6.9453806094674269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240132.08155</v>
      </c>
      <c r="F13" s="10">
        <v>0</v>
      </c>
      <c r="G13" s="10">
        <v>240132.08155</v>
      </c>
      <c r="H13" s="10">
        <v>0</v>
      </c>
      <c r="I13" s="10">
        <v>0.43206924885397752</v>
      </c>
      <c r="J13" s="10">
        <v>33637.469259999998</v>
      </c>
      <c r="K13" s="10">
        <v>0</v>
      </c>
      <c r="L13" s="10">
        <v>0</v>
      </c>
      <c r="M13" s="10">
        <v>2017912.0688199999</v>
      </c>
      <c r="N13" s="10">
        <v>8.4033419572126604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4030619.4210399999</v>
      </c>
      <c r="F14" s="10">
        <v>0</v>
      </c>
      <c r="G14" s="10">
        <v>4030619.4210399999</v>
      </c>
      <c r="H14" s="10">
        <v>0</v>
      </c>
      <c r="I14" s="10">
        <v>0.40364925164113791</v>
      </c>
      <c r="J14" s="10">
        <v>5954830.5789599996</v>
      </c>
      <c r="K14" s="10">
        <v>0</v>
      </c>
      <c r="L14" s="10">
        <v>40306194.210380003</v>
      </c>
      <c r="M14" s="10">
        <v>67493418.396390006</v>
      </c>
      <c r="N14" s="10">
        <v>16.745172732346191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25136514.698070001</v>
      </c>
      <c r="F15" s="10">
        <v>0</v>
      </c>
      <c r="G15" s="10">
        <v>25136514.698070001</v>
      </c>
      <c r="H15" s="10">
        <v>0</v>
      </c>
      <c r="I15" s="10">
        <v>0.21485287463990971</v>
      </c>
      <c r="J15" s="10">
        <v>6978331.4115000004</v>
      </c>
      <c r="K15" s="10">
        <v>0</v>
      </c>
      <c r="L15" s="10">
        <v>0</v>
      </c>
      <c r="M15" s="10">
        <v>102636623.56614999</v>
      </c>
      <c r="N15" s="10">
        <v>4.083168442634161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11343774.01125</v>
      </c>
      <c r="F17" s="10">
        <v>0</v>
      </c>
      <c r="G17" s="10">
        <v>11343774.01125</v>
      </c>
      <c r="H17" s="10">
        <v>0</v>
      </c>
      <c r="I17" s="10">
        <v>0.19037467995460769</v>
      </c>
      <c r="J17" s="10">
        <v>2991360.34516</v>
      </c>
      <c r="K17" s="10">
        <v>0</v>
      </c>
      <c r="L17" s="10">
        <v>0</v>
      </c>
      <c r="M17" s="10">
        <v>42506435.341789998</v>
      </c>
      <c r="N17" s="10">
        <v>3.7471158422225912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13217999.71057</v>
      </c>
      <c r="F20" s="10">
        <v>0</v>
      </c>
      <c r="G20" s="10">
        <v>13217999.71057</v>
      </c>
      <c r="H20" s="10">
        <v>0</v>
      </c>
      <c r="I20" s="10">
        <v>0.14947775414844941</v>
      </c>
      <c r="J20" s="10">
        <v>1347541.7486399999</v>
      </c>
      <c r="K20" s="10">
        <v>0</v>
      </c>
      <c r="L20" s="10">
        <v>0</v>
      </c>
      <c r="M20" s="10">
        <v>89963130.352320001</v>
      </c>
      <c r="N20" s="10">
        <v>6.8061077508952303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34786706.589809999</v>
      </c>
      <c r="F22" s="10">
        <v>21545985.105470002</v>
      </c>
      <c r="G22" s="10">
        <v>13240721.48433</v>
      </c>
      <c r="H22" s="10">
        <v>-13240721.48433</v>
      </c>
      <c r="I22" s="10">
        <v>0.11170516577123051</v>
      </c>
      <c r="J22" s="10">
        <v>0</v>
      </c>
      <c r="K22" s="10">
        <v>0</v>
      </c>
      <c r="L22" s="10">
        <v>0</v>
      </c>
      <c r="M22" s="10">
        <v>130566562.26696</v>
      </c>
      <c r="N22" s="10">
        <v>2.3177760259498039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9531030.4208700005</v>
      </c>
      <c r="F23" s="10">
        <v>5904968.2765899999</v>
      </c>
      <c r="G23" s="10">
        <v>3626062.1442800001</v>
      </c>
      <c r="H23" s="10">
        <v>-3626062.1442800001</v>
      </c>
      <c r="I23" s="10">
        <v>0.56743215261044178</v>
      </c>
      <c r="J23" s="10">
        <v>30829312.144280002</v>
      </c>
      <c r="K23" s="10">
        <v>0</v>
      </c>
      <c r="L23" s="10">
        <v>0</v>
      </c>
      <c r="M23" s="10">
        <v>70077615.374970004</v>
      </c>
      <c r="N23" s="10">
        <v>4.5398821744737932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167931.26977000001</v>
      </c>
      <c r="G24" s="10">
        <v>-167931.26977000001</v>
      </c>
      <c r="H24" s="10">
        <v>0</v>
      </c>
      <c r="I24" s="10">
        <v>2.1038715187992319E-2</v>
      </c>
      <c r="J24" s="10">
        <v>7814080.7688699998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111351.2506</v>
      </c>
      <c r="G25" s="10">
        <v>-111351.2506</v>
      </c>
      <c r="H25" s="10">
        <v>0</v>
      </c>
      <c r="I25" s="10">
        <v>0.1830644691986881</v>
      </c>
      <c r="J25" s="10">
        <v>496911.23440000002</v>
      </c>
      <c r="K25" s="10">
        <v>0</v>
      </c>
      <c r="L25" s="10">
        <v>556756.25301999995</v>
      </c>
      <c r="M25" s="10">
        <v>0</v>
      </c>
    </row>
    <row r="26" spans="1:14" x14ac:dyDescent="0.2">
      <c r="A26" s="12"/>
      <c r="B26" s="11" t="s">
        <v>75</v>
      </c>
      <c r="C26" s="10">
        <v>156000000</v>
      </c>
      <c r="D26" s="10">
        <v>156000000</v>
      </c>
      <c r="E26" s="10">
        <v>0</v>
      </c>
      <c r="F26" s="10">
        <v>65217.858529999998</v>
      </c>
      <c r="G26" s="10">
        <v>-65217.858529999998</v>
      </c>
      <c r="H26" s="10">
        <v>65217.858529999998</v>
      </c>
      <c r="I26" s="10">
        <v>1.9133326923076921E-7</v>
      </c>
      <c r="J26" s="10">
        <v>340859934782.14148</v>
      </c>
      <c r="K26" s="10">
        <v>0</v>
      </c>
      <c r="L26" s="10">
        <v>0.65217999999999998</v>
      </c>
      <c r="M26" s="10">
        <v>-369109.50144999998</v>
      </c>
      <c r="N26" s="10">
        <v>-5.6596383877105296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1877542.78308</v>
      </c>
      <c r="G27" s="10">
        <v>-1877542.78308</v>
      </c>
      <c r="H27" s="10">
        <v>0</v>
      </c>
      <c r="J27" s="10">
        <v>0</v>
      </c>
      <c r="K27" s="10">
        <v>0</v>
      </c>
      <c r="L27" s="10">
        <v>0</v>
      </c>
      <c r="M27" s="10">
        <v>-14126904.87039</v>
      </c>
      <c r="N27" s="10">
        <v>-7.524145433964339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-410860293.77969003</v>
      </c>
      <c r="N28" s="10">
        <v>-7.8741548119136757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3374355.5048600002</v>
      </c>
      <c r="F29" s="10">
        <v>6616247.6659599999</v>
      </c>
      <c r="G29" s="10">
        <v>-3241892.1611000001</v>
      </c>
      <c r="H29" s="10">
        <v>0</v>
      </c>
      <c r="I29" s="10">
        <v>0.1727245048942895</v>
      </c>
      <c r="J29" s="10">
        <v>61083153.166100003</v>
      </c>
      <c r="K29" s="10">
        <v>0</v>
      </c>
      <c r="L29" s="10">
        <v>0</v>
      </c>
      <c r="M29" s="10">
        <v>16652762.731109999</v>
      </c>
      <c r="N29" s="10">
        <v>1.666842577343614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175863.89262</v>
      </c>
      <c r="F30" s="10">
        <v>296091.09763999999</v>
      </c>
      <c r="G30" s="10">
        <v>-120227.20501999999</v>
      </c>
      <c r="H30" s="10">
        <v>0</v>
      </c>
      <c r="I30" s="10">
        <v>0.25183128757106149</v>
      </c>
      <c r="J30" s="10">
        <v>1994319.18502</v>
      </c>
      <c r="K30" s="10">
        <v>0</v>
      </c>
      <c r="L30" s="10">
        <v>0</v>
      </c>
      <c r="M30" s="10">
        <v>545887.70918999997</v>
      </c>
      <c r="N30" s="10">
        <v>1.156652031171997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33741.263599999998</v>
      </c>
      <c r="F31" s="10">
        <v>245770.45441999999</v>
      </c>
      <c r="G31" s="10">
        <v>-212029.19081999999</v>
      </c>
      <c r="H31" s="10">
        <v>0</v>
      </c>
      <c r="I31" s="10">
        <v>0.27931147569618808</v>
      </c>
      <c r="J31" s="10">
        <v>1212746.08082</v>
      </c>
      <c r="K31" s="10">
        <v>0</v>
      </c>
      <c r="L31" s="10">
        <v>0</v>
      </c>
      <c r="M31" s="10">
        <v>543734.11517999996</v>
      </c>
      <c r="N31" s="10">
        <v>1.9452999765952921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1028255.5716</v>
      </c>
      <c r="F32" s="10">
        <v>2289507.58629</v>
      </c>
      <c r="G32" s="10">
        <v>-1261252.0146900001</v>
      </c>
      <c r="H32" s="10">
        <v>0</v>
      </c>
      <c r="I32" s="10">
        <v>0.28649567358490557</v>
      </c>
      <c r="J32" s="10">
        <v>12841752.014690001</v>
      </c>
      <c r="K32" s="10">
        <v>0</v>
      </c>
      <c r="L32" s="10">
        <v>0</v>
      </c>
      <c r="M32" s="10">
        <v>10582762.202950001</v>
      </c>
      <c r="N32" s="10">
        <v>3.1897280585230869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110337.70677999999</v>
      </c>
      <c r="F33" s="10">
        <v>116538.34501</v>
      </c>
      <c r="G33" s="10">
        <v>-6200.6382299999996</v>
      </c>
      <c r="H33" s="10">
        <v>0</v>
      </c>
      <c r="I33" s="10">
        <v>0.60678673784865922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67A1-F4A6-F34D-9585-533CAF8FF106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3350941.9517899998</v>
      </c>
      <c r="F7" s="10">
        <v>0</v>
      </c>
      <c r="G7" s="10">
        <v>3350941.9517899998</v>
      </c>
      <c r="H7" s="10">
        <v>0</v>
      </c>
      <c r="I7" s="10">
        <v>0.11198334282584881</v>
      </c>
      <c r="J7" s="10">
        <v>26572633.048209999</v>
      </c>
      <c r="K7" s="10">
        <v>0</v>
      </c>
      <c r="L7" s="10">
        <v>36881036.851740003</v>
      </c>
      <c r="M7" s="10">
        <v>36881036.851740003</v>
      </c>
      <c r="N7" s="10">
        <v>11.00617000306492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4225.1469999999999</v>
      </c>
      <c r="F9" s="10">
        <v>0</v>
      </c>
      <c r="G9" s="10">
        <v>4225.1469999999999</v>
      </c>
      <c r="H9" s="10">
        <v>0</v>
      </c>
      <c r="I9" s="10">
        <v>0.17579181818181819</v>
      </c>
      <c r="J9" s="10">
        <v>19809.852999999999</v>
      </c>
      <c r="K9" s="10">
        <v>0</v>
      </c>
      <c r="L9" s="10">
        <v>52645.331619999997</v>
      </c>
      <c r="M9" s="10">
        <v>89835.316359999997</v>
      </c>
      <c r="N9" s="10">
        <v>21.26200929818846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1968.0074500000001</v>
      </c>
      <c r="N10" s="10">
        <v>55.324938574938578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1408796.84726</v>
      </c>
      <c r="F11" s="10">
        <v>0</v>
      </c>
      <c r="G11" s="10">
        <v>1408796.84726</v>
      </c>
      <c r="H11" s="10">
        <v>0</v>
      </c>
      <c r="I11" s="10">
        <v>0.33983009504052081</v>
      </c>
      <c r="J11" s="10">
        <v>249439.85673999999</v>
      </c>
      <c r="K11" s="10">
        <v>0</v>
      </c>
      <c r="L11" s="10">
        <v>0</v>
      </c>
      <c r="M11" s="10">
        <v>8928291.1012200005</v>
      </c>
      <c r="N11" s="10">
        <v>6.3375291900090058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240395.74562</v>
      </c>
      <c r="F13" s="10">
        <v>0</v>
      </c>
      <c r="G13" s="10">
        <v>240395.74562</v>
      </c>
      <c r="H13" s="10">
        <v>0</v>
      </c>
      <c r="I13" s="10">
        <v>0.43254365893740321</v>
      </c>
      <c r="J13" s="10">
        <v>33373.805189999999</v>
      </c>
      <c r="K13" s="10">
        <v>0</v>
      </c>
      <c r="L13" s="10">
        <v>0</v>
      </c>
      <c r="M13" s="10">
        <v>1904336.6224</v>
      </c>
      <c r="N13" s="10">
        <v>7.9216732741967126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3913185.1211899999</v>
      </c>
      <c r="F14" s="10">
        <v>0</v>
      </c>
      <c r="G14" s="10">
        <v>3913185.1211899999</v>
      </c>
      <c r="H14" s="10">
        <v>0</v>
      </c>
      <c r="I14" s="10">
        <v>0.39188871115973739</v>
      </c>
      <c r="J14" s="10">
        <v>6072264.8788099997</v>
      </c>
      <c r="K14" s="10">
        <v>0</v>
      </c>
      <c r="L14" s="10">
        <v>39131851.21187</v>
      </c>
      <c r="M14" s="10">
        <v>64060858.720020004</v>
      </c>
      <c r="N14" s="10">
        <v>16.370515725110881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25325342.34905</v>
      </c>
      <c r="F15" s="10">
        <v>0</v>
      </c>
      <c r="G15" s="10">
        <v>25325342.34905</v>
      </c>
      <c r="H15" s="10">
        <v>0</v>
      </c>
      <c r="I15" s="10">
        <v>0.21646686787861741</v>
      </c>
      <c r="J15" s="10">
        <v>6789503.7605100004</v>
      </c>
      <c r="K15" s="10">
        <v>0</v>
      </c>
      <c r="L15" s="10">
        <v>0</v>
      </c>
      <c r="M15" s="10">
        <v>96352204.300559998</v>
      </c>
      <c r="N15" s="10">
        <v>3.804576575717225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11342943.22927</v>
      </c>
      <c r="F17" s="10">
        <v>0</v>
      </c>
      <c r="G17" s="10">
        <v>11342943.22927</v>
      </c>
      <c r="H17" s="10">
        <v>0</v>
      </c>
      <c r="I17" s="10">
        <v>0.19036073753918159</v>
      </c>
      <c r="J17" s="10">
        <v>2992191.1271500001</v>
      </c>
      <c r="K17" s="10">
        <v>0</v>
      </c>
      <c r="L17" s="10">
        <v>0</v>
      </c>
      <c r="M17" s="10">
        <v>39790718.95358</v>
      </c>
      <c r="N17" s="10">
        <v>3.5079712668153449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13224494.924529999</v>
      </c>
      <c r="F20" s="10">
        <v>0</v>
      </c>
      <c r="G20" s="10">
        <v>13224494.924529999</v>
      </c>
      <c r="H20" s="10">
        <v>0</v>
      </c>
      <c r="I20" s="10">
        <v>0.14955120606352959</v>
      </c>
      <c r="J20" s="10">
        <v>1341046.53468</v>
      </c>
      <c r="K20" s="10">
        <v>0</v>
      </c>
      <c r="L20" s="10">
        <v>0</v>
      </c>
      <c r="M20" s="10">
        <v>85983234.705850005</v>
      </c>
      <c r="N20" s="10">
        <v>6.5018161554486182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34314072.156740002</v>
      </c>
      <c r="F22" s="10">
        <v>21565112.209770001</v>
      </c>
      <c r="G22" s="10">
        <v>12748959.94696</v>
      </c>
      <c r="H22" s="10">
        <v>-12748959.94696</v>
      </c>
      <c r="I22" s="10">
        <v>0.1108058813691508</v>
      </c>
      <c r="J22" s="10">
        <v>0</v>
      </c>
      <c r="K22" s="10">
        <v>0</v>
      </c>
      <c r="L22" s="10">
        <v>0</v>
      </c>
      <c r="M22" s="10">
        <v>110575848.87301999</v>
      </c>
      <c r="N22" s="10">
        <v>1.978837918409394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9388708.9590700008</v>
      </c>
      <c r="F23" s="10">
        <v>5951845.4187700003</v>
      </c>
      <c r="G23" s="10">
        <v>3436863.5403</v>
      </c>
      <c r="H23" s="10">
        <v>-3436863.5403</v>
      </c>
      <c r="I23" s="10">
        <v>0.56392358955823296</v>
      </c>
      <c r="J23" s="10">
        <v>30640113.5403</v>
      </c>
      <c r="K23" s="10">
        <v>0</v>
      </c>
      <c r="L23" s="10">
        <v>0</v>
      </c>
      <c r="M23" s="10">
        <v>64340930.079740003</v>
      </c>
      <c r="N23" s="10">
        <v>4.1941724170671453</v>
      </c>
    </row>
    <row r="24" spans="1:14" x14ac:dyDescent="0.2">
      <c r="A24" s="12"/>
      <c r="B24" s="11" t="s">
        <v>74</v>
      </c>
      <c r="C24" s="10">
        <v>26000000</v>
      </c>
      <c r="D24" s="10">
        <v>26000000</v>
      </c>
      <c r="E24" s="10">
        <v>0</v>
      </c>
      <c r="F24" s="10">
        <v>675899.92998999998</v>
      </c>
      <c r="G24" s="10">
        <v>-675899.92998999998</v>
      </c>
      <c r="H24" s="10">
        <v>0</v>
      </c>
      <c r="I24" s="10">
        <v>1.1897551923076919E-5</v>
      </c>
      <c r="J24" s="10">
        <v>56809324100.070007</v>
      </c>
      <c r="K24" s="10">
        <v>0</v>
      </c>
      <c r="L24" s="10">
        <v>6.7590000000000003</v>
      </c>
      <c r="M24" s="10">
        <v>-809211.27832000004</v>
      </c>
      <c r="N24" s="10">
        <v>-1.197235339461399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113291.37532000001</v>
      </c>
      <c r="G25" s="10">
        <v>-113291.37532000001</v>
      </c>
      <c r="H25" s="10">
        <v>0</v>
      </c>
      <c r="I25" s="10">
        <v>1.419333566423373E-2</v>
      </c>
      <c r="J25" s="10">
        <v>7868720.6633099997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75511.543550000002</v>
      </c>
      <c r="G26" s="10">
        <v>-75511.543550000002</v>
      </c>
      <c r="H26" s="10">
        <v>0</v>
      </c>
      <c r="I26" s="10">
        <v>0.1241430270025613</v>
      </c>
      <c r="J26" s="10">
        <v>532750.94145000004</v>
      </c>
      <c r="K26" s="10">
        <v>0</v>
      </c>
      <c r="L26" s="10">
        <v>377557.71776999999</v>
      </c>
      <c r="M26" s="10">
        <v>0</v>
      </c>
    </row>
    <row r="27" spans="1:14" x14ac:dyDescent="0.2">
      <c r="A27" s="12"/>
      <c r="B27" s="11" t="s">
        <v>75</v>
      </c>
      <c r="C27" s="10">
        <v>156000000</v>
      </c>
      <c r="D27" s="10">
        <v>156000000</v>
      </c>
      <c r="E27" s="10">
        <v>0</v>
      </c>
      <c r="F27" s="10">
        <v>61264.411840000001</v>
      </c>
      <c r="G27" s="10">
        <v>-61264.411840000001</v>
      </c>
      <c r="H27" s="10">
        <v>61264.411840000001</v>
      </c>
      <c r="I27" s="10">
        <v>1.7973480769230769E-7</v>
      </c>
      <c r="J27" s="10">
        <v>340859938735.58807</v>
      </c>
      <c r="K27" s="10">
        <v>0</v>
      </c>
      <c r="L27" s="10">
        <v>0.61263999999999996</v>
      </c>
      <c r="M27" s="10">
        <v>-111981.88081</v>
      </c>
      <c r="N27" s="10">
        <v>-1.827845725700578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1877542.78308</v>
      </c>
      <c r="G28" s="10">
        <v>-1877542.78308</v>
      </c>
      <c r="H28" s="10">
        <v>0</v>
      </c>
      <c r="J28" s="10">
        <v>0</v>
      </c>
      <c r="K28" s="10">
        <v>0</v>
      </c>
      <c r="L28" s="10">
        <v>0</v>
      </c>
      <c r="M28" s="10">
        <v>-13435078.15333</v>
      </c>
      <c r="N28" s="10">
        <v>-7.1556708896352719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-392312876.70648003</v>
      </c>
      <c r="N29" s="10">
        <v>-7.5186927835570572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3550704.2299600001</v>
      </c>
      <c r="F30" s="10">
        <v>6726156.7020699997</v>
      </c>
      <c r="G30" s="10">
        <v>-3175452.47211</v>
      </c>
      <c r="H30" s="10">
        <v>0</v>
      </c>
      <c r="I30" s="10">
        <v>0.1776735285276998</v>
      </c>
      <c r="J30" s="10">
        <v>61016713.477109998</v>
      </c>
      <c r="K30" s="10">
        <v>0</v>
      </c>
      <c r="L30" s="10">
        <v>0</v>
      </c>
      <c r="M30" s="10">
        <v>16267121.62982</v>
      </c>
      <c r="N30" s="10">
        <v>1.5828881717409851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182450.54123</v>
      </c>
      <c r="F31" s="10">
        <v>299963.62686000002</v>
      </c>
      <c r="G31" s="10">
        <v>-117513.08563</v>
      </c>
      <c r="H31" s="10">
        <v>0</v>
      </c>
      <c r="I31" s="10">
        <v>0.25741221954324778</v>
      </c>
      <c r="J31" s="10">
        <v>1991605.0656300001</v>
      </c>
      <c r="K31" s="10">
        <v>0</v>
      </c>
      <c r="L31" s="10">
        <v>0</v>
      </c>
      <c r="M31" s="10">
        <v>534354.63642</v>
      </c>
      <c r="N31" s="10">
        <v>1.107667783955143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35250.05934</v>
      </c>
      <c r="F32" s="10">
        <v>244929.67373000001</v>
      </c>
      <c r="G32" s="10">
        <v>-209679.61439</v>
      </c>
      <c r="H32" s="10">
        <v>0</v>
      </c>
      <c r="I32" s="10">
        <v>0.27997901719236501</v>
      </c>
      <c r="J32" s="10">
        <v>1210396.5043899999</v>
      </c>
      <c r="K32" s="10">
        <v>0</v>
      </c>
      <c r="L32" s="10">
        <v>0</v>
      </c>
      <c r="M32" s="10">
        <v>539408.11841</v>
      </c>
      <c r="N32" s="10">
        <v>1.9252217385638519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1041702.49833</v>
      </c>
      <c r="F33" s="10">
        <v>2303925.63424</v>
      </c>
      <c r="G33" s="10">
        <v>-1262223.13591</v>
      </c>
      <c r="H33" s="10">
        <v>0</v>
      </c>
      <c r="I33" s="10">
        <v>0.28890187169811321</v>
      </c>
      <c r="J33" s="10">
        <v>12842723.135910001</v>
      </c>
      <c r="K33" s="10">
        <v>0</v>
      </c>
      <c r="L33" s="10">
        <v>0</v>
      </c>
      <c r="M33" s="10">
        <v>10024513.829460001</v>
      </c>
      <c r="N33" s="10">
        <v>2.996302472409643</v>
      </c>
    </row>
    <row r="34" spans="1:14" x14ac:dyDescent="0.2">
      <c r="A34" s="12" t="s">
        <v>26</v>
      </c>
      <c r="B34" s="11" t="s">
        <v>74</v>
      </c>
      <c r="C34" s="10">
        <v>13000000</v>
      </c>
      <c r="D34" s="10">
        <v>13000000</v>
      </c>
      <c r="E34" s="10">
        <v>337949.96499000001</v>
      </c>
      <c r="F34" s="10">
        <v>337949.96499000001</v>
      </c>
      <c r="G34" s="10">
        <v>0</v>
      </c>
      <c r="H34" s="10">
        <v>0</v>
      </c>
      <c r="I34" s="10">
        <v>0.99644180221153855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74289.745160000006</v>
      </c>
      <c r="F35" s="10">
        <v>78082.16433</v>
      </c>
      <c r="G35" s="10">
        <v>-3792.4191700000001</v>
      </c>
      <c r="H35" s="10">
        <v>0</v>
      </c>
      <c r="I35" s="10">
        <v>0.3711214187270922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85C8-7DD2-644E-A384-2D0E67D5C45C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3566755.0515800002</v>
      </c>
      <c r="F7" s="10">
        <v>0</v>
      </c>
      <c r="G7" s="10">
        <v>3566755.0515800002</v>
      </c>
      <c r="H7" s="10">
        <v>0</v>
      </c>
      <c r="I7" s="10">
        <v>0.1191954852135816</v>
      </c>
      <c r="J7" s="10">
        <v>26356819.948419999</v>
      </c>
      <c r="K7" s="10">
        <v>0</v>
      </c>
      <c r="L7" s="10">
        <v>40697209.38329</v>
      </c>
      <c r="M7" s="10">
        <v>40697209.38329</v>
      </c>
      <c r="N7" s="10">
        <v>11.41014981804169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4643.509</v>
      </c>
      <c r="F9" s="10">
        <v>0</v>
      </c>
      <c r="G9" s="10">
        <v>4643.509</v>
      </c>
      <c r="H9" s="10">
        <v>0</v>
      </c>
      <c r="I9" s="10">
        <v>0.1931981818181818</v>
      </c>
      <c r="J9" s="10">
        <v>19391.491000000002</v>
      </c>
      <c r="K9" s="10">
        <v>0</v>
      </c>
      <c r="L9" s="10">
        <v>57858.122139999999</v>
      </c>
      <c r="M9" s="10">
        <v>99256.849839999995</v>
      </c>
      <c r="N9" s="10">
        <v>21.375356440395642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1327.7832900000001</v>
      </c>
      <c r="F10" s="10">
        <v>0</v>
      </c>
      <c r="G10" s="10">
        <v>1327.7832900000001</v>
      </c>
      <c r="H10" s="10">
        <v>0</v>
      </c>
      <c r="I10" s="10">
        <v>7.2818686515446697E-4</v>
      </c>
      <c r="J10" s="10">
        <v>1822078.89634</v>
      </c>
      <c r="K10" s="10">
        <v>0</v>
      </c>
      <c r="L10" s="10">
        <v>71700.297619999998</v>
      </c>
      <c r="M10" s="10">
        <v>71876.930410000001</v>
      </c>
      <c r="N10" s="10">
        <v>54.133129278567672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1408170.95725</v>
      </c>
      <c r="F11" s="10">
        <v>0</v>
      </c>
      <c r="G11" s="10">
        <v>1408170.95725</v>
      </c>
      <c r="H11" s="10">
        <v>0</v>
      </c>
      <c r="I11" s="10">
        <v>0.33967911701706011</v>
      </c>
      <c r="J11" s="10">
        <v>250065.74674999999</v>
      </c>
      <c r="K11" s="10">
        <v>0</v>
      </c>
      <c r="L11" s="10">
        <v>0</v>
      </c>
      <c r="M11" s="10">
        <v>9471835.7665299997</v>
      </c>
      <c r="N11" s="10">
        <v>6.726339427434711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240759.17418</v>
      </c>
      <c r="F13" s="10">
        <v>0</v>
      </c>
      <c r="G13" s="10">
        <v>240759.17418</v>
      </c>
      <c r="H13" s="10">
        <v>0</v>
      </c>
      <c r="I13" s="10">
        <v>0.43319757978911611</v>
      </c>
      <c r="J13" s="10">
        <v>33010.376629999999</v>
      </c>
      <c r="K13" s="10">
        <v>0</v>
      </c>
      <c r="L13" s="10">
        <v>0</v>
      </c>
      <c r="M13" s="10">
        <v>2000388.69138</v>
      </c>
      <c r="N13" s="10">
        <v>8.3086703209907995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4061031.9897599998</v>
      </c>
      <c r="F14" s="10">
        <v>0</v>
      </c>
      <c r="G14" s="10">
        <v>4061031.9897599998</v>
      </c>
      <c r="H14" s="10">
        <v>0</v>
      </c>
      <c r="I14" s="10">
        <v>0.40669494091903718</v>
      </c>
      <c r="J14" s="10">
        <v>5924418.0102399997</v>
      </c>
      <c r="K14" s="10">
        <v>0</v>
      </c>
      <c r="L14" s="10">
        <v>40610319.897629999</v>
      </c>
      <c r="M14" s="10">
        <v>68044503.244819999</v>
      </c>
      <c r="N14" s="10">
        <v>16.755470845012312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25568496.404899999</v>
      </c>
      <c r="F15" s="10">
        <v>0</v>
      </c>
      <c r="G15" s="10">
        <v>25568496.404899999</v>
      </c>
      <c r="H15" s="10">
        <v>0</v>
      </c>
      <c r="I15" s="10">
        <v>0.2185452127944684</v>
      </c>
      <c r="J15" s="10">
        <v>6546349.7046699999</v>
      </c>
      <c r="K15" s="10">
        <v>0</v>
      </c>
      <c r="L15" s="10">
        <v>0</v>
      </c>
      <c r="M15" s="10">
        <v>102405102.97806001</v>
      </c>
      <c r="N15" s="10">
        <v>4.0051280821055784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11218604.151110001</v>
      </c>
      <c r="F17" s="10">
        <v>0</v>
      </c>
      <c r="G17" s="10">
        <v>11218604.151110001</v>
      </c>
      <c r="H17" s="10">
        <v>0</v>
      </c>
      <c r="I17" s="10">
        <v>0.1882740410317417</v>
      </c>
      <c r="J17" s="10">
        <v>3116530.2053100001</v>
      </c>
      <c r="K17" s="10">
        <v>0</v>
      </c>
      <c r="L17" s="10">
        <v>0</v>
      </c>
      <c r="M17" s="10">
        <v>42150354.259559996</v>
      </c>
      <c r="N17" s="10">
        <v>3.7571834857540649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13215943.7064</v>
      </c>
      <c r="F20" s="10">
        <v>0</v>
      </c>
      <c r="G20" s="10">
        <v>13215943.7064</v>
      </c>
      <c r="H20" s="10">
        <v>0</v>
      </c>
      <c r="I20" s="10">
        <v>0.14945450334073609</v>
      </c>
      <c r="J20" s="10">
        <v>1349597.75281</v>
      </c>
      <c r="K20" s="10">
        <v>0</v>
      </c>
      <c r="L20" s="10">
        <v>0</v>
      </c>
      <c r="M20" s="10">
        <v>90278673.567890003</v>
      </c>
      <c r="N20" s="10">
        <v>6.8310425350319264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35157821.309</v>
      </c>
      <c r="F22" s="10">
        <v>21433809.094250001</v>
      </c>
      <c r="G22" s="10">
        <v>13724012.21476</v>
      </c>
      <c r="H22" s="10">
        <v>-13724012.21476</v>
      </c>
      <c r="I22" s="10">
        <v>0.11221862946273831</v>
      </c>
      <c r="J22" s="10">
        <v>0</v>
      </c>
      <c r="K22" s="10">
        <v>0</v>
      </c>
      <c r="L22" s="10">
        <v>0</v>
      </c>
      <c r="M22" s="10">
        <v>134350252.11886999</v>
      </c>
      <c r="N22" s="10">
        <v>2.3740304203808691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9519542.3242799994</v>
      </c>
      <c r="F23" s="10">
        <v>5861332.0149699999</v>
      </c>
      <c r="G23" s="10">
        <v>3658210.3093099999</v>
      </c>
      <c r="H23" s="10">
        <v>-3658210.3093099999</v>
      </c>
      <c r="I23" s="10">
        <v>0.56540576385542174</v>
      </c>
      <c r="J23" s="10">
        <v>30861460.30931</v>
      </c>
      <c r="K23" s="10">
        <v>0</v>
      </c>
      <c r="L23" s="10">
        <v>0</v>
      </c>
      <c r="M23" s="10">
        <v>70784103.073860005</v>
      </c>
      <c r="N23" s="10">
        <v>4.6020857770416139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136224.84343000001</v>
      </c>
      <c r="G24" s="10">
        <v>-136224.84343000001</v>
      </c>
      <c r="H24" s="10">
        <v>0</v>
      </c>
      <c r="I24" s="10">
        <v>1.7066480413627381E-2</v>
      </c>
      <c r="J24" s="10">
        <v>7845787.1952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87637.664950000006</v>
      </c>
      <c r="G25" s="10">
        <v>-87637.664950000006</v>
      </c>
      <c r="H25" s="10">
        <v>0</v>
      </c>
      <c r="I25" s="10">
        <v>0.14407869071524279</v>
      </c>
      <c r="J25" s="10">
        <v>520624.82004999998</v>
      </c>
      <c r="K25" s="10">
        <v>0</v>
      </c>
      <c r="L25" s="10">
        <v>438188.32475999999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1877542.78308</v>
      </c>
      <c r="G26" s="10">
        <v>-1877542.78308</v>
      </c>
      <c r="H26" s="10">
        <v>0</v>
      </c>
      <c r="J26" s="10">
        <v>0</v>
      </c>
      <c r="K26" s="10">
        <v>0</v>
      </c>
      <c r="L26" s="10">
        <v>0</v>
      </c>
      <c r="M26" s="10">
        <v>-14118942.215709999</v>
      </c>
      <c r="N26" s="10">
        <v>-7.5199044310336669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-411891455.58788002</v>
      </c>
      <c r="N27" s="10">
        <v>-7.8939170712979454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2416533.6574900001</v>
      </c>
      <c r="F28" s="10">
        <v>5877704.6500800001</v>
      </c>
      <c r="G28" s="10">
        <v>-3461170.9925899999</v>
      </c>
      <c r="H28" s="10">
        <v>0</v>
      </c>
      <c r="I28" s="10">
        <v>0.14339656775866311</v>
      </c>
      <c r="J28" s="10">
        <v>61302431.997589998</v>
      </c>
      <c r="K28" s="10">
        <v>0</v>
      </c>
      <c r="L28" s="10">
        <v>0</v>
      </c>
      <c r="M28" s="10">
        <v>16741690.776690001</v>
      </c>
      <c r="N28" s="10">
        <v>2.0184723612830742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128495.78823000001</v>
      </c>
      <c r="F29" s="10">
        <v>261837.96604999999</v>
      </c>
      <c r="G29" s="10">
        <v>-133342.17782000001</v>
      </c>
      <c r="H29" s="10">
        <v>0</v>
      </c>
      <c r="I29" s="10">
        <v>0.20827886646737581</v>
      </c>
      <c r="J29" s="10">
        <v>2007434.1578200001</v>
      </c>
      <c r="K29" s="10">
        <v>0</v>
      </c>
      <c r="L29" s="10">
        <v>0</v>
      </c>
      <c r="M29" s="10">
        <v>548921.51061</v>
      </c>
      <c r="N29" s="10">
        <v>1.406287587300779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29950.108670000001</v>
      </c>
      <c r="F30" s="10">
        <v>248405.22471000001</v>
      </c>
      <c r="G30" s="10">
        <v>-218455.11603999999</v>
      </c>
      <c r="H30" s="10">
        <v>0</v>
      </c>
      <c r="I30" s="10">
        <v>0.27815593654065329</v>
      </c>
      <c r="J30" s="10">
        <v>1219172.0060399999</v>
      </c>
      <c r="K30" s="10">
        <v>0</v>
      </c>
      <c r="L30" s="10">
        <v>0</v>
      </c>
      <c r="M30" s="10">
        <v>549749.35774000001</v>
      </c>
      <c r="N30" s="10">
        <v>1.9749912377962029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812898.56302</v>
      </c>
      <c r="F31" s="10">
        <v>2228833.6760900002</v>
      </c>
      <c r="G31" s="10">
        <v>-1415935.11307</v>
      </c>
      <c r="H31" s="10">
        <v>0</v>
      </c>
      <c r="I31" s="10">
        <v>0.26265983584905661</v>
      </c>
      <c r="J31" s="10">
        <v>12996435.11307</v>
      </c>
      <c r="K31" s="10">
        <v>0</v>
      </c>
      <c r="L31" s="10">
        <v>0</v>
      </c>
      <c r="M31" s="10">
        <v>10545946.586680001</v>
      </c>
      <c r="N31" s="10">
        <v>3.4670857916358182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86234.669670000003</v>
      </c>
      <c r="F32" s="10">
        <v>93954.395120000001</v>
      </c>
      <c r="G32" s="10">
        <v>-7719.7254499999999</v>
      </c>
      <c r="H32" s="10">
        <v>0</v>
      </c>
      <c r="I32" s="10">
        <v>0.75544272187089945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51B6-C52A-184B-81B5-06A5B30FF189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3365688.2437399998</v>
      </c>
      <c r="F7" s="10">
        <v>0</v>
      </c>
      <c r="G7" s="10">
        <v>3365688.2437399998</v>
      </c>
      <c r="H7" s="10">
        <v>0</v>
      </c>
      <c r="I7" s="10">
        <v>0.1124761409273457</v>
      </c>
      <c r="J7" s="10">
        <v>26557886.75626</v>
      </c>
      <c r="K7" s="10">
        <v>0</v>
      </c>
      <c r="L7" s="10">
        <v>36881036.851740003</v>
      </c>
      <c r="M7" s="10">
        <v>36881036.851740003</v>
      </c>
      <c r="N7" s="10">
        <v>10.95794804561204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4225.1469999999999</v>
      </c>
      <c r="F9" s="10">
        <v>0</v>
      </c>
      <c r="G9" s="10">
        <v>4225.1469999999999</v>
      </c>
      <c r="H9" s="10">
        <v>0</v>
      </c>
      <c r="I9" s="10">
        <v>0.17579181818181819</v>
      </c>
      <c r="J9" s="10">
        <v>19809.852999999999</v>
      </c>
      <c r="K9" s="10">
        <v>0</v>
      </c>
      <c r="L9" s="10">
        <v>52645.331619999997</v>
      </c>
      <c r="M9" s="10">
        <v>89835.316359999997</v>
      </c>
      <c r="N9" s="10">
        <v>21.26200929818846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1968.0074500000001</v>
      </c>
      <c r="N10" s="10">
        <v>55.324938574938578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1397316.7944100001</v>
      </c>
      <c r="F11" s="10">
        <v>0</v>
      </c>
      <c r="G11" s="10">
        <v>1397316.7944100001</v>
      </c>
      <c r="H11" s="10">
        <v>0</v>
      </c>
      <c r="I11" s="10">
        <v>0.33706087505586901</v>
      </c>
      <c r="J11" s="10">
        <v>260919.90959</v>
      </c>
      <c r="K11" s="10">
        <v>0</v>
      </c>
      <c r="L11" s="10">
        <v>0</v>
      </c>
      <c r="M11" s="10">
        <v>8928291.1012200005</v>
      </c>
      <c r="N11" s="10">
        <v>6.3895969729677322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237967.41988999999</v>
      </c>
      <c r="F13" s="10">
        <v>0</v>
      </c>
      <c r="G13" s="10">
        <v>237967.41988999999</v>
      </c>
      <c r="H13" s="10">
        <v>0</v>
      </c>
      <c r="I13" s="10">
        <v>0.42817434482107902</v>
      </c>
      <c r="J13" s="10">
        <v>35802.130920000003</v>
      </c>
      <c r="K13" s="10">
        <v>0</v>
      </c>
      <c r="L13" s="10">
        <v>0</v>
      </c>
      <c r="M13" s="10">
        <v>1904336.6224</v>
      </c>
      <c r="N13" s="10">
        <v>8.002510155902737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3913110.8536899998</v>
      </c>
      <c r="F14" s="10">
        <v>0</v>
      </c>
      <c r="G14" s="10">
        <v>3913110.8536899998</v>
      </c>
      <c r="H14" s="10">
        <v>0</v>
      </c>
      <c r="I14" s="10">
        <v>0.39188127352297591</v>
      </c>
      <c r="J14" s="10">
        <v>6072339.1463099997</v>
      </c>
      <c r="K14" s="10">
        <v>0</v>
      </c>
      <c r="L14" s="10">
        <v>39131108.536870003</v>
      </c>
      <c r="M14" s="10">
        <v>64060116.045019999</v>
      </c>
      <c r="N14" s="10">
        <v>16.37063663311325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25471277.176169999</v>
      </c>
      <c r="F15" s="10">
        <v>0</v>
      </c>
      <c r="G15" s="10">
        <v>25471277.176169999</v>
      </c>
      <c r="H15" s="10">
        <v>0</v>
      </c>
      <c r="I15" s="10">
        <v>0.21771423710824939</v>
      </c>
      <c r="J15" s="10">
        <v>6643568.9334000004</v>
      </c>
      <c r="K15" s="10">
        <v>0</v>
      </c>
      <c r="L15" s="10">
        <v>0</v>
      </c>
      <c r="M15" s="10">
        <v>96352204.300559998</v>
      </c>
      <c r="N15" s="10">
        <v>3.782778682224532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11285251.191609999</v>
      </c>
      <c r="F17" s="10">
        <v>0</v>
      </c>
      <c r="G17" s="10">
        <v>11285251.191609999</v>
      </c>
      <c r="H17" s="10">
        <v>0</v>
      </c>
      <c r="I17" s="10">
        <v>0.18939253209144549</v>
      </c>
      <c r="J17" s="10">
        <v>3049883.1647999999</v>
      </c>
      <c r="K17" s="10">
        <v>0</v>
      </c>
      <c r="L17" s="10">
        <v>0</v>
      </c>
      <c r="M17" s="10">
        <v>39790718.95358</v>
      </c>
      <c r="N17" s="10">
        <v>3.5259045868545562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13134050.278139999</v>
      </c>
      <c r="F20" s="10">
        <v>0</v>
      </c>
      <c r="G20" s="10">
        <v>13134050.278139999</v>
      </c>
      <c r="H20" s="10">
        <v>0</v>
      </c>
      <c r="I20" s="10">
        <v>0.14852839908612761</v>
      </c>
      <c r="J20" s="10">
        <v>1431491.1810699999</v>
      </c>
      <c r="K20" s="10">
        <v>0</v>
      </c>
      <c r="L20" s="10">
        <v>0</v>
      </c>
      <c r="M20" s="10">
        <v>85983234.705850005</v>
      </c>
      <c r="N20" s="10">
        <v>6.5465894309332704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34634662.139279999</v>
      </c>
      <c r="F22" s="10">
        <v>21873476.777910002</v>
      </c>
      <c r="G22" s="10">
        <v>12761185.361369999</v>
      </c>
      <c r="H22" s="10">
        <v>-12761185.361369999</v>
      </c>
      <c r="I22" s="10">
        <v>0.112053069627383</v>
      </c>
      <c r="J22" s="10">
        <v>0</v>
      </c>
      <c r="K22" s="10">
        <v>0</v>
      </c>
      <c r="L22" s="10">
        <v>0</v>
      </c>
      <c r="M22" s="10">
        <v>110378546.68604</v>
      </c>
      <c r="N22" s="10">
        <v>1.953321217491458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9420856.0973799992</v>
      </c>
      <c r="F23" s="10">
        <v>5968868.1550799999</v>
      </c>
      <c r="G23" s="10">
        <v>3451987.9423000002</v>
      </c>
      <c r="H23" s="10">
        <v>-3451987.9423000002</v>
      </c>
      <c r="I23" s="10">
        <v>0.56573108915662651</v>
      </c>
      <c r="J23" s="10">
        <v>30655237.942299999</v>
      </c>
      <c r="K23" s="10">
        <v>0</v>
      </c>
      <c r="L23" s="10">
        <v>0</v>
      </c>
      <c r="M23" s="10">
        <v>64340930.079740003</v>
      </c>
      <c r="N23" s="10">
        <v>4.1807721194615386</v>
      </c>
    </row>
    <row r="24" spans="1:14" x14ac:dyDescent="0.2">
      <c r="A24" s="12"/>
      <c r="B24" s="11" t="s">
        <v>74</v>
      </c>
      <c r="C24" s="10">
        <v>26000000</v>
      </c>
      <c r="D24" s="10">
        <v>26000000</v>
      </c>
      <c r="E24" s="10">
        <v>0</v>
      </c>
      <c r="F24" s="10">
        <v>675899.92998999998</v>
      </c>
      <c r="G24" s="10">
        <v>-675899.92998999998</v>
      </c>
      <c r="H24" s="10">
        <v>0</v>
      </c>
      <c r="I24" s="10">
        <v>1.1897551923076919E-5</v>
      </c>
      <c r="J24" s="10">
        <v>56809324100.070007</v>
      </c>
      <c r="K24" s="10">
        <v>0</v>
      </c>
      <c r="L24" s="10">
        <v>6.7590000000000003</v>
      </c>
      <c r="M24" s="10">
        <v>-809454.70250999997</v>
      </c>
      <c r="N24" s="10">
        <v>-1.197595497587012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111597.60054</v>
      </c>
      <c r="G25" s="10">
        <v>-111597.60054</v>
      </c>
      <c r="H25" s="10">
        <v>0</v>
      </c>
      <c r="I25" s="10">
        <v>1.3981137499923871E-2</v>
      </c>
      <c r="J25" s="10">
        <v>7870414.4380900003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75660.078550000006</v>
      </c>
      <c r="G26" s="10">
        <v>-75660.078550000006</v>
      </c>
      <c r="H26" s="10">
        <v>0</v>
      </c>
      <c r="I26" s="10">
        <v>0.12438722470283529</v>
      </c>
      <c r="J26" s="10">
        <v>532602.40645000001</v>
      </c>
      <c r="K26" s="10">
        <v>0</v>
      </c>
      <c r="L26" s="10">
        <v>378300.39276999998</v>
      </c>
      <c r="M26" s="10">
        <v>0</v>
      </c>
    </row>
    <row r="27" spans="1:14" x14ac:dyDescent="0.2">
      <c r="A27" s="12"/>
      <c r="B27" s="11" t="s">
        <v>75</v>
      </c>
      <c r="C27" s="10">
        <v>156000000</v>
      </c>
      <c r="D27" s="10">
        <v>156000000</v>
      </c>
      <c r="E27" s="10">
        <v>0</v>
      </c>
      <c r="F27" s="10">
        <v>61264.411840000001</v>
      </c>
      <c r="G27" s="10">
        <v>-61264.411840000001</v>
      </c>
      <c r="H27" s="10">
        <v>61264.411840000001</v>
      </c>
      <c r="I27" s="10">
        <v>1.7973480769230769E-7</v>
      </c>
      <c r="J27" s="10">
        <v>340859938735.58807</v>
      </c>
      <c r="K27" s="10">
        <v>0</v>
      </c>
      <c r="L27" s="10">
        <v>0.61263999999999996</v>
      </c>
      <c r="M27" s="10">
        <v>-111741.13912000001</v>
      </c>
      <c r="N27" s="10">
        <v>-1.823916147115604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1877542.78308</v>
      </c>
      <c r="G28" s="10">
        <v>-1877542.78308</v>
      </c>
      <c r="H28" s="10">
        <v>0</v>
      </c>
      <c r="J28" s="10">
        <v>0</v>
      </c>
      <c r="K28" s="10">
        <v>0</v>
      </c>
      <c r="L28" s="10">
        <v>0</v>
      </c>
      <c r="M28" s="10">
        <v>-13435078.15333</v>
      </c>
      <c r="N28" s="10">
        <v>-7.1556708896352719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-392312876.70648003</v>
      </c>
      <c r="N29" s="10">
        <v>-7.5186927835570572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3595221.76584</v>
      </c>
      <c r="F30" s="10">
        <v>6758062.7446400002</v>
      </c>
      <c r="G30" s="10">
        <v>-3162840.9788000002</v>
      </c>
      <c r="H30" s="10">
        <v>0</v>
      </c>
      <c r="I30" s="10">
        <v>0.17899479234131879</v>
      </c>
      <c r="J30" s="10">
        <v>61004101.983800001</v>
      </c>
      <c r="K30" s="10">
        <v>0</v>
      </c>
      <c r="L30" s="10">
        <v>0</v>
      </c>
      <c r="M30" s="10">
        <v>16267121.62982</v>
      </c>
      <c r="N30" s="10">
        <v>1.571203961072225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176354.67942</v>
      </c>
      <c r="F31" s="10">
        <v>294791.78313</v>
      </c>
      <c r="G31" s="10">
        <v>-118437.10371</v>
      </c>
      <c r="H31" s="10">
        <v>0</v>
      </c>
      <c r="I31" s="10">
        <v>0.25139985869316828</v>
      </c>
      <c r="J31" s="10">
        <v>1992529.0837099999</v>
      </c>
      <c r="K31" s="10">
        <v>0</v>
      </c>
      <c r="L31" s="10">
        <v>0</v>
      </c>
      <c r="M31" s="10">
        <v>534354.63642</v>
      </c>
      <c r="N31" s="10">
        <v>1.134158246017313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35286.777119999999</v>
      </c>
      <c r="F32" s="10">
        <v>244547.75394</v>
      </c>
      <c r="G32" s="10">
        <v>-209260.97683</v>
      </c>
      <c r="H32" s="10">
        <v>0</v>
      </c>
      <c r="I32" s="10">
        <v>0.27963405634134941</v>
      </c>
      <c r="J32" s="10">
        <v>1209977.86683</v>
      </c>
      <c r="K32" s="10">
        <v>0</v>
      </c>
      <c r="L32" s="10">
        <v>0</v>
      </c>
      <c r="M32" s="10">
        <v>539408.11841</v>
      </c>
      <c r="N32" s="10">
        <v>1.927596721561337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1017248.0695400001</v>
      </c>
      <c r="F33" s="10">
        <v>2292285.2595099998</v>
      </c>
      <c r="G33" s="10">
        <v>-1275037.1899699999</v>
      </c>
      <c r="H33" s="10">
        <v>0</v>
      </c>
      <c r="I33" s="10">
        <v>0.28578501132075468</v>
      </c>
      <c r="J33" s="10">
        <v>12855537.18997</v>
      </c>
      <c r="K33" s="10">
        <v>0</v>
      </c>
      <c r="L33" s="10">
        <v>0</v>
      </c>
      <c r="M33" s="10">
        <v>10024513.829460001</v>
      </c>
      <c r="N33" s="10">
        <v>3.0289810807511879</v>
      </c>
    </row>
    <row r="34" spans="1:14" x14ac:dyDescent="0.2">
      <c r="A34" s="12" t="s">
        <v>26</v>
      </c>
      <c r="B34" s="11" t="s">
        <v>74</v>
      </c>
      <c r="C34" s="10">
        <v>13000000</v>
      </c>
      <c r="D34" s="10">
        <v>13000000</v>
      </c>
      <c r="E34" s="10">
        <v>337949.96499000001</v>
      </c>
      <c r="F34" s="10">
        <v>337949.96499000001</v>
      </c>
      <c r="G34" s="10">
        <v>0</v>
      </c>
      <c r="H34" s="10">
        <v>0</v>
      </c>
      <c r="I34" s="10">
        <v>0.99646762936846156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74681.276129999998</v>
      </c>
      <c r="F35" s="10">
        <v>77139.517949999994</v>
      </c>
      <c r="G35" s="10">
        <v>-2458.2418200000002</v>
      </c>
      <c r="H35" s="10">
        <v>0</v>
      </c>
      <c r="I35" s="10">
        <v>0.24056048463727589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2026-08-20T12:29:33Z</dcterms:modified>
</cp:coreProperties>
</file>