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8_{C57AB51E-3561-8449-BFF5-526BBA611E48}" xr6:coauthVersionLast="47" xr6:coauthVersionMax="47" xr10:uidLastSave="{00000000-0000-0000-0000-000000000000}"/>
  <bookViews>
    <workbookView xWindow="4080" yWindow="600" windowWidth="30240" windowHeight="17400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3" l="1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<sst xmlns="http://schemas.openxmlformats.org/spreadsheetml/2006/main" count="264" uniqueCount="60">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</sst>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1"/>
  <sheetViews>
    <sheetView tabSelected="1" workbookViewId="0">
      <selection activeCell="G9" sqref="G9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28647.11</v>
      </c>
      <c r="F2" s="3">
        <v>0</v>
      </c>
      <c r="G2" s="3">
        <v>28647.11</v>
      </c>
      <c r="H2" s="3">
        <v>0</v>
      </c>
      <c r="I2" s="4">
        <v>3.5992999999999997E-2</v>
      </c>
      <c r="J2" s="3">
        <v>767255.7</v>
      </c>
      <c r="K2" s="4">
        <v>0</v>
      </c>
      <c r="L2" s="3">
        <v>2836063</v>
      </c>
      <c r="M2" s="3">
        <v>3814677</v>
      </c>
      <c r="N2" s="4">
        <v>133.16099600000001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168041.5</v>
      </c>
      <c r="F3" s="3">
        <v>0</v>
      </c>
      <c r="G3" s="3">
        <v>168041.5</v>
      </c>
      <c r="H3" s="3">
        <v>0</v>
      </c>
      <c r="I3" s="4">
        <v>4.7863000000000003E-2</v>
      </c>
      <c r="J3" s="3">
        <v>3342818</v>
      </c>
      <c r="K3" s="4">
        <v>0</v>
      </c>
      <c r="L3" s="3">
        <v>13611360</v>
      </c>
      <c r="M3" s="3">
        <v>17356560</v>
      </c>
      <c r="N3" s="4">
        <v>103.287347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1310142</v>
      </c>
      <c r="F4" s="3">
        <v>0</v>
      </c>
      <c r="G4" s="3">
        <v>1310142</v>
      </c>
      <c r="H4" s="3">
        <v>0</v>
      </c>
      <c r="I4" s="4">
        <v>6.6741999999999996E-2</v>
      </c>
      <c r="J4" s="3">
        <v>18319930</v>
      </c>
      <c r="K4" s="4">
        <v>0</v>
      </c>
      <c r="L4" s="3">
        <v>117912800</v>
      </c>
      <c r="M4" s="3">
        <v>146539300</v>
      </c>
      <c r="N4" s="4">
        <v>111.849906</v>
      </c>
    </row>
    <row r="5" spans="1:14" ht="30" x14ac:dyDescent="0.2">
      <c r="A5" s="11"/>
      <c r="B5" s="1" t="s">
        <v>16</v>
      </c>
      <c r="C5" s="4">
        <v>23586</v>
      </c>
      <c r="D5" s="4">
        <v>23586</v>
      </c>
      <c r="E5" s="3">
        <v>48876.42</v>
      </c>
      <c r="F5" s="3">
        <v>0</v>
      </c>
      <c r="G5" s="3">
        <v>48876.42</v>
      </c>
      <c r="H5" s="3">
        <v>0</v>
      </c>
      <c r="I5" s="4">
        <v>9.7000000000000005E-4</v>
      </c>
      <c r="J5" s="3">
        <v>50354410</v>
      </c>
      <c r="K5" s="4">
        <v>0</v>
      </c>
      <c r="L5" s="3">
        <v>7476137</v>
      </c>
      <c r="M5" s="3">
        <v>7476137</v>
      </c>
      <c r="N5" s="4">
        <v>152.95999699999999</v>
      </c>
    </row>
    <row r="6" spans="1:14" x14ac:dyDescent="0.2">
      <c r="A6" s="11"/>
      <c r="B6" s="1" t="s">
        <v>50</v>
      </c>
      <c r="C6" s="4">
        <v>3534.0360000000001</v>
      </c>
      <c r="D6" s="4">
        <v>3534.0360000000001</v>
      </c>
      <c r="E6" s="3">
        <v>3847.3429999999998</v>
      </c>
      <c r="F6" s="3">
        <v>0</v>
      </c>
      <c r="G6" s="3">
        <v>3847.3429999999998</v>
      </c>
      <c r="H6" s="3">
        <v>0</v>
      </c>
      <c r="I6" s="4">
        <v>5.0900000000000001E-4</v>
      </c>
      <c r="J6" s="3">
        <v>7548388</v>
      </c>
      <c r="K6" s="4">
        <v>0</v>
      </c>
      <c r="L6" s="3">
        <v>588489.6</v>
      </c>
      <c r="M6" s="3">
        <v>588489.6</v>
      </c>
      <c r="N6" s="4">
        <v>152.95979700000001</v>
      </c>
    </row>
    <row r="7" spans="1:14" x14ac:dyDescent="0.2">
      <c r="A7" s="11"/>
      <c r="B7" s="1" t="s">
        <v>17</v>
      </c>
      <c r="C7" s="4">
        <v>13695</v>
      </c>
      <c r="D7" s="4">
        <v>13695</v>
      </c>
      <c r="E7" s="3">
        <v>7649045</v>
      </c>
      <c r="F7" s="3">
        <v>0</v>
      </c>
      <c r="G7" s="3">
        <v>7649045</v>
      </c>
      <c r="H7" s="3">
        <v>0</v>
      </c>
      <c r="I7" s="4">
        <v>0.26136100000000001</v>
      </c>
      <c r="J7" s="3">
        <v>21617170</v>
      </c>
      <c r="K7" s="4">
        <v>0</v>
      </c>
      <c r="L7" s="3">
        <v>153323200</v>
      </c>
      <c r="M7" s="3">
        <v>153323200</v>
      </c>
      <c r="N7" s="4">
        <v>20.044756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8691807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7467.0709999999999</v>
      </c>
      <c r="F9" s="3">
        <v>0</v>
      </c>
      <c r="G9" s="3">
        <v>7467.0709999999999</v>
      </c>
      <c r="H9" s="3">
        <v>0</v>
      </c>
      <c r="I9" s="4">
        <v>0.31765300000000002</v>
      </c>
      <c r="J9" s="3">
        <v>16039.93</v>
      </c>
      <c r="K9" s="4">
        <v>0</v>
      </c>
      <c r="L9" s="3">
        <v>93039.7</v>
      </c>
      <c r="M9" s="3">
        <v>395873.4</v>
      </c>
      <c r="N9" s="4">
        <v>53.015943999999998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297715.59999999998</v>
      </c>
      <c r="F10" s="3">
        <v>0</v>
      </c>
      <c r="G10" s="3">
        <v>297715.59999999998</v>
      </c>
      <c r="H10" s="3">
        <v>0</v>
      </c>
      <c r="I10" s="4">
        <v>0.16694200000000001</v>
      </c>
      <c r="J10" s="3">
        <v>1485635</v>
      </c>
      <c r="K10" s="4">
        <v>0</v>
      </c>
      <c r="L10" s="3">
        <v>16076640</v>
      </c>
      <c r="M10" s="3">
        <v>27907040</v>
      </c>
      <c r="N10" s="4">
        <v>93.737268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1132064</v>
      </c>
      <c r="F11" s="3">
        <v>0</v>
      </c>
      <c r="G11" s="3">
        <v>1132064</v>
      </c>
      <c r="H11" s="3">
        <v>0</v>
      </c>
      <c r="I11" s="4">
        <v>0.27921000000000001</v>
      </c>
      <c r="J11" s="3">
        <v>489744.8</v>
      </c>
      <c r="K11" s="4">
        <v>0</v>
      </c>
      <c r="L11" s="3">
        <v>0</v>
      </c>
      <c r="M11" s="3">
        <v>22915300</v>
      </c>
      <c r="N11" s="4">
        <v>20.242056999999999</v>
      </c>
    </row>
    <row r="12" spans="1:14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64655480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210088</v>
      </c>
      <c r="F13" s="3">
        <v>0</v>
      </c>
      <c r="G13" s="3">
        <v>210088</v>
      </c>
      <c r="H13" s="3">
        <v>0</v>
      </c>
      <c r="I13" s="4">
        <v>0.38650200000000001</v>
      </c>
      <c r="J13" s="3">
        <v>54454.99</v>
      </c>
      <c r="K13" s="4">
        <v>0</v>
      </c>
      <c r="L13" s="3">
        <v>0</v>
      </c>
      <c r="M13" s="3">
        <v>5255554</v>
      </c>
      <c r="N13" s="4">
        <v>25.015965000000001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3991810</v>
      </c>
      <c r="F14" s="3">
        <v>0</v>
      </c>
      <c r="G14" s="3">
        <v>3991810</v>
      </c>
      <c r="H14" s="3">
        <v>0</v>
      </c>
      <c r="I14" s="4">
        <v>0.40874199999999999</v>
      </c>
      <c r="J14" s="3">
        <v>5774280</v>
      </c>
      <c r="K14" s="4">
        <v>0</v>
      </c>
      <c r="L14" s="3">
        <v>39918100</v>
      </c>
      <c r="M14" s="3">
        <v>207248600</v>
      </c>
      <c r="N14" s="4">
        <v>51.918443000000003</v>
      </c>
    </row>
    <row r="15" spans="1:14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47535140</v>
      </c>
      <c r="F15" s="3">
        <v>0</v>
      </c>
      <c r="G15" s="3">
        <v>47535140</v>
      </c>
      <c r="H15" s="3">
        <v>0</v>
      </c>
      <c r="I15" s="4">
        <v>0.41543000000000002</v>
      </c>
      <c r="J15" s="3">
        <v>5855382</v>
      </c>
      <c r="K15" s="4">
        <v>0</v>
      </c>
      <c r="L15" s="3">
        <v>0</v>
      </c>
      <c r="M15" s="3">
        <v>412778000</v>
      </c>
      <c r="N15" s="4">
        <v>8.6836389999999994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167754.5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21106550</v>
      </c>
      <c r="F17" s="3">
        <v>0</v>
      </c>
      <c r="G17" s="3">
        <v>21106550</v>
      </c>
      <c r="H17" s="3">
        <v>0</v>
      </c>
      <c r="I17" s="4">
        <v>0.36217300000000002</v>
      </c>
      <c r="J17" s="3">
        <v>6841609</v>
      </c>
      <c r="K17" s="4">
        <v>0</v>
      </c>
      <c r="L17" s="3">
        <v>0</v>
      </c>
      <c r="M17" s="3">
        <v>209555700</v>
      </c>
      <c r="N17" s="4">
        <v>9.9284680000000005</v>
      </c>
    </row>
    <row r="18" spans="1:14" x14ac:dyDescent="0.2">
      <c r="A18" s="11"/>
      <c r="B18" s="1" t="s">
        <v>26</v>
      </c>
      <c r="C18" s="4">
        <v>3662.89</v>
      </c>
      <c r="D18" s="4">
        <v>3662.89</v>
      </c>
      <c r="E18" s="3">
        <v>6412.66</v>
      </c>
      <c r="F18" s="3">
        <v>0</v>
      </c>
      <c r="G18" s="3">
        <v>6412.66</v>
      </c>
      <c r="H18" s="3">
        <v>0</v>
      </c>
      <c r="I18" s="4">
        <v>8.1899999999999996E-4</v>
      </c>
      <c r="J18" s="3">
        <v>7821183</v>
      </c>
      <c r="K18" s="4">
        <v>0</v>
      </c>
      <c r="L18" s="3">
        <v>980880.5</v>
      </c>
      <c r="M18" s="3">
        <v>980880.5</v>
      </c>
      <c r="N18" s="4">
        <v>152.95984000000001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19271.669999999998</v>
      </c>
      <c r="F19" s="3">
        <v>0</v>
      </c>
      <c r="G19" s="3">
        <v>19271.669999999998</v>
      </c>
      <c r="H19" s="3">
        <v>0</v>
      </c>
      <c r="I19" s="4">
        <v>0.16155900000000001</v>
      </c>
      <c r="J19" s="3">
        <v>100014.39999999999</v>
      </c>
      <c r="K19" s="4">
        <v>0</v>
      </c>
      <c r="L19" s="3">
        <v>1214115</v>
      </c>
      <c r="M19" s="3">
        <v>1828973</v>
      </c>
      <c r="N19" s="4">
        <v>94.904702999999998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8026188</v>
      </c>
      <c r="F20" s="3">
        <v>0</v>
      </c>
      <c r="G20" s="3">
        <v>8026188</v>
      </c>
      <c r="H20" s="3">
        <v>0</v>
      </c>
      <c r="I20" s="4">
        <v>9.2803999999999998E-2</v>
      </c>
      <c r="J20" s="3">
        <v>717206.4</v>
      </c>
      <c r="K20" s="4">
        <v>0</v>
      </c>
      <c r="L20" s="3">
        <v>0</v>
      </c>
      <c r="M20" s="3">
        <v>128307800</v>
      </c>
      <c r="N20" s="4">
        <v>15.986146</v>
      </c>
    </row>
    <row r="21" spans="1:14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793755.2</v>
      </c>
      <c r="F21" s="3">
        <v>0</v>
      </c>
      <c r="G21" s="3">
        <v>793755.2</v>
      </c>
      <c r="H21" s="3">
        <v>0</v>
      </c>
      <c r="I21" s="4">
        <v>7.9995999999999998E-2</v>
      </c>
      <c r="J21" s="3">
        <v>9128716</v>
      </c>
      <c r="K21" s="4">
        <v>0</v>
      </c>
      <c r="L21" s="3">
        <v>60007890</v>
      </c>
      <c r="M21" s="3">
        <v>78896470</v>
      </c>
      <c r="N21" s="4">
        <v>99.396484999999998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50613310</v>
      </c>
      <c r="F22" s="3">
        <v>33998340</v>
      </c>
      <c r="G22" s="3">
        <v>16614960</v>
      </c>
      <c r="H22" s="3">
        <v>-16614960</v>
      </c>
      <c r="I22" s="4">
        <v>0.17155000000000001</v>
      </c>
      <c r="J22" s="3">
        <v>0</v>
      </c>
      <c r="K22" s="4">
        <v>0</v>
      </c>
      <c r="L22" s="3">
        <v>0</v>
      </c>
      <c r="M22" s="3">
        <v>923268600</v>
      </c>
      <c r="N22" s="4">
        <v>10.911837999999999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12349200</v>
      </c>
      <c r="F23" s="3">
        <v>4504025</v>
      </c>
      <c r="G23" s="3">
        <v>7845174</v>
      </c>
      <c r="H23" s="3">
        <v>-7845174</v>
      </c>
      <c r="I23" s="4">
        <v>0.63344500000000004</v>
      </c>
      <c r="J23" s="3">
        <v>34450820</v>
      </c>
      <c r="K23" s="4">
        <v>0</v>
      </c>
      <c r="L23" s="3">
        <v>0</v>
      </c>
      <c r="M23" s="3">
        <v>487827800</v>
      </c>
      <c r="N23" s="4">
        <v>28.945665000000002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111210.1</v>
      </c>
      <c r="G24" s="3">
        <v>-111210.1</v>
      </c>
      <c r="H24" s="3">
        <v>0</v>
      </c>
      <c r="I24" s="4">
        <v>1.4246E-2</v>
      </c>
      <c r="J24" s="3">
        <v>7695453</v>
      </c>
      <c r="K24" s="4">
        <v>0</v>
      </c>
      <c r="L24" s="3">
        <v>0</v>
      </c>
      <c r="M24" s="3">
        <v>5135.2070000000003</v>
      </c>
      <c r="N24" s="4">
        <v>4.6176000000000002E-2</v>
      </c>
    </row>
    <row r="25" spans="1:14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70140.479999999996</v>
      </c>
      <c r="G25" s="3">
        <v>-70140.479999999996</v>
      </c>
      <c r="H25" s="3">
        <v>0</v>
      </c>
      <c r="I25" s="4">
        <v>0.11790299999999999</v>
      </c>
      <c r="J25" s="3">
        <v>524759.69999999995</v>
      </c>
      <c r="K25" s="4">
        <v>0</v>
      </c>
      <c r="L25" s="3">
        <v>350702.4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23877030</v>
      </c>
      <c r="G26" s="3">
        <v>-23877030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-526003100</v>
      </c>
      <c r="N26" s="4">
        <v>-22.029675999999998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64655480</v>
      </c>
      <c r="G27" s="3">
        <v>-64655480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-1420996000</v>
      </c>
      <c r="N27" s="4">
        <v>-21.977961000000001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3037654</v>
      </c>
      <c r="F28" s="3">
        <v>5348824</v>
      </c>
      <c r="G28" s="3">
        <v>-2311170</v>
      </c>
      <c r="H28" s="3">
        <v>0</v>
      </c>
      <c r="I28" s="4">
        <v>0.14824799999999999</v>
      </c>
      <c r="J28" s="3">
        <v>58881780</v>
      </c>
      <c r="K28" s="4">
        <v>0</v>
      </c>
      <c r="L28" s="3">
        <v>0</v>
      </c>
      <c r="M28" s="3">
        <v>48368990</v>
      </c>
      <c r="N28" s="4">
        <v>5.7674979999999998</v>
      </c>
    </row>
    <row r="29" spans="1:14" ht="16" customHeight="1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140799.4</v>
      </c>
      <c r="F29" s="3">
        <v>258137.5</v>
      </c>
      <c r="G29" s="3">
        <v>-117338.1</v>
      </c>
      <c r="H29" s="3">
        <v>0</v>
      </c>
      <c r="I29" s="4">
        <v>0.21765100000000001</v>
      </c>
      <c r="J29" s="3">
        <v>1950260</v>
      </c>
      <c r="K29" s="4">
        <v>0</v>
      </c>
      <c r="L29" s="3">
        <v>0</v>
      </c>
      <c r="M29" s="3">
        <v>1617521</v>
      </c>
      <c r="N29" s="4">
        <v>4.0545770000000001</v>
      </c>
    </row>
    <row r="30" spans="1:14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33343.49</v>
      </c>
      <c r="F30" s="3">
        <v>158278.1</v>
      </c>
      <c r="G30" s="3">
        <v>-124934.6</v>
      </c>
      <c r="H30" s="3">
        <v>0</v>
      </c>
      <c r="I30" s="4">
        <v>0.19578499999999999</v>
      </c>
      <c r="J30" s="3">
        <v>1103668</v>
      </c>
      <c r="K30" s="4">
        <v>0</v>
      </c>
      <c r="L30" s="3">
        <v>0</v>
      </c>
      <c r="M30" s="3">
        <v>1548033</v>
      </c>
      <c r="N30" s="4">
        <v>8.0785929999999997</v>
      </c>
    </row>
    <row r="31" spans="1:14" ht="30" x14ac:dyDescent="0.2">
      <c r="A31" s="12"/>
      <c r="B31" s="1" t="s">
        <v>39</v>
      </c>
      <c r="C31" s="4">
        <v>5300</v>
      </c>
      <c r="D31" s="4">
        <v>5300</v>
      </c>
      <c r="E31" s="3">
        <v>784690.2</v>
      </c>
      <c r="F31" s="3">
        <v>2153800</v>
      </c>
      <c r="G31" s="3">
        <v>-1369110</v>
      </c>
      <c r="H31" s="3">
        <v>0</v>
      </c>
      <c r="I31" s="4">
        <v>0.25944400000000001</v>
      </c>
      <c r="J31" s="3">
        <v>12695210</v>
      </c>
      <c r="K31" s="4">
        <v>0</v>
      </c>
      <c r="L31" s="3">
        <v>0</v>
      </c>
      <c r="M31" s="3">
        <v>26286530</v>
      </c>
      <c r="N31" s="4">
        <v>8.945589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64342.99</v>
      </c>
      <c r="F32" s="3">
        <v>72049.55</v>
      </c>
      <c r="G32" s="3">
        <v>-7706.5609999999997</v>
      </c>
      <c r="H32" s="3">
        <v>0</v>
      </c>
      <c r="I32" s="4">
        <v>0.77109399999999995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318356019.42000002</v>
      </c>
      <c r="K33" s="5" t="s">
        <v>45</v>
      </c>
      <c r="L33" s="2">
        <f>SUM(L1:L30)</f>
        <v>414389417.19999999</v>
      </c>
      <c r="M33" s="2">
        <f>SUM(M1:M30)</f>
        <v>940805533.70699978</v>
      </c>
      <c r="N33" s="2">
        <f>SUM(N1:N30)</f>
        <v>1313.8484669999998</v>
      </c>
    </row>
    <row r="34" spans="1:14" x14ac:dyDescent="0.2">
      <c r="I34" s="8" t="s">
        <v>43</v>
      </c>
      <c r="J34" s="2">
        <f>SUM(J15,J17)</f>
        <v>12696991</v>
      </c>
    </row>
    <row r="35" spans="1:14" x14ac:dyDescent="0.2">
      <c r="I35" s="8" t="s">
        <v>44</v>
      </c>
      <c r="J35" s="2">
        <f>SUM(J20)</f>
        <v>717206.4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13514211.800000001</v>
      </c>
    </row>
    <row r="41" spans="1:14" x14ac:dyDescent="0.2">
      <c r="A41" t="s">
        <v>48</v>
      </c>
      <c r="C41" s="2">
        <f>SUMIFS($J$2:$J$34,$B$2:$B$34, "Offshore Wind")+SUMIFS($J$2:$J$34,$B$2:$B$34, "Onshore Wind")</f>
        <v>12696991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1"/>
  <sheetViews>
    <sheetView topLeftCell="A10" workbookViewId="0">
      <selection activeCell="J37" sqref="J37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26162.32</v>
      </c>
      <c r="F2" s="3">
        <v>0</v>
      </c>
      <c r="G2" s="3">
        <v>26162.32</v>
      </c>
      <c r="H2" s="3">
        <v>0</v>
      </c>
      <c r="I2" s="4">
        <v>3.2870999999999997E-2</v>
      </c>
      <c r="J2" s="3">
        <v>769740.4</v>
      </c>
      <c r="K2" s="4">
        <v>0</v>
      </c>
      <c r="L2" s="3">
        <v>2590070</v>
      </c>
      <c r="M2" s="3">
        <v>3584045</v>
      </c>
      <c r="N2" s="4">
        <v>136.99257399999999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151588.1</v>
      </c>
      <c r="F3" s="3">
        <v>0</v>
      </c>
      <c r="G3" s="3">
        <v>151588.1</v>
      </c>
      <c r="H3" s="3">
        <v>0</v>
      </c>
      <c r="I3" s="4">
        <v>4.3177E-2</v>
      </c>
      <c r="J3" s="3">
        <v>3359271</v>
      </c>
      <c r="K3" s="4">
        <v>0</v>
      </c>
      <c r="L3" s="3">
        <v>12278640</v>
      </c>
      <c r="M3" s="3">
        <v>15903990</v>
      </c>
      <c r="N3" s="4">
        <v>104.915817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1286679</v>
      </c>
      <c r="F4" s="3">
        <v>0</v>
      </c>
      <c r="G4" s="3">
        <v>1286679</v>
      </c>
      <c r="H4" s="3">
        <v>0</v>
      </c>
      <c r="I4" s="4">
        <v>6.5545999999999993E-2</v>
      </c>
      <c r="J4" s="3">
        <v>18343390</v>
      </c>
      <c r="K4" s="4">
        <v>0</v>
      </c>
      <c r="L4" s="3">
        <v>115801100</v>
      </c>
      <c r="M4" s="3">
        <v>144186800</v>
      </c>
      <c r="N4" s="4">
        <v>112.061257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36460.49</v>
      </c>
      <c r="F5" s="3">
        <v>0</v>
      </c>
      <c r="G5" s="3">
        <v>36460.49</v>
      </c>
      <c r="H5" s="3">
        <v>0</v>
      </c>
      <c r="I5" s="4">
        <v>7.2300000000000001E-4</v>
      </c>
      <c r="J5" s="3">
        <v>50366820</v>
      </c>
      <c r="K5" s="4">
        <v>0</v>
      </c>
      <c r="L5" s="3">
        <v>5576996</v>
      </c>
      <c r="M5" s="3">
        <v>5576996</v>
      </c>
      <c r="N5" s="4">
        <v>152.95999800000001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2414.4749999999999</v>
      </c>
      <c r="F6" s="3">
        <v>0</v>
      </c>
      <c r="G6" s="3">
        <v>2414.4749999999999</v>
      </c>
      <c r="H6" s="3">
        <v>0</v>
      </c>
      <c r="I6" s="4">
        <v>3.2000000000000003E-4</v>
      </c>
      <c r="J6" s="3">
        <v>7549820</v>
      </c>
      <c r="K6" s="4">
        <v>0</v>
      </c>
      <c r="L6" s="3">
        <v>369318</v>
      </c>
      <c r="M6" s="3">
        <v>369318</v>
      </c>
      <c r="N6" s="4">
        <v>152.96041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7534251</v>
      </c>
      <c r="F7" s="3">
        <v>0</v>
      </c>
      <c r="G7" s="3">
        <v>7534251</v>
      </c>
      <c r="H7" s="3">
        <v>0</v>
      </c>
      <c r="I7" s="4">
        <v>0.25743899999999997</v>
      </c>
      <c r="J7" s="3">
        <v>21731960</v>
      </c>
      <c r="K7" s="4">
        <v>0</v>
      </c>
      <c r="L7" s="3">
        <v>150092700</v>
      </c>
      <c r="M7" s="3">
        <v>150092700</v>
      </c>
      <c r="N7" s="4">
        <v>19.921386999999999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8691807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7435.5389999999998</v>
      </c>
      <c r="F9" s="3">
        <v>0</v>
      </c>
      <c r="G9" s="3">
        <v>7435.5389999999998</v>
      </c>
      <c r="H9" s="3">
        <v>0</v>
      </c>
      <c r="I9" s="4">
        <v>0.31631199999999998</v>
      </c>
      <c r="J9" s="3">
        <v>16071.46</v>
      </c>
      <c r="K9" s="4">
        <v>0</v>
      </c>
      <c r="L9" s="3">
        <v>92646.82</v>
      </c>
      <c r="M9" s="3">
        <v>380854.3</v>
      </c>
      <c r="N9" s="4">
        <v>51.220782999999997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280770.09999999998</v>
      </c>
      <c r="F10" s="3">
        <v>0</v>
      </c>
      <c r="G10" s="3">
        <v>280770.09999999998</v>
      </c>
      <c r="H10" s="3">
        <v>0</v>
      </c>
      <c r="I10" s="4">
        <v>0.15744</v>
      </c>
      <c r="J10" s="3">
        <v>1502580</v>
      </c>
      <c r="K10" s="4">
        <v>0</v>
      </c>
      <c r="L10" s="3">
        <v>15161580</v>
      </c>
      <c r="M10" s="3">
        <v>26134180</v>
      </c>
      <c r="N10" s="4">
        <v>93.080366999999995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1123407</v>
      </c>
      <c r="F11" s="3">
        <v>0</v>
      </c>
      <c r="G11" s="3">
        <v>1123407</v>
      </c>
      <c r="H11" s="3">
        <v>0</v>
      </c>
      <c r="I11" s="4">
        <v>0.27707500000000002</v>
      </c>
      <c r="J11" s="3">
        <v>498401.5</v>
      </c>
      <c r="K11" s="4">
        <v>0</v>
      </c>
      <c r="L11" s="3">
        <v>0</v>
      </c>
      <c r="M11" s="3">
        <v>22024320</v>
      </c>
      <c r="N11" s="4">
        <v>19.60493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64655480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209638.39999999999</v>
      </c>
      <c r="F13" s="3">
        <v>0</v>
      </c>
      <c r="G13" s="3">
        <v>209638.39999999999</v>
      </c>
      <c r="H13" s="3">
        <v>0</v>
      </c>
      <c r="I13" s="4">
        <v>0.38567400000000002</v>
      </c>
      <c r="J13" s="3">
        <v>54904.57</v>
      </c>
      <c r="K13" s="4">
        <v>0</v>
      </c>
      <c r="L13" s="3">
        <v>0</v>
      </c>
      <c r="M13" s="3">
        <v>5063306</v>
      </c>
      <c r="N13" s="4">
        <v>24.152569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3996861</v>
      </c>
      <c r="F14" s="3">
        <v>0</v>
      </c>
      <c r="G14" s="3">
        <v>3996861</v>
      </c>
      <c r="H14" s="3">
        <v>0</v>
      </c>
      <c r="I14" s="4">
        <v>0.40925899999999998</v>
      </c>
      <c r="J14" s="3">
        <v>5769229</v>
      </c>
      <c r="K14" s="4">
        <v>0</v>
      </c>
      <c r="L14" s="3">
        <v>39968610</v>
      </c>
      <c r="M14" s="3">
        <v>199427800</v>
      </c>
      <c r="N14" s="4">
        <v>49.896101000000002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47516890</v>
      </c>
      <c r="F15" s="3">
        <v>0</v>
      </c>
      <c r="G15" s="3">
        <v>47516890</v>
      </c>
      <c r="H15" s="3">
        <v>0</v>
      </c>
      <c r="I15" s="4">
        <v>0.41526999999999997</v>
      </c>
      <c r="J15" s="3">
        <v>5873639</v>
      </c>
      <c r="K15" s="4">
        <v>0</v>
      </c>
      <c r="L15" s="3">
        <v>0</v>
      </c>
      <c r="M15" s="3">
        <v>396382800</v>
      </c>
      <c r="N15" s="4">
        <v>8.3419349999999994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167754.5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21224760</v>
      </c>
      <c r="F17" s="3">
        <v>0</v>
      </c>
      <c r="G17" s="3">
        <v>21224760</v>
      </c>
      <c r="H17" s="3">
        <v>0</v>
      </c>
      <c r="I17" s="4">
        <v>0.364201</v>
      </c>
      <c r="J17" s="3">
        <v>6723400</v>
      </c>
      <c r="K17" s="4">
        <v>0</v>
      </c>
      <c r="L17" s="3">
        <v>0</v>
      </c>
      <c r="M17" s="3">
        <v>202856300</v>
      </c>
      <c r="N17" s="4">
        <v>9.5575290000000006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3923.5349999999999</v>
      </c>
      <c r="F18" s="3">
        <v>0</v>
      </c>
      <c r="G18" s="3">
        <v>3923.5349999999999</v>
      </c>
      <c r="H18" s="3">
        <v>0</v>
      </c>
      <c r="I18" s="4">
        <v>5.0100000000000003E-4</v>
      </c>
      <c r="J18" s="3">
        <v>7823672</v>
      </c>
      <c r="K18" s="4">
        <v>0</v>
      </c>
      <c r="L18" s="3">
        <v>600144</v>
      </c>
      <c r="M18" s="3">
        <v>600144</v>
      </c>
      <c r="N18" s="4">
        <v>152.96013600000001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17302.46</v>
      </c>
      <c r="F19" s="3">
        <v>0</v>
      </c>
      <c r="G19" s="3">
        <v>17302.46</v>
      </c>
      <c r="H19" s="3">
        <v>0</v>
      </c>
      <c r="I19" s="4">
        <v>0.14505000000000001</v>
      </c>
      <c r="J19" s="3">
        <v>101983.6</v>
      </c>
      <c r="K19" s="4">
        <v>0</v>
      </c>
      <c r="L19" s="3">
        <v>1090055</v>
      </c>
      <c r="M19" s="3">
        <v>1666177</v>
      </c>
      <c r="N19" s="4">
        <v>96.297122000000002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8002984</v>
      </c>
      <c r="F20" s="3">
        <v>0</v>
      </c>
      <c r="G20" s="3">
        <v>8002984</v>
      </c>
      <c r="H20" s="3">
        <v>0</v>
      </c>
      <c r="I20" s="4">
        <v>9.2535999999999993E-2</v>
      </c>
      <c r="J20" s="3">
        <v>740410</v>
      </c>
      <c r="K20" s="4">
        <v>0</v>
      </c>
      <c r="L20" s="3">
        <v>0</v>
      </c>
      <c r="M20" s="3">
        <v>126656900</v>
      </c>
      <c r="N20" s="4">
        <v>15.826214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757906.7</v>
      </c>
      <c r="F21" s="3">
        <v>0</v>
      </c>
      <c r="G21" s="3">
        <v>757906.7</v>
      </c>
      <c r="H21" s="3">
        <v>0</v>
      </c>
      <c r="I21" s="4">
        <v>7.6383000000000006E-2</v>
      </c>
      <c r="J21" s="3">
        <v>9164565</v>
      </c>
      <c r="K21" s="4">
        <v>0</v>
      </c>
      <c r="L21" s="3">
        <v>57297740</v>
      </c>
      <c r="M21" s="3">
        <v>75348730</v>
      </c>
      <c r="N21" s="4">
        <v>99.416900999999996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50310230</v>
      </c>
      <c r="F22" s="3">
        <v>34074260</v>
      </c>
      <c r="G22" s="3">
        <v>16235970</v>
      </c>
      <c r="H22" s="3">
        <v>-16235970</v>
      </c>
      <c r="I22" s="4">
        <v>0.17108899999999999</v>
      </c>
      <c r="J22" s="3">
        <v>0</v>
      </c>
      <c r="K22" s="4">
        <v>0</v>
      </c>
      <c r="L22" s="3">
        <v>0</v>
      </c>
      <c r="M22" s="3">
        <v>879321900</v>
      </c>
      <c r="N22" s="4">
        <v>10.420420999999999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12252300</v>
      </c>
      <c r="F23" s="3">
        <v>4524858</v>
      </c>
      <c r="G23" s="3">
        <v>7727437</v>
      </c>
      <c r="H23" s="3">
        <v>-7727437</v>
      </c>
      <c r="I23" s="4">
        <v>0.63058599999999998</v>
      </c>
      <c r="J23" s="3">
        <v>34333090</v>
      </c>
      <c r="K23" s="4">
        <v>0</v>
      </c>
      <c r="L23" s="3">
        <v>0</v>
      </c>
      <c r="M23" s="3">
        <v>464988000</v>
      </c>
      <c r="N23" s="4">
        <v>27.71555</v>
      </c>
    </row>
    <row r="24" spans="1:14" x14ac:dyDescent="0.2">
      <c r="A24" s="11"/>
      <c r="B24" s="1" t="s">
        <v>40</v>
      </c>
      <c r="C24" s="3">
        <v>58000000</v>
      </c>
      <c r="D24" s="3">
        <v>58000000</v>
      </c>
      <c r="E24" s="3">
        <v>0</v>
      </c>
      <c r="F24" s="3">
        <v>1408416</v>
      </c>
      <c r="G24" s="3">
        <v>-1408416</v>
      </c>
      <c r="H24" s="3">
        <v>0</v>
      </c>
      <c r="I24" s="4">
        <v>1.1E-5</v>
      </c>
      <c r="J24" s="3">
        <v>123944600000</v>
      </c>
      <c r="K24" s="4">
        <v>0</v>
      </c>
      <c r="L24" s="3">
        <v>14.084160000000001</v>
      </c>
      <c r="M24" s="3">
        <v>-23338280</v>
      </c>
      <c r="N24" s="4">
        <v>-16.570582000000002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107171</v>
      </c>
      <c r="G25" s="3">
        <v>-107171</v>
      </c>
      <c r="H25" s="3">
        <v>0</v>
      </c>
      <c r="I25" s="4">
        <v>1.3728000000000001E-2</v>
      </c>
      <c r="J25" s="3">
        <v>7699492</v>
      </c>
      <c r="K25" s="4">
        <v>0</v>
      </c>
      <c r="L25" s="3">
        <v>0</v>
      </c>
      <c r="M25" s="3">
        <v>4972.8140000000003</v>
      </c>
      <c r="N25" s="4">
        <v>4.6400999999999998E-2</v>
      </c>
    </row>
    <row r="26" spans="1:14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67166.509999999995</v>
      </c>
      <c r="G26" s="3">
        <v>-67166.509999999995</v>
      </c>
      <c r="H26" s="3">
        <v>0</v>
      </c>
      <c r="I26" s="4">
        <v>0.112904</v>
      </c>
      <c r="J26" s="3">
        <v>527733.69999999995</v>
      </c>
      <c r="K26" s="4">
        <v>0</v>
      </c>
      <c r="L26" s="3">
        <v>335832.5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23877030</v>
      </c>
      <c r="G27" s="3">
        <v>-23877030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-505743500</v>
      </c>
      <c r="N27" s="4">
        <v>-21.181176000000001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64655480</v>
      </c>
      <c r="G28" s="3">
        <v>-64655480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-1370284000</v>
      </c>
      <c r="N28" s="4">
        <v>-21.193624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2888493</v>
      </c>
      <c r="F29" s="3">
        <v>5097252</v>
      </c>
      <c r="G29" s="3">
        <v>-2208759</v>
      </c>
      <c r="H29" s="3">
        <v>0</v>
      </c>
      <c r="I29" s="4">
        <v>0.14116400000000001</v>
      </c>
      <c r="J29" s="3">
        <v>58779370</v>
      </c>
      <c r="K29" s="4">
        <v>0</v>
      </c>
      <c r="L29" s="3">
        <v>0</v>
      </c>
      <c r="M29" s="3">
        <v>42294970</v>
      </c>
      <c r="N29" s="4">
        <v>5.2963079999999998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134382</v>
      </c>
      <c r="F30" s="3">
        <v>243263.6</v>
      </c>
      <c r="G30" s="3">
        <v>-108881.60000000001</v>
      </c>
      <c r="H30" s="3">
        <v>0</v>
      </c>
      <c r="I30" s="4">
        <v>0.206035</v>
      </c>
      <c r="J30" s="3">
        <v>1941804</v>
      </c>
      <c r="K30" s="4">
        <v>0</v>
      </c>
      <c r="L30" s="3">
        <v>0</v>
      </c>
      <c r="M30" s="3">
        <v>1410611</v>
      </c>
      <c r="N30" s="4">
        <v>3.7352780000000001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31723.360000000001</v>
      </c>
      <c r="F31" s="3">
        <v>151761</v>
      </c>
      <c r="G31" s="3">
        <v>-120037.6</v>
      </c>
      <c r="H31" s="3">
        <v>0</v>
      </c>
      <c r="I31" s="4">
        <v>0.187471</v>
      </c>
      <c r="J31" s="3">
        <v>1098771</v>
      </c>
      <c r="K31" s="4">
        <v>0</v>
      </c>
      <c r="L31" s="3">
        <v>0</v>
      </c>
      <c r="M31" s="3">
        <v>1358000</v>
      </c>
      <c r="N31" s="4">
        <v>7.4011740000000001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773737.7</v>
      </c>
      <c r="F32" s="3">
        <v>2102586</v>
      </c>
      <c r="G32" s="3">
        <v>-1328848</v>
      </c>
      <c r="H32" s="3">
        <v>0</v>
      </c>
      <c r="I32" s="4">
        <v>0.25395499999999999</v>
      </c>
      <c r="J32" s="3">
        <v>12654950</v>
      </c>
      <c r="K32" s="4">
        <v>0</v>
      </c>
      <c r="L32" s="3">
        <v>0</v>
      </c>
      <c r="M32" s="3">
        <v>23386690</v>
      </c>
      <c r="N32" s="4">
        <v>8.1307569999999991</v>
      </c>
    </row>
    <row r="33" spans="1:14" x14ac:dyDescent="0.2">
      <c r="A33" s="10" t="s">
        <v>41</v>
      </c>
      <c r="B33" s="1" t="s">
        <v>40</v>
      </c>
      <c r="C33" s="3">
        <v>29000000</v>
      </c>
      <c r="D33" s="3">
        <v>29000000</v>
      </c>
      <c r="E33" s="3">
        <v>704208.2</v>
      </c>
      <c r="F33" s="3">
        <v>704208.2</v>
      </c>
      <c r="G33" s="3">
        <v>0</v>
      </c>
      <c r="H33" s="3">
        <v>0</v>
      </c>
      <c r="I33" s="4">
        <v>0.965113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2"/>
      <c r="B34" s="1" t="s">
        <v>59</v>
      </c>
      <c r="C34" s="3">
        <v>46768.01</v>
      </c>
      <c r="D34" s="3">
        <v>46768.01</v>
      </c>
      <c r="E34" s="3">
        <v>61695.35</v>
      </c>
      <c r="F34" s="3">
        <v>69548.56</v>
      </c>
      <c r="G34" s="3">
        <v>-7853.2089999999998</v>
      </c>
      <c r="H34" s="3">
        <v>0</v>
      </c>
      <c r="I34" s="4">
        <v>0.78576699999999999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124275540109.73</v>
      </c>
      <c r="K35" s="5" t="s">
        <v>45</v>
      </c>
      <c r="L35" s="2">
        <f>SUM(L3:L32)</f>
        <v>398665376.40415996</v>
      </c>
      <c r="M35" s="2">
        <f>SUM(M3:M32)</f>
        <v>886070679.11400032</v>
      </c>
      <c r="N35" s="2">
        <f>SUM(N3:N32)</f>
        <v>1166.9739630000001</v>
      </c>
    </row>
    <row r="36" spans="1:14" x14ac:dyDescent="0.2">
      <c r="I36" s="8" t="s">
        <v>43</v>
      </c>
      <c r="J36" s="2">
        <f>SUM(J15,J17)</f>
        <v>12597039</v>
      </c>
    </row>
    <row r="37" spans="1:14" x14ac:dyDescent="0.2">
      <c r="I37" s="8" t="s">
        <v>44</v>
      </c>
      <c r="J37" s="2">
        <f>SUM(J20)</f>
        <v>740410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13439432.6</v>
      </c>
    </row>
    <row r="41" spans="1:14" x14ac:dyDescent="0.2">
      <c r="A41" t="s">
        <v>48</v>
      </c>
      <c r="C41" s="2">
        <f>SUMIFS($J$2:$J$32,$B$2:$B$32, "Offshore Wind")+SUMIFS($J$2:$J$32,$B$2:$B$32, "Onshore Wind")</f>
        <v>12597039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1"/>
  <sheetViews>
    <sheetView topLeftCell="A12" workbookViewId="0">
      <selection activeCell="J35" sqref="J35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28802.66</v>
      </c>
      <c r="F2" s="3">
        <v>0</v>
      </c>
      <c r="G2" s="3">
        <v>28802.66</v>
      </c>
      <c r="H2" s="3">
        <v>0</v>
      </c>
      <c r="I2" s="3">
        <v>3.6188659999999997E-2</v>
      </c>
      <c r="J2" s="3">
        <v>767100.1</v>
      </c>
      <c r="K2" s="4">
        <v>0</v>
      </c>
      <c r="L2" s="3">
        <v>2851463</v>
      </c>
      <c r="M2" s="3">
        <v>3811495</v>
      </c>
      <c r="N2" s="4">
        <v>132.33137400000001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166805.1</v>
      </c>
      <c r="F3" s="3">
        <v>0</v>
      </c>
      <c r="G3" s="3">
        <v>166805.1</v>
      </c>
      <c r="H3" s="3">
        <v>0</v>
      </c>
      <c r="I3" s="3">
        <v>4.7511190000000002E-2</v>
      </c>
      <c r="J3" s="3">
        <v>3344054</v>
      </c>
      <c r="K3" s="4">
        <v>0</v>
      </c>
      <c r="L3" s="3">
        <v>13511210</v>
      </c>
      <c r="M3" s="3">
        <v>17248570</v>
      </c>
      <c r="N3" s="4">
        <v>103.405564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1297691</v>
      </c>
      <c r="F4" s="3">
        <v>0</v>
      </c>
      <c r="G4" s="3">
        <v>1297691</v>
      </c>
      <c r="H4" s="3">
        <v>0</v>
      </c>
      <c r="I4" s="3">
        <v>6.6107299999999994E-2</v>
      </c>
      <c r="J4" s="3">
        <v>18332380</v>
      </c>
      <c r="K4" s="4">
        <v>0</v>
      </c>
      <c r="L4" s="3">
        <v>116792200</v>
      </c>
      <c r="M4" s="3">
        <v>145335000</v>
      </c>
      <c r="N4" s="4">
        <v>111.995102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48052.91</v>
      </c>
      <c r="F5" s="3">
        <v>0</v>
      </c>
      <c r="G5" s="3">
        <v>48052.91</v>
      </c>
      <c r="H5" s="3">
        <v>0</v>
      </c>
      <c r="I5" s="3">
        <v>9.5336849999999996E-4</v>
      </c>
      <c r="J5" s="3">
        <v>50355230</v>
      </c>
      <c r="K5" s="4">
        <v>0</v>
      </c>
      <c r="L5" s="3">
        <v>7350173</v>
      </c>
      <c r="M5" s="3">
        <v>7350173</v>
      </c>
      <c r="N5" s="4">
        <v>152.96001100000001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4002.0479999999998</v>
      </c>
      <c r="F6" s="3">
        <v>0</v>
      </c>
      <c r="G6" s="3">
        <v>4002.0479999999998</v>
      </c>
      <c r="H6" s="3">
        <v>0</v>
      </c>
      <c r="I6" s="3">
        <v>5.2991539999999997E-4</v>
      </c>
      <c r="J6" s="3">
        <v>7548233</v>
      </c>
      <c r="K6" s="4">
        <v>0</v>
      </c>
      <c r="L6" s="3">
        <v>612153.30000000005</v>
      </c>
      <c r="M6" s="3">
        <v>612153.30000000005</v>
      </c>
      <c r="N6" s="4">
        <v>152.960117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7596862</v>
      </c>
      <c r="F7" s="3">
        <v>0</v>
      </c>
      <c r="G7" s="3">
        <v>7596862</v>
      </c>
      <c r="H7" s="3">
        <v>0</v>
      </c>
      <c r="I7" s="3">
        <v>0.25957789999999997</v>
      </c>
      <c r="J7" s="3">
        <v>21669350</v>
      </c>
      <c r="K7" s="4">
        <v>0</v>
      </c>
      <c r="L7" s="3">
        <v>152371600</v>
      </c>
      <c r="M7" s="3">
        <v>152371600</v>
      </c>
      <c r="N7" s="4">
        <v>20.057174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8691807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7362.4</v>
      </c>
      <c r="F9" s="3">
        <v>0</v>
      </c>
      <c r="G9" s="3">
        <v>7362.4</v>
      </c>
      <c r="H9" s="3">
        <v>0</v>
      </c>
      <c r="I9" s="3">
        <v>0.31319999999999998</v>
      </c>
      <c r="J9" s="3">
        <v>16144.6</v>
      </c>
      <c r="K9" s="4">
        <v>0</v>
      </c>
      <c r="L9" s="3">
        <v>91735.5</v>
      </c>
      <c r="M9" s="3">
        <v>391439.3</v>
      </c>
      <c r="N9" s="4">
        <v>53.167400999999998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295122.59999999998</v>
      </c>
      <c r="F10" s="3">
        <v>0</v>
      </c>
      <c r="G10" s="3">
        <v>295122.59999999998</v>
      </c>
      <c r="H10" s="3">
        <v>0</v>
      </c>
      <c r="I10" s="3">
        <v>0.16548779999999999</v>
      </c>
      <c r="J10" s="3">
        <v>1488228</v>
      </c>
      <c r="K10" s="4">
        <v>0</v>
      </c>
      <c r="L10" s="3">
        <v>15936620</v>
      </c>
      <c r="M10" s="3">
        <v>27721620</v>
      </c>
      <c r="N10" s="4">
        <v>93.932540000000003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1088274</v>
      </c>
      <c r="F11" s="3">
        <v>0</v>
      </c>
      <c r="G11" s="3">
        <v>1088274</v>
      </c>
      <c r="H11" s="3">
        <v>0</v>
      </c>
      <c r="I11" s="3">
        <v>0.26840999999999998</v>
      </c>
      <c r="J11" s="3">
        <v>533534.4</v>
      </c>
      <c r="K11" s="4">
        <v>0</v>
      </c>
      <c r="L11" s="3">
        <v>0</v>
      </c>
      <c r="M11" s="3">
        <v>22766350</v>
      </c>
      <c r="N11" s="4">
        <v>20.919685000000001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64655480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210368.3</v>
      </c>
      <c r="F13" s="3">
        <v>0</v>
      </c>
      <c r="G13" s="3">
        <v>210368.3</v>
      </c>
      <c r="H13" s="3">
        <v>0</v>
      </c>
      <c r="I13" s="3">
        <v>0.38701730000000001</v>
      </c>
      <c r="J13" s="3">
        <v>54174.7</v>
      </c>
      <c r="K13" s="4">
        <v>0</v>
      </c>
      <c r="L13" s="3">
        <v>0</v>
      </c>
      <c r="M13" s="3">
        <v>5185456</v>
      </c>
      <c r="N13" s="4">
        <v>24.649419999999999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3947290</v>
      </c>
      <c r="F14" s="3">
        <v>0</v>
      </c>
      <c r="G14" s="3">
        <v>3947290</v>
      </c>
      <c r="H14" s="3">
        <v>0</v>
      </c>
      <c r="I14" s="3">
        <v>0.40418320000000002</v>
      </c>
      <c r="J14" s="3">
        <v>5818800</v>
      </c>
      <c r="K14" s="4">
        <v>0</v>
      </c>
      <c r="L14" s="3">
        <v>39472900</v>
      </c>
      <c r="M14" s="3">
        <v>204484500</v>
      </c>
      <c r="N14" s="4">
        <v>51.803780000000003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47518290</v>
      </c>
      <c r="F15" s="3">
        <v>0</v>
      </c>
      <c r="G15" s="3">
        <v>47518290</v>
      </c>
      <c r="H15" s="3">
        <v>0</v>
      </c>
      <c r="I15" s="3">
        <v>0.4152827</v>
      </c>
      <c r="J15" s="3">
        <v>5872240</v>
      </c>
      <c r="K15" s="4">
        <v>0</v>
      </c>
      <c r="L15" s="3">
        <v>0</v>
      </c>
      <c r="M15" s="3">
        <v>402601900</v>
      </c>
      <c r="N15" s="4">
        <v>8.472569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167754.5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21130520</v>
      </c>
      <c r="F17" s="3">
        <v>0</v>
      </c>
      <c r="G17" s="3">
        <v>21130520</v>
      </c>
      <c r="H17" s="3">
        <v>0</v>
      </c>
      <c r="I17" s="3">
        <v>0.36258410000000002</v>
      </c>
      <c r="J17" s="3">
        <v>6817641</v>
      </c>
      <c r="K17" s="4">
        <v>0</v>
      </c>
      <c r="L17" s="3">
        <v>0</v>
      </c>
      <c r="M17" s="3">
        <v>200231200</v>
      </c>
      <c r="N17" s="4">
        <v>9.4759259999999994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5568.8890000000001</v>
      </c>
      <c r="F18" s="3">
        <v>0</v>
      </c>
      <c r="G18" s="3">
        <v>5568.8890000000001</v>
      </c>
      <c r="H18" s="3">
        <v>0</v>
      </c>
      <c r="I18" s="3">
        <v>7.1144369999999999E-4</v>
      </c>
      <c r="J18" s="3">
        <v>7822027</v>
      </c>
      <c r="K18" s="4">
        <v>0</v>
      </c>
      <c r="L18" s="3">
        <v>851817.3</v>
      </c>
      <c r="M18" s="3">
        <v>851817.3</v>
      </c>
      <c r="N18" s="4">
        <v>152.959869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19191.2</v>
      </c>
      <c r="F19" s="3">
        <v>0</v>
      </c>
      <c r="G19" s="3">
        <v>19191.2</v>
      </c>
      <c r="H19" s="3">
        <v>0</v>
      </c>
      <c r="I19" s="3">
        <v>0.1608839</v>
      </c>
      <c r="J19" s="3">
        <v>100094.8</v>
      </c>
      <c r="K19" s="4">
        <v>0</v>
      </c>
      <c r="L19" s="3">
        <v>1209045</v>
      </c>
      <c r="M19" s="3">
        <v>1822922</v>
      </c>
      <c r="N19" s="4">
        <v>94.987375999999998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7986979</v>
      </c>
      <c r="F20" s="3">
        <v>0</v>
      </c>
      <c r="G20" s="3">
        <v>7986979</v>
      </c>
      <c r="H20" s="3">
        <v>0</v>
      </c>
      <c r="I20" s="3">
        <v>9.2350719999999997E-2</v>
      </c>
      <c r="J20" s="3">
        <v>756415.4</v>
      </c>
      <c r="K20" s="4">
        <v>0</v>
      </c>
      <c r="L20" s="3">
        <v>0</v>
      </c>
      <c r="M20" s="3">
        <v>126053600</v>
      </c>
      <c r="N20" s="4">
        <v>15.782385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790213.7</v>
      </c>
      <c r="F21" s="3">
        <v>0</v>
      </c>
      <c r="G21" s="3">
        <v>790213.7</v>
      </c>
      <c r="H21" s="3">
        <v>0</v>
      </c>
      <c r="I21" s="3">
        <v>7.9638799999999996E-2</v>
      </c>
      <c r="J21" s="3">
        <v>9132258</v>
      </c>
      <c r="K21" s="4">
        <v>0</v>
      </c>
      <c r="L21" s="3">
        <v>59740160</v>
      </c>
      <c r="M21" s="3">
        <v>78576680</v>
      </c>
      <c r="N21" s="4">
        <v>99.437244000000007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50326900</v>
      </c>
      <c r="F22" s="3">
        <v>34157800</v>
      </c>
      <c r="G22" s="3">
        <v>16169100</v>
      </c>
      <c r="H22" s="3">
        <v>-16169100</v>
      </c>
      <c r="I22" s="3">
        <v>0.17129230000000001</v>
      </c>
      <c r="J22" s="3">
        <v>0</v>
      </c>
      <c r="K22" s="4">
        <v>0</v>
      </c>
      <c r="L22" s="3">
        <v>0</v>
      </c>
      <c r="M22" s="3">
        <v>906909800</v>
      </c>
      <c r="N22" s="4">
        <v>10.734603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12275000</v>
      </c>
      <c r="F23" s="3">
        <v>4483350</v>
      </c>
      <c r="G23" s="3">
        <v>7791654</v>
      </c>
      <c r="H23" s="3">
        <v>-7791654</v>
      </c>
      <c r="I23" s="3">
        <v>0.62987950000000004</v>
      </c>
      <c r="J23" s="3">
        <v>34397300</v>
      </c>
      <c r="K23" s="4">
        <v>0</v>
      </c>
      <c r="L23" s="3">
        <v>0</v>
      </c>
      <c r="M23" s="3">
        <v>484637100</v>
      </c>
      <c r="N23" s="4">
        <v>28.919136000000002</v>
      </c>
    </row>
    <row r="24" spans="1:14" x14ac:dyDescent="0.2">
      <c r="A24" s="11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112623.9</v>
      </c>
      <c r="G24" s="3">
        <v>-112623.9</v>
      </c>
      <c r="H24" s="3">
        <v>0</v>
      </c>
      <c r="I24" s="3">
        <v>1.4426639999999999E-2</v>
      </c>
      <c r="J24" s="3">
        <v>7694040</v>
      </c>
      <c r="K24" s="4">
        <v>0</v>
      </c>
      <c r="L24" s="3">
        <v>0</v>
      </c>
      <c r="M24" s="3">
        <v>4079.0219999999999</v>
      </c>
      <c r="N24" s="4">
        <v>3.6218E-2</v>
      </c>
    </row>
    <row r="25" spans="1:14" x14ac:dyDescent="0.2">
      <c r="A25" s="11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73544.820000000007</v>
      </c>
      <c r="G25" s="3">
        <v>-73544.820000000007</v>
      </c>
      <c r="H25" s="3">
        <v>0</v>
      </c>
      <c r="I25" s="3">
        <v>0.1236255</v>
      </c>
      <c r="J25" s="3">
        <v>521355.4</v>
      </c>
      <c r="K25" s="4">
        <v>0</v>
      </c>
      <c r="L25" s="3">
        <v>367724.1</v>
      </c>
      <c r="M25" s="3">
        <v>0</v>
      </c>
      <c r="N25" s="4" t="s">
        <v>21</v>
      </c>
    </row>
    <row r="26" spans="1:14" x14ac:dyDescent="0.2">
      <c r="A26" s="12"/>
      <c r="B26" s="1" t="s">
        <v>33</v>
      </c>
      <c r="C26" s="3">
        <v>812000000</v>
      </c>
      <c r="D26" s="3">
        <v>812000000</v>
      </c>
      <c r="E26" s="3">
        <v>0</v>
      </c>
      <c r="F26" s="3">
        <v>344619</v>
      </c>
      <c r="G26" s="3">
        <v>-344619</v>
      </c>
      <c r="H26" s="3">
        <v>344619</v>
      </c>
      <c r="I26" s="3">
        <v>1.9859969999999999E-7</v>
      </c>
      <c r="J26" s="3">
        <v>1735244000000</v>
      </c>
      <c r="K26" s="4">
        <v>0</v>
      </c>
      <c r="L26" s="3">
        <v>3.4461900000000001</v>
      </c>
      <c r="M26" s="3">
        <v>-5707156</v>
      </c>
      <c r="N26" s="4">
        <v>-16.560773000000001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23877030</v>
      </c>
      <c r="G27" s="3">
        <v>-23877030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-514156900</v>
      </c>
      <c r="N27" s="4">
        <v>-21.533539999999999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64655480</v>
      </c>
      <c r="G28" s="3">
        <v>-64655480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-1393038000</v>
      </c>
      <c r="N28" s="4">
        <v>-21.545551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3836832</v>
      </c>
      <c r="F29" s="3">
        <v>6095470</v>
      </c>
      <c r="G29" s="3">
        <v>-2258638</v>
      </c>
      <c r="H29" s="3">
        <v>0</v>
      </c>
      <c r="I29" s="3">
        <v>0.17557349999999999</v>
      </c>
      <c r="J29" s="3">
        <v>58829240</v>
      </c>
      <c r="K29" s="4">
        <v>0</v>
      </c>
      <c r="L29" s="3">
        <v>0</v>
      </c>
      <c r="M29" s="3">
        <v>48111200</v>
      </c>
      <c r="N29" s="4">
        <v>4.8439120000000004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183472.5</v>
      </c>
      <c r="F30" s="3">
        <v>289780.2</v>
      </c>
      <c r="G30" s="3">
        <v>-106307.6</v>
      </c>
      <c r="H30" s="3">
        <v>0</v>
      </c>
      <c r="I30" s="3">
        <v>0.25819579999999998</v>
      </c>
      <c r="J30" s="3">
        <v>1939230</v>
      </c>
      <c r="K30" s="4">
        <v>0</v>
      </c>
      <c r="L30" s="3">
        <v>0</v>
      </c>
      <c r="M30" s="3">
        <v>1605545</v>
      </c>
      <c r="N30" s="4">
        <v>3.3925749999999999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39975.79</v>
      </c>
      <c r="F31" s="3">
        <v>168151.5</v>
      </c>
      <c r="G31" s="3">
        <v>-128175.7</v>
      </c>
      <c r="H31" s="3">
        <v>0</v>
      </c>
      <c r="I31" s="3">
        <v>0.21264959999999999</v>
      </c>
      <c r="J31" s="3">
        <v>1106909</v>
      </c>
      <c r="K31" s="4">
        <v>0</v>
      </c>
      <c r="L31" s="3">
        <v>0</v>
      </c>
      <c r="M31" s="3">
        <v>1563559</v>
      </c>
      <c r="N31" s="4">
        <v>7.5125159999999997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1069326</v>
      </c>
      <c r="F32" s="3">
        <v>2304033</v>
      </c>
      <c r="G32" s="3">
        <v>-1234707</v>
      </c>
      <c r="H32" s="3">
        <v>0</v>
      </c>
      <c r="I32" s="3">
        <v>0.29783949999999998</v>
      </c>
      <c r="J32" s="3">
        <v>12560810</v>
      </c>
      <c r="K32" s="4">
        <v>0</v>
      </c>
      <c r="L32" s="3">
        <v>0</v>
      </c>
      <c r="M32" s="3">
        <v>26696340</v>
      </c>
      <c r="N32" s="4">
        <v>7.9138710000000003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68170.42</v>
      </c>
      <c r="F33" s="3">
        <v>73462.320000000007</v>
      </c>
      <c r="G33" s="3">
        <v>-5291.9</v>
      </c>
      <c r="H33" s="3">
        <v>0</v>
      </c>
      <c r="I33" s="3">
        <v>0.52949060000000003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1735562431020.8999</v>
      </c>
      <c r="K34" s="5" t="s">
        <v>45</v>
      </c>
      <c r="L34" s="2">
        <f>SUM(L2:L31)</f>
        <v>411158804.64619005</v>
      </c>
      <c r="M34" s="2">
        <f>SUM(M2:M31)</f>
        <v>927345702.92199945</v>
      </c>
      <c r="N34" s="2">
        <f>SUM(N2:N31)</f>
        <v>1295.0966330000003</v>
      </c>
    </row>
    <row r="35" spans="1:14" x14ac:dyDescent="0.2">
      <c r="I35" s="8" t="s">
        <v>43</v>
      </c>
      <c r="J35" s="2">
        <f>SUM(J15,J17)</f>
        <v>12689881</v>
      </c>
    </row>
    <row r="36" spans="1:14" x14ac:dyDescent="0.2">
      <c r="I36" s="8" t="s">
        <v>44</v>
      </c>
      <c r="J36" s="2">
        <f>SUM(J20)</f>
        <v>756415.4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13546391.200000001</v>
      </c>
    </row>
    <row r="41" spans="1:14" x14ac:dyDescent="0.2">
      <c r="A41" t="s">
        <v>48</v>
      </c>
      <c r="C41" s="2">
        <f>SUMIFS($J$2:$J$34,$B$2:$B$34, "Offshore Wind")+SUMIFS($J$2:$J$34,$B$2:$B$34, "Onshore Wind")</f>
        <v>12689881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1"/>
  <sheetViews>
    <sheetView topLeftCell="A15" workbookViewId="0">
      <selection activeCell="L36" sqref="L36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26840.58</v>
      </c>
      <c r="F2" s="3">
        <v>0</v>
      </c>
      <c r="G2" s="3">
        <v>26840.58</v>
      </c>
      <c r="H2" s="3">
        <v>0</v>
      </c>
      <c r="I2" s="3">
        <v>3.3723459999999997E-2</v>
      </c>
      <c r="J2" s="3">
        <v>769062.2</v>
      </c>
      <c r="K2" s="4">
        <v>0</v>
      </c>
      <c r="L2" s="3">
        <v>2657218</v>
      </c>
      <c r="M2" s="3">
        <v>3651077</v>
      </c>
      <c r="N2" s="4">
        <v>136.02819299999999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151126</v>
      </c>
      <c r="F3" s="3">
        <v>0</v>
      </c>
      <c r="G3" s="3">
        <v>151126</v>
      </c>
      <c r="H3" s="3">
        <v>0</v>
      </c>
      <c r="I3" s="3">
        <v>4.304529E-2</v>
      </c>
      <c r="J3" s="3">
        <v>3359733</v>
      </c>
      <c r="K3" s="4">
        <v>0</v>
      </c>
      <c r="L3" s="3">
        <v>12241200</v>
      </c>
      <c r="M3" s="3">
        <v>15871110</v>
      </c>
      <c r="N3" s="4">
        <v>105.019125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1274365</v>
      </c>
      <c r="F4" s="3">
        <v>0</v>
      </c>
      <c r="G4" s="3">
        <v>1274365</v>
      </c>
      <c r="H4" s="3">
        <v>0</v>
      </c>
      <c r="I4" s="3">
        <v>6.4919030000000003E-2</v>
      </c>
      <c r="J4" s="3">
        <v>18355700</v>
      </c>
      <c r="K4" s="4">
        <v>0</v>
      </c>
      <c r="L4" s="3">
        <v>114692900</v>
      </c>
      <c r="M4" s="3">
        <v>143089600</v>
      </c>
      <c r="N4" s="4">
        <v>112.283035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33756.94</v>
      </c>
      <c r="F5" s="3">
        <v>0</v>
      </c>
      <c r="G5" s="3">
        <v>33756.94</v>
      </c>
      <c r="H5" s="3">
        <v>0</v>
      </c>
      <c r="I5" s="3">
        <v>6.6973710000000004E-4</v>
      </c>
      <c r="J5" s="3">
        <v>50369530</v>
      </c>
      <c r="K5" s="4">
        <v>0</v>
      </c>
      <c r="L5" s="3">
        <v>5163462</v>
      </c>
      <c r="M5" s="3">
        <v>5163462</v>
      </c>
      <c r="N5" s="4">
        <v>152.95996199999999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2947.1379999999999</v>
      </c>
      <c r="F6" s="3">
        <v>0</v>
      </c>
      <c r="G6" s="3">
        <v>2947.1379999999999</v>
      </c>
      <c r="H6" s="3">
        <v>0</v>
      </c>
      <c r="I6" s="3">
        <v>3.902337E-4</v>
      </c>
      <c r="J6" s="3">
        <v>7549288</v>
      </c>
      <c r="K6" s="4">
        <v>0</v>
      </c>
      <c r="L6" s="3">
        <v>450794.3</v>
      </c>
      <c r="M6" s="3">
        <v>450794.3</v>
      </c>
      <c r="N6" s="4">
        <v>152.96009000000001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7474402</v>
      </c>
      <c r="F7" s="3">
        <v>0</v>
      </c>
      <c r="G7" s="3">
        <v>7474402</v>
      </c>
      <c r="H7" s="3">
        <v>0</v>
      </c>
      <c r="I7" s="3">
        <v>0.2553935</v>
      </c>
      <c r="J7" s="3">
        <v>21791810</v>
      </c>
      <c r="K7" s="4">
        <v>0</v>
      </c>
      <c r="L7" s="3">
        <v>149120200</v>
      </c>
      <c r="M7" s="3">
        <v>149120200</v>
      </c>
      <c r="N7" s="4">
        <v>19.950790000000001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8691807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7340.9430000000002</v>
      </c>
      <c r="F9" s="3">
        <v>0</v>
      </c>
      <c r="G9" s="3">
        <v>7340.9430000000002</v>
      </c>
      <c r="H9" s="3">
        <v>0</v>
      </c>
      <c r="I9" s="3">
        <v>0.31228729999999999</v>
      </c>
      <c r="J9" s="3">
        <v>16166.06</v>
      </c>
      <c r="K9" s="4">
        <v>0</v>
      </c>
      <c r="L9" s="3">
        <v>91468.15</v>
      </c>
      <c r="M9" s="3">
        <v>375047.3</v>
      </c>
      <c r="N9" s="4">
        <v>51.089843999999999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275713.5</v>
      </c>
      <c r="F10" s="3">
        <v>0</v>
      </c>
      <c r="G10" s="3">
        <v>275713.5</v>
      </c>
      <c r="H10" s="3">
        <v>0</v>
      </c>
      <c r="I10" s="3">
        <v>0.1546042</v>
      </c>
      <c r="J10" s="3">
        <v>1507637</v>
      </c>
      <c r="K10" s="4">
        <v>0</v>
      </c>
      <c r="L10" s="3">
        <v>14888530</v>
      </c>
      <c r="M10" s="3">
        <v>25816800</v>
      </c>
      <c r="N10" s="4">
        <v>93.636340000000004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1061909</v>
      </c>
      <c r="F11" s="3">
        <v>0</v>
      </c>
      <c r="G11" s="3">
        <v>1061909</v>
      </c>
      <c r="H11" s="3">
        <v>0</v>
      </c>
      <c r="I11" s="3">
        <v>0.26190740000000001</v>
      </c>
      <c r="J11" s="3">
        <v>559899.4</v>
      </c>
      <c r="K11" s="4">
        <v>0</v>
      </c>
      <c r="L11" s="3">
        <v>0</v>
      </c>
      <c r="M11" s="3">
        <v>21959620</v>
      </c>
      <c r="N11" s="4">
        <v>20.679379999999998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64655480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209952.2</v>
      </c>
      <c r="F13" s="3">
        <v>0</v>
      </c>
      <c r="G13" s="3">
        <v>209952.2</v>
      </c>
      <c r="H13" s="3">
        <v>0</v>
      </c>
      <c r="I13" s="3">
        <v>0.38625169999999998</v>
      </c>
      <c r="J13" s="3">
        <v>54590.81</v>
      </c>
      <c r="K13" s="4">
        <v>0</v>
      </c>
      <c r="L13" s="3">
        <v>0</v>
      </c>
      <c r="M13" s="3">
        <v>5004945</v>
      </c>
      <c r="N13" s="4">
        <v>23.838501999999998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3954586</v>
      </c>
      <c r="F14" s="3">
        <v>0</v>
      </c>
      <c r="G14" s="3">
        <v>3954586</v>
      </c>
      <c r="H14" s="3">
        <v>0</v>
      </c>
      <c r="I14" s="3">
        <v>0.40493030000000002</v>
      </c>
      <c r="J14" s="3">
        <v>5811504</v>
      </c>
      <c r="K14" s="4">
        <v>0</v>
      </c>
      <c r="L14" s="3">
        <v>39545860</v>
      </c>
      <c r="M14" s="3">
        <v>196708900</v>
      </c>
      <c r="N14" s="4">
        <v>49.741965999999998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47539580</v>
      </c>
      <c r="F15" s="3">
        <v>0</v>
      </c>
      <c r="G15" s="3">
        <v>47539580</v>
      </c>
      <c r="H15" s="3">
        <v>0</v>
      </c>
      <c r="I15" s="3">
        <v>0.41546870000000002</v>
      </c>
      <c r="J15" s="3">
        <v>5850947</v>
      </c>
      <c r="K15" s="4">
        <v>0</v>
      </c>
      <c r="L15" s="3">
        <v>0</v>
      </c>
      <c r="M15" s="3">
        <v>393103700</v>
      </c>
      <c r="N15" s="4">
        <v>8.2689769999999996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167754.5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21065670</v>
      </c>
      <c r="F17" s="3">
        <v>0</v>
      </c>
      <c r="G17" s="3">
        <v>21065670</v>
      </c>
      <c r="H17" s="3">
        <v>0</v>
      </c>
      <c r="I17" s="3">
        <v>0.36147119999999999</v>
      </c>
      <c r="J17" s="3">
        <v>6882497</v>
      </c>
      <c r="K17" s="4">
        <v>0</v>
      </c>
      <c r="L17" s="3">
        <v>0</v>
      </c>
      <c r="M17" s="3">
        <v>197047300</v>
      </c>
      <c r="N17" s="4">
        <v>9.3539549999999991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4563.2309999999998</v>
      </c>
      <c r="F18" s="3">
        <v>0</v>
      </c>
      <c r="G18" s="3">
        <v>4563.2309999999998</v>
      </c>
      <c r="H18" s="3">
        <v>0</v>
      </c>
      <c r="I18" s="3">
        <v>5.8296590000000005E-4</v>
      </c>
      <c r="J18" s="3">
        <v>7823033</v>
      </c>
      <c r="K18" s="4">
        <v>0</v>
      </c>
      <c r="L18" s="3">
        <v>697991.8</v>
      </c>
      <c r="M18" s="3">
        <v>697991.8</v>
      </c>
      <c r="N18" s="4">
        <v>152.960306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17237.3</v>
      </c>
      <c r="F19" s="3">
        <v>0</v>
      </c>
      <c r="G19" s="3">
        <v>17237.3</v>
      </c>
      <c r="H19" s="3">
        <v>0</v>
      </c>
      <c r="I19" s="3">
        <v>0.14450389999999999</v>
      </c>
      <c r="J19" s="3">
        <v>102048.8</v>
      </c>
      <c r="K19" s="4">
        <v>0</v>
      </c>
      <c r="L19" s="3">
        <v>1085950</v>
      </c>
      <c r="M19" s="3">
        <v>1661459</v>
      </c>
      <c r="N19" s="4">
        <v>96.387461000000002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8016806</v>
      </c>
      <c r="F20" s="3">
        <v>0</v>
      </c>
      <c r="G20" s="3">
        <v>8016806</v>
      </c>
      <c r="H20" s="3">
        <v>0</v>
      </c>
      <c r="I20" s="3">
        <v>9.2695600000000003E-2</v>
      </c>
      <c r="J20" s="3">
        <v>726588.1</v>
      </c>
      <c r="K20" s="4">
        <v>0</v>
      </c>
      <c r="L20" s="3">
        <v>0</v>
      </c>
      <c r="M20" s="3">
        <v>124817800</v>
      </c>
      <c r="N20" s="4">
        <v>15.569523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756846.4</v>
      </c>
      <c r="F21" s="3">
        <v>0</v>
      </c>
      <c r="G21" s="3">
        <v>756846.4</v>
      </c>
      <c r="H21" s="3">
        <v>0</v>
      </c>
      <c r="I21" s="3">
        <v>7.6275990000000002E-2</v>
      </c>
      <c r="J21" s="3">
        <v>9165625</v>
      </c>
      <c r="K21" s="4">
        <v>0</v>
      </c>
      <c r="L21" s="3">
        <v>57217590</v>
      </c>
      <c r="M21" s="3">
        <v>75269480</v>
      </c>
      <c r="N21" s="4">
        <v>99.451459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50030860</v>
      </c>
      <c r="F22" s="3">
        <v>34231030</v>
      </c>
      <c r="G22" s="3">
        <v>15799830</v>
      </c>
      <c r="H22" s="3">
        <v>-15799830</v>
      </c>
      <c r="I22" s="3">
        <v>0.17084050000000001</v>
      </c>
      <c r="J22" s="3">
        <v>0</v>
      </c>
      <c r="K22" s="4">
        <v>0</v>
      </c>
      <c r="L22" s="3">
        <v>0</v>
      </c>
      <c r="M22" s="3">
        <v>865207600</v>
      </c>
      <c r="N22" s="4">
        <v>10.268077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12173510</v>
      </c>
      <c r="F23" s="3">
        <v>4507460</v>
      </c>
      <c r="G23" s="3">
        <v>7666053</v>
      </c>
      <c r="H23" s="3">
        <v>-7666053</v>
      </c>
      <c r="I23" s="3">
        <v>0.6269711</v>
      </c>
      <c r="J23" s="3">
        <v>34271700</v>
      </c>
      <c r="K23" s="4">
        <v>0</v>
      </c>
      <c r="L23" s="3">
        <v>0</v>
      </c>
      <c r="M23" s="3">
        <v>462930400</v>
      </c>
      <c r="N23" s="4">
        <v>27.752003999999999</v>
      </c>
    </row>
    <row r="24" spans="1:14" x14ac:dyDescent="0.2">
      <c r="A24" s="11"/>
      <c r="B24" s="1" t="s">
        <v>40</v>
      </c>
      <c r="C24" s="3">
        <v>58000000</v>
      </c>
      <c r="D24" s="3">
        <v>58000000</v>
      </c>
      <c r="E24" s="3">
        <v>0</v>
      </c>
      <c r="F24" s="3">
        <v>1373425</v>
      </c>
      <c r="G24" s="3">
        <v>-1373425</v>
      </c>
      <c r="H24" s="3">
        <v>0</v>
      </c>
      <c r="I24" s="3">
        <v>1.108084E-5</v>
      </c>
      <c r="J24" s="3">
        <v>123944600000</v>
      </c>
      <c r="K24" s="4">
        <v>0</v>
      </c>
      <c r="L24" s="3">
        <v>13.734249999999999</v>
      </c>
      <c r="M24" s="3">
        <v>-26712530</v>
      </c>
      <c r="N24" s="4">
        <v>-19.449565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110824.8</v>
      </c>
      <c r="G25" s="3">
        <v>-110824.8</v>
      </c>
      <c r="H25" s="3">
        <v>0</v>
      </c>
      <c r="I25" s="3">
        <v>1.4196189999999999E-2</v>
      </c>
      <c r="J25" s="3">
        <v>7695839</v>
      </c>
      <c r="K25" s="4">
        <v>0</v>
      </c>
      <c r="L25" s="3">
        <v>0</v>
      </c>
      <c r="M25" s="3">
        <v>4328.2039999999997</v>
      </c>
      <c r="N25" s="4">
        <v>3.9053999999999998E-2</v>
      </c>
    </row>
    <row r="26" spans="1:14" ht="30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71807.98</v>
      </c>
      <c r="G26" s="3">
        <v>-71807.98</v>
      </c>
      <c r="H26" s="3">
        <v>0</v>
      </c>
      <c r="I26" s="3">
        <v>0.1207059</v>
      </c>
      <c r="J26" s="3">
        <v>523092.2</v>
      </c>
      <c r="K26" s="4">
        <v>0</v>
      </c>
      <c r="L26" s="3">
        <v>359039.9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812000000</v>
      </c>
      <c r="D27" s="3">
        <v>812000000</v>
      </c>
      <c r="E27" s="3">
        <v>0</v>
      </c>
      <c r="F27" s="3">
        <v>360713.8</v>
      </c>
      <c r="G27" s="3">
        <v>-360713.8</v>
      </c>
      <c r="H27" s="3">
        <v>360713.8</v>
      </c>
      <c r="I27" s="3">
        <v>2.07875E-7</v>
      </c>
      <c r="J27" s="3">
        <v>1735244000000</v>
      </c>
      <c r="K27" s="4">
        <v>0</v>
      </c>
      <c r="L27" s="3">
        <v>3.6071399999999998</v>
      </c>
      <c r="M27" s="3">
        <v>-5455605</v>
      </c>
      <c r="N27" s="4">
        <v>-15.124468999999999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23877030</v>
      </c>
      <c r="G28" s="3">
        <v>-23877030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-498092600</v>
      </c>
      <c r="N28" s="4">
        <v>-20.860748000000001</v>
      </c>
    </row>
    <row r="29" spans="1:14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64655480</v>
      </c>
      <c r="G29" s="3">
        <v>-64655480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-1351980000</v>
      </c>
      <c r="N29" s="4">
        <v>-20.910530000000001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3804627</v>
      </c>
      <c r="F30" s="3">
        <v>5918839</v>
      </c>
      <c r="G30" s="3">
        <v>-2114212</v>
      </c>
      <c r="H30" s="3">
        <v>0</v>
      </c>
      <c r="I30" s="3">
        <v>0.1718819</v>
      </c>
      <c r="J30" s="3">
        <v>58684820</v>
      </c>
      <c r="K30" s="4">
        <v>0</v>
      </c>
      <c r="L30" s="3">
        <v>0</v>
      </c>
      <c r="M30" s="3">
        <v>42307370</v>
      </c>
      <c r="N30" s="4">
        <v>4.3510590000000002</v>
      </c>
    </row>
    <row r="31" spans="1:14" ht="30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174676</v>
      </c>
      <c r="F31" s="3">
        <v>273463.7</v>
      </c>
      <c r="G31" s="3">
        <v>-98787.76</v>
      </c>
      <c r="H31" s="3">
        <v>0</v>
      </c>
      <c r="I31" s="3">
        <v>0.24449470000000001</v>
      </c>
      <c r="J31" s="3">
        <v>1931710</v>
      </c>
      <c r="K31" s="4">
        <v>0</v>
      </c>
      <c r="L31" s="3">
        <v>0</v>
      </c>
      <c r="M31" s="3">
        <v>1408293</v>
      </c>
      <c r="N31" s="4">
        <v>3.1425299999999998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34691.15</v>
      </c>
      <c r="F32" s="3">
        <v>155483.1</v>
      </c>
      <c r="G32" s="3">
        <v>-120792</v>
      </c>
      <c r="H32" s="3">
        <v>0</v>
      </c>
      <c r="I32" s="3">
        <v>0.1943066</v>
      </c>
      <c r="J32" s="3">
        <v>1099525</v>
      </c>
      <c r="K32" s="4">
        <v>0</v>
      </c>
      <c r="L32" s="3">
        <v>0</v>
      </c>
      <c r="M32" s="3">
        <v>1368891</v>
      </c>
      <c r="N32" s="4">
        <v>7.1980890000000004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1168420</v>
      </c>
      <c r="F33" s="3">
        <v>2292491</v>
      </c>
      <c r="G33" s="3">
        <v>-1124071</v>
      </c>
      <c r="H33" s="3">
        <v>0</v>
      </c>
      <c r="I33" s="3">
        <v>0.30556949999999999</v>
      </c>
      <c r="J33" s="3">
        <v>12450170</v>
      </c>
      <c r="K33" s="4">
        <v>0</v>
      </c>
      <c r="L33" s="3">
        <v>0</v>
      </c>
      <c r="M33" s="3">
        <v>23780660</v>
      </c>
      <c r="N33" s="4">
        <v>6.8712140000000002</v>
      </c>
    </row>
    <row r="34" spans="1:14" x14ac:dyDescent="0.2">
      <c r="A34" s="10" t="s">
        <v>41</v>
      </c>
      <c r="B34" s="1" t="s">
        <v>40</v>
      </c>
      <c r="C34" s="3">
        <v>29000000</v>
      </c>
      <c r="D34" s="3">
        <v>29000000</v>
      </c>
      <c r="E34" s="3">
        <v>686712.7</v>
      </c>
      <c r="F34" s="3">
        <v>686712.7</v>
      </c>
      <c r="G34" s="3">
        <v>0</v>
      </c>
      <c r="H34" s="3">
        <v>0</v>
      </c>
      <c r="I34" s="3">
        <v>0.99958440000000004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66756.850000000006</v>
      </c>
      <c r="F35" s="3">
        <v>72526.259999999995</v>
      </c>
      <c r="G35" s="3">
        <v>-5769.4160000000002</v>
      </c>
      <c r="H35" s="3">
        <v>0</v>
      </c>
      <c r="I35" s="3">
        <v>0.57726929999999999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1859518698494.8701</v>
      </c>
      <c r="K36" s="5" t="s">
        <v>45</v>
      </c>
      <c r="L36" s="2">
        <f>SUM(L4:L33)</f>
        <v>383313803.49138999</v>
      </c>
      <c r="M36" s="2">
        <f>SUM(M4:M33)</f>
        <v>855053906.60399961</v>
      </c>
      <c r="N36" s="2">
        <f>SUM(N4:N33)</f>
        <v>1042.4083049999999</v>
      </c>
    </row>
    <row r="37" spans="1:14" x14ac:dyDescent="0.2">
      <c r="I37" s="8" t="s">
        <v>43</v>
      </c>
      <c r="J37" s="2">
        <f>SUM(J15,J17)</f>
        <v>12733444</v>
      </c>
    </row>
    <row r="38" spans="1:14" x14ac:dyDescent="0.2">
      <c r="A38" t="s">
        <v>46</v>
      </c>
      <c r="I38" s="8" t="s">
        <v>44</v>
      </c>
      <c r="J38" s="2">
        <f>SUM(J20)</f>
        <v>726588.1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13562080.9</v>
      </c>
    </row>
    <row r="41" spans="1:14" x14ac:dyDescent="0.2">
      <c r="A41" t="s">
        <v>48</v>
      </c>
      <c r="C41" s="2">
        <f>SUMIFS($J$2:$J$32,$B$2:$B$32, "Offshore Wind")+SUMIFS($J$2:$J$32,$B$2:$B$32, "Onshore Wind")</f>
        <v>12733444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2026-08-15T18:43:24Z</dcterms:modified>
</cp:coreProperties>
</file>