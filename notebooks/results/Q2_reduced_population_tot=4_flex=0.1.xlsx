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"/>
    </mc:Choice>
  </mc:AlternateContent>
  <xr:revisionPtr revIDLastSave="0" documentId="13_ncr:1_{8157CA96-195F-784D-8865-CD4B6E2D8656}" xr6:coauthVersionLast="47" xr6:coauthVersionMax="47" xr10:uidLastSave="{00000000-0000-0000-0000-000000000000}"/>
  <bookViews>
    <workbookView xWindow="4080" yWindow="600" windowWidth="30240" windowHeight="17400" activeTab="3" xr2:uid="{D4188A73-9F76-7B43-A2AE-82D891E862BC}"/>
  </bookViews>
  <sheets>
    <sheet name="Inflexible" sheetId="4" r:id="rId1"/>
    <sheet name="Temporal" sheetId="2" r:id="rId2"/>
    <sheet name="Spatial" sheetId="1" r:id="rId3"/>
    <sheet name="Both" sheetId="3" r:id="rId4"/>
  </sheets>
  <definedNames>
    <definedName name="_xlnm._FilterDatabase" localSheetId="3" hidden="1">Both!$A$1:$N$41</definedName>
    <definedName name="_xlnm._FilterDatabase" localSheetId="0" hidden="1">Inflexible!$A$1:$N$35</definedName>
    <definedName name="_xlnm._FilterDatabase" localSheetId="2" hidden="1">Spatial!$A$1:$N$36</definedName>
    <definedName name="_xlnm._FilterDatabase" localSheetId="1" hidden="1">Temporal!$A$1:$N$37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7" i="3" l="1"/>
  <c r="J35" i="1"/>
  <c r="J34" i="4"/>
  <c r="J36" i="2"/>
  <c r="J33" i="4"/>
  <c r="L33" i="4"/>
  <c r="M33" i="4"/>
  <c r="N33" i="4"/>
  <c r="C41" i="4"/>
  <c r="C40" i="4"/>
  <c r="C39" i="4"/>
  <c r="C41" i="3"/>
  <c r="C40" i="3"/>
  <c r="C39" i="3"/>
  <c r="C41" i="2"/>
  <c r="C40" i="2"/>
  <c r="C39" i="2"/>
  <c r="C39" i="1"/>
  <c r="C40" i="1"/>
  <c r="C41" i="1"/>
  <c r="J37" i="2"/>
  <c r="J38" i="3"/>
  <c r="J36" i="1"/>
  <c r="N36" i="3"/>
  <c r="M36" i="3"/>
  <c r="L36" i="3"/>
  <c r="J36" i="3"/>
  <c r="N35" i="2"/>
  <c r="M35" i="2"/>
  <c r="L35" i="2"/>
  <c r="J35" i="2"/>
  <c r="J35" i="4"/>
  <c r="N34" i="1"/>
  <c r="M34" i="1"/>
  <c r="L34" i="1"/>
  <c r="J34" i="1"/>
</calcChain>
</file>

<file path=xl/sharedStrings.xml><?xml version="1.0" encoding="utf-8"?>
<sst xmlns="http://schemas.openxmlformats.org/spreadsheetml/2006/main" count="280" uniqueCount="60">
  <si>
    <t>Optimal Capacity</t>
  </si>
  <si>
    <t>Installed Capacity</t>
  </si>
  <si>
    <t>Supply</t>
  </si>
  <si>
    <t>Withdrawal</t>
  </si>
  <si>
    <t>Energy Balance</t>
  </si>
  <si>
    <t>Transmission</t>
  </si>
  <si>
    <t>Capacity Factor</t>
  </si>
  <si>
    <t>Curtailment</t>
  </si>
  <si>
    <t>Capital Expenditure</t>
  </si>
  <si>
    <t>Operational Expenditure</t>
  </si>
  <si>
    <t>Revenue</t>
  </si>
  <si>
    <t>Market Value</t>
  </si>
  <si>
    <t>Generator</t>
  </si>
  <si>
    <t>Advanced Biofuel</t>
  </si>
  <si>
    <t>Biogas</t>
  </si>
  <si>
    <t>Biomass</t>
  </si>
  <si>
    <t>Combined Cycle Gas Turbine</t>
  </si>
  <si>
    <t>European Imports</t>
  </si>
  <si>
    <t>Landfill Gas</t>
  </si>
  <si>
    <t>Large Hydro</t>
  </si>
  <si>
    <t>Load Shedding</t>
  </si>
  <si>
    <t>NaN</t>
  </si>
  <si>
    <t>Nuclear</t>
  </si>
  <si>
    <t>Offshore Wind</t>
  </si>
  <si>
    <t>Oil</t>
  </si>
  <si>
    <t>Onshore Wind</t>
  </si>
  <si>
    <t>Open Cycle Gas Turbine</t>
  </si>
  <si>
    <t>Sewage Gas</t>
  </si>
  <si>
    <t>Solar PV</t>
  </si>
  <si>
    <t>Waste to Energy</t>
  </si>
  <si>
    <t>Link</t>
  </si>
  <si>
    <t>AC</t>
  </si>
  <si>
    <t>DC</t>
  </si>
  <si>
    <t>Virtual Link</t>
  </si>
  <si>
    <t>Load</t>
  </si>
  <si>
    <t>Data Centre</t>
  </si>
  <si>
    <t>Electricity</t>
  </si>
  <si>
    <t>StorageUnit</t>
  </si>
  <si>
    <t>Battery Storage</t>
  </si>
  <si>
    <t>Pumped Storage Hydroelectricity</t>
  </si>
  <si>
    <t>DSM</t>
  </si>
  <si>
    <t>Store</t>
  </si>
  <si>
    <t>total curtailment:</t>
  </si>
  <si>
    <t>wind curtailment:</t>
  </si>
  <si>
    <t>solar curtailment:</t>
  </si>
  <si>
    <t>total:</t>
  </si>
  <si>
    <t>Summary</t>
  </si>
  <si>
    <t>Total Green Energy curtailment:</t>
  </si>
  <si>
    <t>Total Wind Energy Curtailment:</t>
  </si>
  <si>
    <t>Total Green Capacity:</t>
  </si>
  <si>
    <t>Combined Heat &amp; Power</t>
  </si>
  <si>
    <t>Gas Engine</t>
  </si>
  <si>
    <t>Geothermal</t>
  </si>
  <si>
    <t>Marine Energy</t>
  </si>
  <si>
    <t>Line</t>
  </si>
  <si>
    <t>Electrolysis</t>
  </si>
  <si>
    <t>H2 Power Generation</t>
  </si>
  <si>
    <t>Domestic Battery Storage</t>
  </si>
  <si>
    <t>Liquid Air Energy Storage</t>
  </si>
  <si>
    <t>Hydrogen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</si>
</sst>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1" fontId="0" fillId="0" borderId="0" xfId="0" applyNumberFormat="1"/>
    <xf numFmtId="11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5" xfId="0" applyBorder="1"/>
    <xf numFmtId="11" fontId="0" fillId="0" borderId="6" xfId="0" applyNumberFormat="1" applyBorder="1"/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2E32-7E17-D640-8808-61170EE7E9D2}">
  <dimension ref="A1:N41"/>
  <sheetViews>
    <sheetView workbookViewId="0">
      <selection activeCell="G15" sqref="G15"/>
    </sheetView>
  </sheetViews>
  <sheetFormatPr baseColWidth="10" defaultColWidth="16" defaultRowHeight="16" x14ac:dyDescent="0.2"/>
  <cols>
    <col min="1" max="1" width="8.5" customWidth="1"/>
    <col min="2" max="2" width="19.5" customWidth="1"/>
    <col min="3" max="3" width="21.33203125" customWidth="1"/>
    <col min="4" max="4" width="22.6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4">
        <v>372.43929000000003</v>
      </c>
      <c r="D2" s="4">
        <v>372.43929000000003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804841.3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4">
        <v>1642.8915400000001</v>
      </c>
      <c r="D3" s="4">
        <v>1642.8915400000001</v>
      </c>
      <c r="E3" s="3">
        <v>85418.8</v>
      </c>
      <c r="F3" s="3">
        <v>0</v>
      </c>
      <c r="G3" s="3">
        <v>85418.8</v>
      </c>
      <c r="H3" s="3">
        <v>0</v>
      </c>
      <c r="I3" s="4">
        <v>2.4060000000000002E-2</v>
      </c>
      <c r="J3" s="3">
        <v>3464870</v>
      </c>
      <c r="K3" s="4">
        <v>0</v>
      </c>
      <c r="L3" s="3">
        <v>6918923</v>
      </c>
      <c r="M3" s="3">
        <v>7517720</v>
      </c>
      <c r="N3" s="4">
        <v>88.010132999999996</v>
      </c>
    </row>
    <row r="4" spans="1:14" x14ac:dyDescent="0.2">
      <c r="A4" s="11"/>
      <c r="B4" s="1" t="s">
        <v>15</v>
      </c>
      <c r="C4" s="4">
        <v>9185.8067100000007</v>
      </c>
      <c r="D4" s="4">
        <v>9185.8067100000007</v>
      </c>
      <c r="E4" s="3">
        <v>85440.26</v>
      </c>
      <c r="F4" s="3">
        <v>0</v>
      </c>
      <c r="G4" s="3">
        <v>85440.26</v>
      </c>
      <c r="H4" s="3">
        <v>0</v>
      </c>
      <c r="I4" s="4">
        <v>4.3039999999999997E-3</v>
      </c>
      <c r="J4" s="3">
        <v>19765090</v>
      </c>
      <c r="K4" s="4">
        <v>0</v>
      </c>
      <c r="L4" s="3">
        <v>7689623</v>
      </c>
      <c r="M4" s="3">
        <v>7699660</v>
      </c>
      <c r="N4" s="4">
        <v>90.117469999999997</v>
      </c>
    </row>
    <row r="5" spans="1:14" ht="30" x14ac:dyDescent="0.2">
      <c r="A5" s="11"/>
      <c r="B5" s="1" t="s">
        <v>16</v>
      </c>
      <c r="C5" s="4">
        <v>23586</v>
      </c>
      <c r="D5" s="4">
        <v>23586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50969350</v>
      </c>
      <c r="K5" s="4">
        <v>0</v>
      </c>
      <c r="L5" s="3">
        <v>0</v>
      </c>
      <c r="M5" s="3">
        <v>0</v>
      </c>
      <c r="N5" s="4" t="s">
        <v>21</v>
      </c>
    </row>
    <row r="6" spans="1:14" x14ac:dyDescent="0.2">
      <c r="A6" s="11"/>
      <c r="B6" s="1" t="s">
        <v>50</v>
      </c>
      <c r="C6" s="4">
        <v>3534.0360000000001</v>
      </c>
      <c r="D6" s="4">
        <v>3534.0360000000001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7637052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4">
        <v>13695</v>
      </c>
      <c r="D7" s="4">
        <v>13695</v>
      </c>
      <c r="E7" s="3">
        <v>13026890</v>
      </c>
      <c r="F7" s="3">
        <v>0</v>
      </c>
      <c r="G7" s="3">
        <v>13026890</v>
      </c>
      <c r="H7" s="3">
        <v>0</v>
      </c>
      <c r="I7" s="4">
        <v>0.44017400000000001</v>
      </c>
      <c r="J7" s="3">
        <v>16568000</v>
      </c>
      <c r="K7" s="4">
        <v>0</v>
      </c>
      <c r="L7" s="3">
        <v>152412600</v>
      </c>
      <c r="M7" s="3">
        <v>152412600</v>
      </c>
      <c r="N7" s="4">
        <v>11.699846000000001</v>
      </c>
    </row>
    <row r="8" spans="1:14" x14ac:dyDescent="0.2">
      <c r="A8" s="11"/>
      <c r="B8" s="1" t="s">
        <v>51</v>
      </c>
      <c r="C8" s="4">
        <v>4067.2939999999999</v>
      </c>
      <c r="D8" s="4">
        <v>4067.2939999999999</v>
      </c>
      <c r="E8" s="3">
        <v>0</v>
      </c>
      <c r="F8" s="3">
        <v>0</v>
      </c>
      <c r="G8" s="3">
        <v>0</v>
      </c>
      <c r="H8" s="3">
        <v>0</v>
      </c>
      <c r="I8" s="4">
        <v>0</v>
      </c>
      <c r="J8" s="3">
        <v>8789422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4">
        <v>11</v>
      </c>
      <c r="D9" s="4">
        <v>11</v>
      </c>
      <c r="E9" s="3">
        <v>8521.7710000000006</v>
      </c>
      <c r="F9" s="3">
        <v>0</v>
      </c>
      <c r="G9" s="3">
        <v>8521.7710000000006</v>
      </c>
      <c r="H9" s="3">
        <v>0</v>
      </c>
      <c r="I9" s="4">
        <v>0.35849500000000001</v>
      </c>
      <c r="J9" s="3">
        <v>15249.23</v>
      </c>
      <c r="K9" s="4">
        <v>0</v>
      </c>
      <c r="L9" s="3">
        <v>106181.3</v>
      </c>
      <c r="M9" s="3">
        <v>433146.6</v>
      </c>
      <c r="N9" s="4">
        <v>50.828226000000001</v>
      </c>
    </row>
    <row r="10" spans="1:14" x14ac:dyDescent="0.2">
      <c r="A10" s="11"/>
      <c r="B10" s="1" t="s">
        <v>18</v>
      </c>
      <c r="C10" s="4">
        <v>834.51107000000002</v>
      </c>
      <c r="D10" s="4">
        <v>834.51107000000002</v>
      </c>
      <c r="E10" s="3">
        <v>364850.6</v>
      </c>
      <c r="F10" s="3">
        <v>0</v>
      </c>
      <c r="G10" s="3">
        <v>364850.6</v>
      </c>
      <c r="H10" s="3">
        <v>0</v>
      </c>
      <c r="I10" s="4">
        <v>0.20231499999999999</v>
      </c>
      <c r="J10" s="3">
        <v>1438528</v>
      </c>
      <c r="K10" s="4">
        <v>0</v>
      </c>
      <c r="L10" s="3">
        <v>19701930</v>
      </c>
      <c r="M10" s="3">
        <v>27639280</v>
      </c>
      <c r="N10" s="4">
        <v>75.755048000000002</v>
      </c>
    </row>
    <row r="11" spans="1:14" x14ac:dyDescent="0.2">
      <c r="A11" s="11"/>
      <c r="B11" s="1" t="s">
        <v>19</v>
      </c>
      <c r="C11" s="4">
        <v>1897.296</v>
      </c>
      <c r="D11" s="4">
        <v>1897.296</v>
      </c>
      <c r="E11" s="3">
        <v>1404235</v>
      </c>
      <c r="F11" s="3">
        <v>0</v>
      </c>
      <c r="G11" s="3">
        <v>1404235</v>
      </c>
      <c r="H11" s="3">
        <v>0</v>
      </c>
      <c r="I11" s="4">
        <v>0.34249200000000002</v>
      </c>
      <c r="J11" s="3">
        <v>235788</v>
      </c>
      <c r="K11" s="4">
        <v>0</v>
      </c>
      <c r="L11" s="3">
        <v>0</v>
      </c>
      <c r="M11" s="3">
        <v>32263980</v>
      </c>
      <c r="N11" s="4">
        <v>22.976203999999999</v>
      </c>
    </row>
    <row r="12" spans="1:14" x14ac:dyDescent="0.2">
      <c r="A12" s="11"/>
      <c r="B12" s="1" t="s">
        <v>20</v>
      </c>
      <c r="C12" s="4">
        <v>48629.190949999997</v>
      </c>
      <c r="D12" s="4">
        <v>48629.190949999997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49149160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4">
        <v>254.358</v>
      </c>
      <c r="D13" s="4">
        <v>254.358</v>
      </c>
      <c r="E13" s="3">
        <v>232093.9</v>
      </c>
      <c r="F13" s="3">
        <v>0</v>
      </c>
      <c r="G13" s="3">
        <v>232093.9</v>
      </c>
      <c r="H13" s="3">
        <v>0</v>
      </c>
      <c r="I13" s="4">
        <v>0.42224400000000001</v>
      </c>
      <c r="J13" s="3">
        <v>30537.81</v>
      </c>
      <c r="K13" s="4">
        <v>0</v>
      </c>
      <c r="L13" s="3">
        <v>0</v>
      </c>
      <c r="M13" s="3">
        <v>5266132</v>
      </c>
      <c r="N13" s="4">
        <v>22.689667</v>
      </c>
    </row>
    <row r="14" spans="1:14" x14ac:dyDescent="0.2">
      <c r="A14" s="11"/>
      <c r="B14" s="1" t="s">
        <v>22</v>
      </c>
      <c r="C14" s="4">
        <v>4570</v>
      </c>
      <c r="D14" s="4">
        <v>4570</v>
      </c>
      <c r="E14" s="3">
        <v>5626717</v>
      </c>
      <c r="F14" s="3">
        <v>0</v>
      </c>
      <c r="G14" s="3">
        <v>5626717</v>
      </c>
      <c r="H14" s="3">
        <v>0</v>
      </c>
      <c r="I14" s="4">
        <v>0.56974999999999998</v>
      </c>
      <c r="J14" s="3">
        <v>4249053</v>
      </c>
      <c r="K14" s="4">
        <v>0</v>
      </c>
      <c r="L14" s="3">
        <v>56267170</v>
      </c>
      <c r="M14" s="3">
        <v>214206800</v>
      </c>
      <c r="N14" s="4">
        <v>38.069589999999998</v>
      </c>
    </row>
    <row r="15" spans="1:14" x14ac:dyDescent="0.2">
      <c r="A15" s="11"/>
      <c r="B15" s="1" t="s">
        <v>23</v>
      </c>
      <c r="C15" s="4">
        <v>53544.201999999997</v>
      </c>
      <c r="D15" s="4">
        <v>53544.201999999997</v>
      </c>
      <c r="E15" s="3">
        <v>26668840</v>
      </c>
      <c r="F15" s="3">
        <v>0</v>
      </c>
      <c r="G15" s="3">
        <v>26668840</v>
      </c>
      <c r="H15" s="3">
        <v>0</v>
      </c>
      <c r="I15" s="4">
        <v>0.23048199999999999</v>
      </c>
      <c r="J15" s="3">
        <v>3484208</v>
      </c>
      <c r="K15" s="4">
        <v>0</v>
      </c>
      <c r="L15" s="3">
        <v>0</v>
      </c>
      <c r="M15" s="3">
        <v>257732900</v>
      </c>
      <c r="N15" s="4">
        <v>9.6641969999999997</v>
      </c>
    </row>
    <row r="16" spans="1:14" x14ac:dyDescent="0.2">
      <c r="A16" s="11"/>
      <c r="B16" s="1" t="s">
        <v>24</v>
      </c>
      <c r="C16" s="4">
        <v>78.5</v>
      </c>
      <c r="D16" s="4">
        <v>78.5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169638.5</v>
      </c>
      <c r="K16" s="4">
        <v>0</v>
      </c>
      <c r="L16" s="3">
        <v>0</v>
      </c>
      <c r="M16" s="3">
        <v>0</v>
      </c>
      <c r="N16" s="4" t="s">
        <v>21</v>
      </c>
    </row>
    <row r="17" spans="1:14" ht="30" customHeight="1" x14ac:dyDescent="0.2">
      <c r="A17" s="11"/>
      <c r="B17" s="1" t="s">
        <v>25</v>
      </c>
      <c r="C17" s="4">
        <v>27270.741000000002</v>
      </c>
      <c r="D17" s="4">
        <v>27270.741000000002</v>
      </c>
      <c r="E17" s="3">
        <v>10533100</v>
      </c>
      <c r="F17" s="3">
        <v>0</v>
      </c>
      <c r="G17" s="3">
        <v>10533100</v>
      </c>
      <c r="H17" s="3">
        <v>0</v>
      </c>
      <c r="I17" s="4">
        <v>0.178733</v>
      </c>
      <c r="J17" s="3">
        <v>2551513</v>
      </c>
      <c r="K17" s="4">
        <v>0</v>
      </c>
      <c r="L17" s="3">
        <v>0</v>
      </c>
      <c r="M17" s="3">
        <v>91529850</v>
      </c>
      <c r="N17" s="4">
        <v>8.6897319999999993</v>
      </c>
    </row>
    <row r="18" spans="1:14" x14ac:dyDescent="0.2">
      <c r="A18" s="11"/>
      <c r="B18" s="1" t="s">
        <v>26</v>
      </c>
      <c r="C18" s="4">
        <v>3662.89</v>
      </c>
      <c r="D18" s="4">
        <v>3662.89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7915505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4">
        <v>55.819389999999999</v>
      </c>
      <c r="D19" s="4">
        <v>55.819389999999999</v>
      </c>
      <c r="E19" s="3">
        <v>20206.62</v>
      </c>
      <c r="F19" s="3">
        <v>0</v>
      </c>
      <c r="G19" s="3">
        <v>20206.62</v>
      </c>
      <c r="H19" s="3">
        <v>0</v>
      </c>
      <c r="I19" s="4">
        <v>0.167515</v>
      </c>
      <c r="J19" s="3">
        <v>100419.1</v>
      </c>
      <c r="K19" s="4">
        <v>0</v>
      </c>
      <c r="L19" s="3">
        <v>1273017</v>
      </c>
      <c r="M19" s="3">
        <v>1607241</v>
      </c>
      <c r="N19" s="4">
        <v>79.540300999999999</v>
      </c>
    </row>
    <row r="20" spans="1:14" x14ac:dyDescent="0.2">
      <c r="A20" s="11"/>
      <c r="B20" s="1" t="s">
        <v>28</v>
      </c>
      <c r="C20" s="4">
        <v>40470.421999999999</v>
      </c>
      <c r="D20" s="4">
        <v>40470.421999999999</v>
      </c>
      <c r="E20" s="3">
        <v>17678090</v>
      </c>
      <c r="F20" s="3">
        <v>0</v>
      </c>
      <c r="G20" s="3">
        <v>17678090</v>
      </c>
      <c r="H20" s="3">
        <v>0</v>
      </c>
      <c r="I20" s="4">
        <v>0.20213600000000001</v>
      </c>
      <c r="J20" s="3">
        <v>1033801</v>
      </c>
      <c r="K20" s="4">
        <v>0</v>
      </c>
      <c r="L20" s="3">
        <v>0</v>
      </c>
      <c r="M20" s="3">
        <v>279542600</v>
      </c>
      <c r="N20" s="4">
        <v>15.812937</v>
      </c>
    </row>
    <row r="21" spans="1:14" x14ac:dyDescent="0.2">
      <c r="A21" s="12"/>
      <c r="B21" s="1" t="s">
        <v>29</v>
      </c>
      <c r="C21" s="4">
        <v>4643.1779999999999</v>
      </c>
      <c r="D21" s="4">
        <v>4643.1779999999999</v>
      </c>
      <c r="E21" s="3">
        <v>821024.7</v>
      </c>
      <c r="F21" s="3">
        <v>0</v>
      </c>
      <c r="G21" s="3">
        <v>821024.7</v>
      </c>
      <c r="H21" s="3">
        <v>0</v>
      </c>
      <c r="I21" s="4">
        <v>8.1824999999999995E-2</v>
      </c>
      <c r="J21" s="3">
        <v>9212883</v>
      </c>
      <c r="K21" s="4">
        <v>0</v>
      </c>
      <c r="L21" s="3">
        <v>62069470</v>
      </c>
      <c r="M21" s="3">
        <v>66734600</v>
      </c>
      <c r="N21" s="4">
        <v>81.282087000000004</v>
      </c>
    </row>
    <row r="22" spans="1:14" x14ac:dyDescent="0.2">
      <c r="A22" s="1" t="s">
        <v>54</v>
      </c>
      <c r="B22" s="1" t="s">
        <v>31</v>
      </c>
      <c r="C22" s="4">
        <v>230800</v>
      </c>
      <c r="D22" s="4">
        <v>230800</v>
      </c>
      <c r="E22" s="3">
        <v>58144780</v>
      </c>
      <c r="F22" s="3">
        <v>23306440</v>
      </c>
      <c r="G22" s="3">
        <v>34838340</v>
      </c>
      <c r="H22" s="3">
        <v>-34838340</v>
      </c>
      <c r="I22" s="4">
        <v>0.16330800000000001</v>
      </c>
      <c r="J22" s="3">
        <v>0</v>
      </c>
      <c r="K22" s="4">
        <v>0</v>
      </c>
      <c r="L22" s="3">
        <v>0</v>
      </c>
      <c r="M22" s="3">
        <v>1059388000</v>
      </c>
      <c r="N22" s="4">
        <v>13.006406999999999</v>
      </c>
    </row>
    <row r="23" spans="1:14" x14ac:dyDescent="0.2">
      <c r="A23" s="10" t="s">
        <v>30</v>
      </c>
      <c r="B23" s="1" t="s">
        <v>32</v>
      </c>
      <c r="C23" s="4">
        <v>12450</v>
      </c>
      <c r="D23" s="4">
        <v>12450</v>
      </c>
      <c r="E23" s="3">
        <v>16516330</v>
      </c>
      <c r="F23" s="3">
        <v>3155413</v>
      </c>
      <c r="G23" s="3">
        <v>13360920</v>
      </c>
      <c r="H23" s="3">
        <v>-13360920</v>
      </c>
      <c r="I23" s="4">
        <v>0.73117100000000002</v>
      </c>
      <c r="J23" s="3">
        <v>40265370</v>
      </c>
      <c r="K23" s="4">
        <v>0</v>
      </c>
      <c r="L23" s="3">
        <v>0</v>
      </c>
      <c r="M23" s="3">
        <v>541347400</v>
      </c>
      <c r="N23" s="4">
        <v>27.519036</v>
      </c>
    </row>
    <row r="24" spans="1:14" x14ac:dyDescent="0.2">
      <c r="A24" s="11"/>
      <c r="B24" s="1" t="s">
        <v>55</v>
      </c>
      <c r="C24" s="4">
        <v>3653.0947500000002</v>
      </c>
      <c r="D24" s="4">
        <v>3653.0947500000002</v>
      </c>
      <c r="E24" s="3">
        <v>0</v>
      </c>
      <c r="F24" s="3">
        <v>259209.5</v>
      </c>
      <c r="G24" s="3">
        <v>-259209.5</v>
      </c>
      <c r="H24" s="3">
        <v>0</v>
      </c>
      <c r="I24" s="4">
        <v>3.2835000000000003E-2</v>
      </c>
      <c r="J24" s="3">
        <v>7635128</v>
      </c>
      <c r="K24" s="4">
        <v>0</v>
      </c>
      <c r="L24" s="3">
        <v>0</v>
      </c>
      <c r="M24" s="3">
        <v>108.7401</v>
      </c>
      <c r="N24" s="4">
        <v>4.2000000000000002E-4</v>
      </c>
    </row>
    <row r="25" spans="1:14" x14ac:dyDescent="0.2">
      <c r="A25" s="12"/>
      <c r="B25" s="1" t="s">
        <v>56</v>
      </c>
      <c r="C25" s="4">
        <v>278.38099999999997</v>
      </c>
      <c r="D25" s="4">
        <v>278.38099999999997</v>
      </c>
      <c r="E25" s="3">
        <v>0</v>
      </c>
      <c r="F25" s="3">
        <v>176047.8</v>
      </c>
      <c r="G25" s="3">
        <v>-176047.8</v>
      </c>
      <c r="H25" s="3">
        <v>0</v>
      </c>
      <c r="I25" s="4">
        <v>0.29264200000000001</v>
      </c>
      <c r="J25" s="3">
        <v>425533.5</v>
      </c>
      <c r="K25" s="4">
        <v>0</v>
      </c>
      <c r="L25" s="3">
        <v>880239</v>
      </c>
      <c r="M25" s="3">
        <v>0</v>
      </c>
      <c r="N25" s="4" t="s">
        <v>21</v>
      </c>
    </row>
    <row r="26" spans="1:14" x14ac:dyDescent="0.2">
      <c r="A26" s="10" t="s">
        <v>34</v>
      </c>
      <c r="B26" s="1" t="s">
        <v>35</v>
      </c>
      <c r="C26" s="4">
        <v>0</v>
      </c>
      <c r="D26" s="4">
        <v>0</v>
      </c>
      <c r="E26" s="3">
        <v>0</v>
      </c>
      <c r="F26" s="3">
        <v>24146030</v>
      </c>
      <c r="G26" s="3">
        <v>-24146030</v>
      </c>
      <c r="H26" s="3">
        <v>0</v>
      </c>
      <c r="I26" s="4" t="s">
        <v>21</v>
      </c>
      <c r="J26" s="3">
        <v>0</v>
      </c>
      <c r="K26" s="4">
        <v>0</v>
      </c>
      <c r="L26" s="3">
        <v>0</v>
      </c>
      <c r="M26" s="3">
        <v>-555212400</v>
      </c>
      <c r="N26" s="4">
        <v>-22.993942000000001</v>
      </c>
    </row>
    <row r="27" spans="1:14" x14ac:dyDescent="0.2">
      <c r="A27" s="12"/>
      <c r="B27" s="1" t="s">
        <v>36</v>
      </c>
      <c r="C27" s="4">
        <v>0</v>
      </c>
      <c r="D27" s="4">
        <v>0</v>
      </c>
      <c r="E27" s="3">
        <v>0</v>
      </c>
      <c r="F27" s="3">
        <v>49149160</v>
      </c>
      <c r="G27" s="3">
        <v>-49149160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-1095053000</v>
      </c>
      <c r="N27" s="4">
        <v>-22.280194999999999</v>
      </c>
    </row>
    <row r="28" spans="1:14" ht="16" customHeight="1" x14ac:dyDescent="0.2">
      <c r="A28" s="10" t="s">
        <v>37</v>
      </c>
      <c r="B28" s="1" t="s">
        <v>38</v>
      </c>
      <c r="C28" s="4">
        <v>26471.973000000002</v>
      </c>
      <c r="D28" s="4">
        <v>26471.973000000002</v>
      </c>
      <c r="E28" s="3">
        <v>3136299</v>
      </c>
      <c r="F28" s="3">
        <v>5223684</v>
      </c>
      <c r="G28" s="3">
        <v>-2087385</v>
      </c>
      <c r="H28" s="3">
        <v>0</v>
      </c>
      <c r="I28" s="4">
        <v>0.14613799999999999</v>
      </c>
      <c r="J28" s="3">
        <v>59293320</v>
      </c>
      <c r="K28" s="4">
        <v>0</v>
      </c>
      <c r="L28" s="3">
        <v>0</v>
      </c>
      <c r="M28" s="3">
        <v>49443210</v>
      </c>
      <c r="N28" s="4">
        <v>5.9142720000000004</v>
      </c>
    </row>
    <row r="29" spans="1:14" x14ac:dyDescent="0.2">
      <c r="A29" s="11"/>
      <c r="B29" s="1" t="s">
        <v>57</v>
      </c>
      <c r="C29" s="4">
        <v>857.70799999999997</v>
      </c>
      <c r="D29" s="4">
        <v>857.70799999999997</v>
      </c>
      <c r="E29" s="3">
        <v>129277.2</v>
      </c>
      <c r="F29" s="3">
        <v>208800</v>
      </c>
      <c r="G29" s="3">
        <v>-79522.820000000007</v>
      </c>
      <c r="H29" s="3">
        <v>0</v>
      </c>
      <c r="I29" s="4">
        <v>0.18239900000000001</v>
      </c>
      <c r="J29" s="3">
        <v>1933030</v>
      </c>
      <c r="K29" s="4">
        <v>0</v>
      </c>
      <c r="L29" s="3">
        <v>0</v>
      </c>
      <c r="M29" s="3">
        <v>1670987</v>
      </c>
      <c r="N29" s="4">
        <v>4.9426189999999997</v>
      </c>
    </row>
    <row r="30" spans="1:14" x14ac:dyDescent="0.2">
      <c r="A30" s="11"/>
      <c r="B30" s="1" t="s">
        <v>58</v>
      </c>
      <c r="C30" s="4">
        <v>457.99400000000003</v>
      </c>
      <c r="D30" s="4">
        <v>457.99400000000003</v>
      </c>
      <c r="E30" s="3">
        <v>33277.5</v>
      </c>
      <c r="F30" s="3">
        <v>161785.4</v>
      </c>
      <c r="G30" s="3">
        <v>-128507.9</v>
      </c>
      <c r="H30" s="3">
        <v>0</v>
      </c>
      <c r="I30" s="4">
        <v>0.19708800000000001</v>
      </c>
      <c r="J30" s="3">
        <v>1118233</v>
      </c>
      <c r="K30" s="4">
        <v>0</v>
      </c>
      <c r="L30" s="3">
        <v>0</v>
      </c>
      <c r="M30" s="3">
        <v>1323956</v>
      </c>
      <c r="N30" s="4">
        <v>6.7873279999999996</v>
      </c>
    </row>
    <row r="31" spans="1:14" ht="30" x14ac:dyDescent="0.2">
      <c r="A31" s="12"/>
      <c r="B31" s="1" t="s">
        <v>39</v>
      </c>
      <c r="C31" s="4">
        <v>5300</v>
      </c>
      <c r="D31" s="4">
        <v>5300</v>
      </c>
      <c r="E31" s="3">
        <v>943635.9</v>
      </c>
      <c r="F31" s="3">
        <v>2071311</v>
      </c>
      <c r="G31" s="3">
        <v>-1127675</v>
      </c>
      <c r="H31" s="3">
        <v>0</v>
      </c>
      <c r="I31" s="4">
        <v>0.26323800000000003</v>
      </c>
      <c r="J31" s="3">
        <v>12580970</v>
      </c>
      <c r="K31" s="4">
        <v>0</v>
      </c>
      <c r="L31" s="3">
        <v>0</v>
      </c>
      <c r="M31" s="3">
        <v>28489080</v>
      </c>
      <c r="N31" s="4">
        <v>9.4492829999999994</v>
      </c>
    </row>
    <row r="32" spans="1:14" x14ac:dyDescent="0.2">
      <c r="A32" s="1" t="s">
        <v>41</v>
      </c>
      <c r="B32" s="1" t="s">
        <v>59</v>
      </c>
      <c r="C32" s="4">
        <v>46768.008000000002</v>
      </c>
      <c r="D32" s="4">
        <v>46768.008000000002</v>
      </c>
      <c r="E32" s="3">
        <v>171300.7</v>
      </c>
      <c r="F32" s="3">
        <v>176699.6</v>
      </c>
      <c r="G32" s="3">
        <v>-5398.8739999999998</v>
      </c>
      <c r="H32" s="3">
        <v>0</v>
      </c>
      <c r="I32" s="4">
        <v>0.53419499999999998</v>
      </c>
      <c r="J32" s="3">
        <v>0</v>
      </c>
      <c r="K32" s="4">
        <v>0</v>
      </c>
      <c r="L32" s="3">
        <v>0</v>
      </c>
      <c r="M32" s="3">
        <v>0</v>
      </c>
      <c r="N32" s="4" t="s">
        <v>21</v>
      </c>
    </row>
    <row r="33" spans="1:14" x14ac:dyDescent="0.2">
      <c r="I33" s="9" t="s">
        <v>42</v>
      </c>
      <c r="J33" s="7">
        <f>SUM(J2:J30)</f>
        <v>298255523.44</v>
      </c>
      <c r="K33" s="5" t="s">
        <v>45</v>
      </c>
      <c r="L33" s="2">
        <f>SUM(L1:L30)</f>
        <v>307319153.30000001</v>
      </c>
      <c r="M33" s="2">
        <f>SUM(M1:M30)</f>
        <v>1147494771.3400998</v>
      </c>
      <c r="N33" s="2">
        <f>SUM(N1:N30)</f>
        <v>608.03138300000001</v>
      </c>
    </row>
    <row r="34" spans="1:14" x14ac:dyDescent="0.2">
      <c r="I34" s="8" t="s">
        <v>43</v>
      </c>
      <c r="J34" s="2">
        <f>SUM(J15,J17)</f>
        <v>6035721</v>
      </c>
    </row>
    <row r="35" spans="1:14" x14ac:dyDescent="0.2">
      <c r="I35" s="8" t="s">
        <v>44</v>
      </c>
      <c r="J35" s="2">
        <f>SUM(J20)</f>
        <v>1033801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SUMIFS($D$2:$D$34,$B$2:$B$34, "Solar PV")+SUMIFS($D$2:$D$34,$B$2:$B$34, "Offshore Wind")+SUMIFS($D$2:$D$34,$B$2:$B$34, "Onshore Wind")+SUMIFS($D$2:$D$34,$B$2:$B$34, "Sewage Gas")</f>
        <v>121341.18438999999</v>
      </c>
    </row>
    <row r="40" spans="1:14" x14ac:dyDescent="0.2">
      <c r="A40" t="s">
        <v>47</v>
      </c>
      <c r="C40" s="2">
        <f>SUMIFS($J$2:$J$34,$B$2:$B$34, "Solar PV")+SUMIFS($J$2:$J$34,$B$2:$B$34, "Offshore Wind")+SUMIFS($J$2:$J$34,$B$2:$B$34, "Onshore Wind")+SUMIFS($J$2:$J$34,$B$2:$B$34, "Sewage Gas")</f>
        <v>7169941.0999999996</v>
      </c>
    </row>
    <row r="41" spans="1:14" x14ac:dyDescent="0.2">
      <c r="A41" t="s">
        <v>48</v>
      </c>
      <c r="C41" s="2">
        <f>SUMIFS($J$2:$J$34,$B$2:$B$34, "Offshore Wind")+SUMIFS($J$2:$J$34,$B$2:$B$34, "Onshore Wind")</f>
        <v>6035721</v>
      </c>
    </row>
  </sheetData>
  <autoFilter ref="A1:N35" xr:uid="{F4972E32-7E17-D640-8808-61170EE7E9D2}"/>
  <mergeCells count="4">
    <mergeCell ref="A2:A21"/>
    <mergeCell ref="A23:A25"/>
    <mergeCell ref="A26:A27"/>
    <mergeCell ref="A28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F803-EC4E-F842-B68E-528EC71F1DE9}">
  <dimension ref="A1:N41"/>
  <sheetViews>
    <sheetView topLeftCell="A11" workbookViewId="0">
      <selection sqref="A1:N34"/>
    </sheetView>
  </sheetViews>
  <sheetFormatPr baseColWidth="10" defaultRowHeight="16" x14ac:dyDescent="0.2"/>
  <cols>
    <col min="2" max="2" width="16.1640625" customWidth="1"/>
    <col min="3" max="3" width="19.1640625" customWidth="1"/>
    <col min="4" max="4" width="14.6640625" customWidth="1"/>
    <col min="5" max="5" width="13.5" customWidth="1"/>
    <col min="6" max="6" width="14.83203125" customWidth="1"/>
    <col min="7" max="7" width="14.6640625" customWidth="1"/>
    <col min="8" max="8" width="18.6640625" customWidth="1"/>
    <col min="9" max="9" width="20.33203125" customWidth="1"/>
    <col min="10" max="10" width="18.1640625" customWidth="1"/>
    <col min="11" max="11" width="17.5" customWidth="1"/>
    <col min="12" max="12" width="24.5" customWidth="1"/>
    <col min="13" max="13" width="17.5" customWidth="1"/>
    <col min="14" max="14" width="18.1640625" customWidth="1"/>
  </cols>
  <sheetData>
    <row r="1" spans="1:14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804841.3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68573.100000000006</v>
      </c>
      <c r="F3" s="3">
        <v>0</v>
      </c>
      <c r="G3" s="3">
        <v>68573.100000000006</v>
      </c>
      <c r="H3" s="3">
        <v>0</v>
      </c>
      <c r="I3" s="4">
        <v>1.9314999999999999E-2</v>
      </c>
      <c r="J3" s="3">
        <v>3481716</v>
      </c>
      <c r="K3" s="4">
        <v>0</v>
      </c>
      <c r="L3" s="3">
        <v>5554421</v>
      </c>
      <c r="M3" s="3">
        <v>5968617</v>
      </c>
      <c r="N3" s="4">
        <v>87.040194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42005.39</v>
      </c>
      <c r="F4" s="3">
        <v>0</v>
      </c>
      <c r="G4" s="3">
        <v>42005.39</v>
      </c>
      <c r="H4" s="3">
        <v>0</v>
      </c>
      <c r="I4" s="4">
        <v>2.1159999999999998E-3</v>
      </c>
      <c r="J4" s="3">
        <v>19808520</v>
      </c>
      <c r="K4" s="4">
        <v>0</v>
      </c>
      <c r="L4" s="3">
        <v>3780485</v>
      </c>
      <c r="M4" s="3">
        <v>3786102</v>
      </c>
      <c r="N4" s="4">
        <v>90.133731999999995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50969350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7637052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12901690</v>
      </c>
      <c r="F7" s="3">
        <v>0</v>
      </c>
      <c r="G7" s="3">
        <v>12901690</v>
      </c>
      <c r="H7" s="3">
        <v>0</v>
      </c>
      <c r="I7" s="4">
        <v>0.43594300000000002</v>
      </c>
      <c r="J7" s="3">
        <v>16693210</v>
      </c>
      <c r="K7" s="4">
        <v>0</v>
      </c>
      <c r="L7" s="3">
        <v>149907900</v>
      </c>
      <c r="M7" s="3">
        <v>149907900</v>
      </c>
      <c r="N7" s="4">
        <v>11.619244999999999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4">
        <v>0</v>
      </c>
      <c r="J8" s="3">
        <v>8789422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8262.7039999999997</v>
      </c>
      <c r="F9" s="3">
        <v>0</v>
      </c>
      <c r="G9" s="3">
        <v>8262.7039999999997</v>
      </c>
      <c r="H9" s="3">
        <v>0</v>
      </c>
      <c r="I9" s="4">
        <v>0.34759600000000002</v>
      </c>
      <c r="J9" s="3">
        <v>15508.3</v>
      </c>
      <c r="K9" s="4">
        <v>0</v>
      </c>
      <c r="L9" s="3">
        <v>102953.3</v>
      </c>
      <c r="M9" s="3">
        <v>413255.9</v>
      </c>
      <c r="N9" s="4">
        <v>50.014549000000002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330083.5</v>
      </c>
      <c r="F10" s="3">
        <v>0</v>
      </c>
      <c r="G10" s="3">
        <v>330083.5</v>
      </c>
      <c r="H10" s="3">
        <v>0</v>
      </c>
      <c r="I10" s="4">
        <v>0.183036</v>
      </c>
      <c r="J10" s="3">
        <v>1473295</v>
      </c>
      <c r="K10" s="4">
        <v>0</v>
      </c>
      <c r="L10" s="3">
        <v>17824510</v>
      </c>
      <c r="M10" s="3">
        <v>24817310</v>
      </c>
      <c r="N10" s="4">
        <v>75.184949000000003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1400001</v>
      </c>
      <c r="F11" s="3">
        <v>0</v>
      </c>
      <c r="G11" s="3">
        <v>1400001</v>
      </c>
      <c r="H11" s="3">
        <v>0</v>
      </c>
      <c r="I11" s="4">
        <v>0.34145900000000001</v>
      </c>
      <c r="J11" s="3">
        <v>240021.6</v>
      </c>
      <c r="K11" s="4">
        <v>0</v>
      </c>
      <c r="L11" s="3">
        <v>0</v>
      </c>
      <c r="M11" s="3">
        <v>31177280</v>
      </c>
      <c r="N11" s="4">
        <v>22.269470999999999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49149160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231702.2</v>
      </c>
      <c r="F13" s="3">
        <v>0</v>
      </c>
      <c r="G13" s="3">
        <v>231702.2</v>
      </c>
      <c r="H13" s="3">
        <v>0</v>
      </c>
      <c r="I13" s="4">
        <v>0.42153099999999999</v>
      </c>
      <c r="J13" s="3">
        <v>30929.51</v>
      </c>
      <c r="K13" s="4">
        <v>0</v>
      </c>
      <c r="L13" s="3">
        <v>0</v>
      </c>
      <c r="M13" s="3">
        <v>5100602</v>
      </c>
      <c r="N13" s="4">
        <v>22.013612999999999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5669509</v>
      </c>
      <c r="F14" s="3">
        <v>0</v>
      </c>
      <c r="G14" s="3">
        <v>5669509</v>
      </c>
      <c r="H14" s="3">
        <v>0</v>
      </c>
      <c r="I14" s="4">
        <v>0.57408300000000001</v>
      </c>
      <c r="J14" s="3">
        <v>4206261</v>
      </c>
      <c r="K14" s="4">
        <v>0</v>
      </c>
      <c r="L14" s="3">
        <v>56695090</v>
      </c>
      <c r="M14" s="3">
        <v>205406900</v>
      </c>
      <c r="N14" s="4">
        <v>36.230100999999998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26790790</v>
      </c>
      <c r="F15" s="3">
        <v>0</v>
      </c>
      <c r="G15" s="3">
        <v>26790790</v>
      </c>
      <c r="H15" s="3">
        <v>0</v>
      </c>
      <c r="I15" s="4">
        <v>0.23153599999999999</v>
      </c>
      <c r="J15" s="3">
        <v>3362251</v>
      </c>
      <c r="K15" s="4">
        <v>0</v>
      </c>
      <c r="L15" s="3">
        <v>0</v>
      </c>
      <c r="M15" s="3">
        <v>249948300</v>
      </c>
      <c r="N15" s="4">
        <v>9.3296340000000004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169638.5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10591470</v>
      </c>
      <c r="F17" s="3">
        <v>0</v>
      </c>
      <c r="G17" s="3">
        <v>10591470</v>
      </c>
      <c r="H17" s="3">
        <v>0</v>
      </c>
      <c r="I17" s="4">
        <v>0.17972299999999999</v>
      </c>
      <c r="J17" s="3">
        <v>2493147</v>
      </c>
      <c r="K17" s="4">
        <v>0</v>
      </c>
      <c r="L17" s="3">
        <v>0</v>
      </c>
      <c r="M17" s="3">
        <v>88518130</v>
      </c>
      <c r="N17" s="4">
        <v>8.3574920000000006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7915505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18978.59</v>
      </c>
      <c r="F19" s="3">
        <v>0</v>
      </c>
      <c r="G19" s="3">
        <v>18978.59</v>
      </c>
      <c r="H19" s="3">
        <v>0</v>
      </c>
      <c r="I19" s="4">
        <v>0.157335</v>
      </c>
      <c r="J19" s="3">
        <v>101647.1</v>
      </c>
      <c r="K19" s="4">
        <v>0</v>
      </c>
      <c r="L19" s="3">
        <v>1195651</v>
      </c>
      <c r="M19" s="3">
        <v>1483370</v>
      </c>
      <c r="N19" s="4">
        <v>78.160155000000003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17633130</v>
      </c>
      <c r="F20" s="3">
        <v>0</v>
      </c>
      <c r="G20" s="3">
        <v>17633130</v>
      </c>
      <c r="H20" s="3">
        <v>0</v>
      </c>
      <c r="I20" s="4">
        <v>0.201622</v>
      </c>
      <c r="J20" s="3">
        <v>1078764</v>
      </c>
      <c r="K20" s="4">
        <v>0</v>
      </c>
      <c r="L20" s="3">
        <v>0</v>
      </c>
      <c r="M20" s="3">
        <v>281894900</v>
      </c>
      <c r="N20" s="4">
        <v>15.986663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736012.2</v>
      </c>
      <c r="F21" s="3">
        <v>0</v>
      </c>
      <c r="G21" s="3">
        <v>736012.2</v>
      </c>
      <c r="H21" s="3">
        <v>0</v>
      </c>
      <c r="I21" s="4">
        <v>7.3352000000000001E-2</v>
      </c>
      <c r="J21" s="3">
        <v>9297895</v>
      </c>
      <c r="K21" s="4">
        <v>0</v>
      </c>
      <c r="L21" s="3">
        <v>55642520</v>
      </c>
      <c r="M21" s="3">
        <v>58998660</v>
      </c>
      <c r="N21" s="4">
        <v>80.159897999999998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57562650</v>
      </c>
      <c r="F22" s="3">
        <v>23403900</v>
      </c>
      <c r="G22" s="3">
        <v>34158750</v>
      </c>
      <c r="H22" s="3">
        <v>-34158750</v>
      </c>
      <c r="I22" s="4">
        <v>0.16233600000000001</v>
      </c>
      <c r="J22" s="3">
        <v>0</v>
      </c>
      <c r="K22" s="4">
        <v>0</v>
      </c>
      <c r="L22" s="3">
        <v>0</v>
      </c>
      <c r="M22" s="3">
        <v>1018228000</v>
      </c>
      <c r="N22" s="4">
        <v>12.575907000000001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16413570</v>
      </c>
      <c r="F23" s="3">
        <v>3181067</v>
      </c>
      <c r="G23" s="3">
        <v>13232500</v>
      </c>
      <c r="H23" s="3">
        <v>-13232500</v>
      </c>
      <c r="I23" s="4">
        <v>0.72830499999999998</v>
      </c>
      <c r="J23" s="3">
        <v>40136950</v>
      </c>
      <c r="K23" s="4">
        <v>0</v>
      </c>
      <c r="L23" s="3">
        <v>0</v>
      </c>
      <c r="M23" s="3">
        <v>515147300</v>
      </c>
      <c r="N23" s="4">
        <v>26.290220999999999</v>
      </c>
    </row>
    <row r="24" spans="1:14" x14ac:dyDescent="0.2">
      <c r="A24" s="11"/>
      <c r="B24" s="1" t="s">
        <v>40</v>
      </c>
      <c r="C24" s="3">
        <v>58000000</v>
      </c>
      <c r="D24" s="3">
        <v>58000000</v>
      </c>
      <c r="E24" s="3">
        <v>0</v>
      </c>
      <c r="F24" s="3">
        <v>1920090</v>
      </c>
      <c r="G24" s="3">
        <v>-1920090</v>
      </c>
      <c r="H24" s="3">
        <v>0</v>
      </c>
      <c r="I24" s="4">
        <v>1.5E-5</v>
      </c>
      <c r="J24" s="3">
        <v>125336100000</v>
      </c>
      <c r="K24" s="4">
        <v>0</v>
      </c>
      <c r="L24" s="3">
        <v>19.200900000000001</v>
      </c>
      <c r="M24" s="3">
        <v>-28488210</v>
      </c>
      <c r="N24" s="4">
        <v>-14.836909</v>
      </c>
    </row>
    <row r="25" spans="1:14" x14ac:dyDescent="0.2">
      <c r="A25" s="11"/>
      <c r="B25" s="1" t="s">
        <v>55</v>
      </c>
      <c r="C25" s="3">
        <v>3653.0949999999998</v>
      </c>
      <c r="D25" s="3">
        <v>3653.0949999999998</v>
      </c>
      <c r="E25" s="3">
        <v>0</v>
      </c>
      <c r="F25" s="3">
        <v>262078.4</v>
      </c>
      <c r="G25" s="3">
        <v>-262078.4</v>
      </c>
      <c r="H25" s="3">
        <v>0</v>
      </c>
      <c r="I25" s="4">
        <v>3.3197999999999998E-2</v>
      </c>
      <c r="J25" s="3">
        <v>7632259</v>
      </c>
      <c r="K25" s="4">
        <v>0</v>
      </c>
      <c r="L25" s="3">
        <v>0</v>
      </c>
      <c r="M25" s="3">
        <v>149.23310000000001</v>
      </c>
      <c r="N25" s="4">
        <v>5.6899999999999995E-4</v>
      </c>
    </row>
    <row r="26" spans="1:14" x14ac:dyDescent="0.2">
      <c r="A26" s="12"/>
      <c r="B26" s="1" t="s">
        <v>56</v>
      </c>
      <c r="C26" s="3">
        <v>278.38099999999997</v>
      </c>
      <c r="D26" s="3">
        <v>278.38099999999997</v>
      </c>
      <c r="E26" s="3">
        <v>0</v>
      </c>
      <c r="F26" s="3">
        <v>178339.8</v>
      </c>
      <c r="G26" s="3">
        <v>-178339.8</v>
      </c>
      <c r="H26" s="3">
        <v>0</v>
      </c>
      <c r="I26" s="4">
        <v>0.29645199999999999</v>
      </c>
      <c r="J26" s="3">
        <v>423241.6</v>
      </c>
      <c r="K26" s="4">
        <v>0</v>
      </c>
      <c r="L26" s="3">
        <v>891698.9</v>
      </c>
      <c r="M26" s="3">
        <v>0</v>
      </c>
      <c r="N26" s="4" t="s">
        <v>21</v>
      </c>
    </row>
    <row r="27" spans="1:14" x14ac:dyDescent="0.2">
      <c r="A27" s="10" t="s">
        <v>34</v>
      </c>
      <c r="B27" s="1" t="s">
        <v>35</v>
      </c>
      <c r="C27" s="3">
        <v>0</v>
      </c>
      <c r="D27" s="3">
        <v>0</v>
      </c>
      <c r="E27" s="3">
        <v>0</v>
      </c>
      <c r="F27" s="3">
        <v>24146030</v>
      </c>
      <c r="G27" s="3">
        <v>-24146030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-534054500</v>
      </c>
      <c r="N27" s="4">
        <v>-22.117698000000001</v>
      </c>
    </row>
    <row r="28" spans="1:14" x14ac:dyDescent="0.2">
      <c r="A28" s="12"/>
      <c r="B28" s="1" t="s">
        <v>36</v>
      </c>
      <c r="C28" s="3">
        <v>0</v>
      </c>
      <c r="D28" s="3">
        <v>0</v>
      </c>
      <c r="E28" s="3">
        <v>0</v>
      </c>
      <c r="F28" s="3">
        <v>49149160</v>
      </c>
      <c r="G28" s="3">
        <v>-49149160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-1054942000</v>
      </c>
      <c r="N28" s="4">
        <v>-21.464091</v>
      </c>
    </row>
    <row r="29" spans="1:14" x14ac:dyDescent="0.2">
      <c r="A29" s="10" t="s">
        <v>37</v>
      </c>
      <c r="B29" s="1" t="s">
        <v>38</v>
      </c>
      <c r="C29" s="3">
        <v>26471.97</v>
      </c>
      <c r="D29" s="3">
        <v>26471.97</v>
      </c>
      <c r="E29" s="3">
        <v>2997179</v>
      </c>
      <c r="F29" s="3">
        <v>5008980</v>
      </c>
      <c r="G29" s="3">
        <v>-2011801</v>
      </c>
      <c r="H29" s="3">
        <v>0</v>
      </c>
      <c r="I29" s="4">
        <v>0.13995299999999999</v>
      </c>
      <c r="J29" s="3">
        <v>59217730</v>
      </c>
      <c r="K29" s="4">
        <v>0</v>
      </c>
      <c r="L29" s="3">
        <v>0</v>
      </c>
      <c r="M29" s="3">
        <v>42255570</v>
      </c>
      <c r="N29" s="4">
        <v>5.2778830000000001</v>
      </c>
    </row>
    <row r="30" spans="1:14" ht="30" x14ac:dyDescent="0.2">
      <c r="A30" s="11"/>
      <c r="B30" s="1" t="s">
        <v>57</v>
      </c>
      <c r="C30" s="3">
        <v>857.70799999999997</v>
      </c>
      <c r="D30" s="3">
        <v>857.70799999999997</v>
      </c>
      <c r="E30" s="3">
        <v>125526.3</v>
      </c>
      <c r="F30" s="3">
        <v>201117.3</v>
      </c>
      <c r="G30" s="3">
        <v>-75590.990000000005</v>
      </c>
      <c r="H30" s="3">
        <v>0</v>
      </c>
      <c r="I30" s="4">
        <v>0.17623</v>
      </c>
      <c r="J30" s="3">
        <v>1929098</v>
      </c>
      <c r="K30" s="4">
        <v>0</v>
      </c>
      <c r="L30" s="3">
        <v>0</v>
      </c>
      <c r="M30" s="3">
        <v>1419141</v>
      </c>
      <c r="N30" s="4">
        <v>4.3446150000000001</v>
      </c>
    </row>
    <row r="31" spans="1:14" ht="30" x14ac:dyDescent="0.2">
      <c r="A31" s="11"/>
      <c r="B31" s="1" t="s">
        <v>58</v>
      </c>
      <c r="C31" s="3">
        <v>457.99400000000003</v>
      </c>
      <c r="D31" s="3">
        <v>457.99400000000003</v>
      </c>
      <c r="E31" s="3">
        <v>31068.62</v>
      </c>
      <c r="F31" s="3">
        <v>154858.6</v>
      </c>
      <c r="G31" s="3">
        <v>-123790</v>
      </c>
      <c r="H31" s="3">
        <v>0</v>
      </c>
      <c r="I31" s="4">
        <v>0.187857</v>
      </c>
      <c r="J31" s="3">
        <v>1113515</v>
      </c>
      <c r="K31" s="4">
        <v>0</v>
      </c>
      <c r="L31" s="3">
        <v>0</v>
      </c>
      <c r="M31" s="3">
        <v>1125204</v>
      </c>
      <c r="N31" s="4">
        <v>6.05185</v>
      </c>
    </row>
    <row r="32" spans="1:14" ht="30" x14ac:dyDescent="0.2">
      <c r="A32" s="12"/>
      <c r="B32" s="1" t="s">
        <v>39</v>
      </c>
      <c r="C32" s="3">
        <v>5300</v>
      </c>
      <c r="D32" s="3">
        <v>5300</v>
      </c>
      <c r="E32" s="3">
        <v>897256.9</v>
      </c>
      <c r="F32" s="3">
        <v>1971006</v>
      </c>
      <c r="G32" s="3">
        <v>-1073749</v>
      </c>
      <c r="H32" s="3">
        <v>0</v>
      </c>
      <c r="I32" s="4">
        <v>0.25043100000000001</v>
      </c>
      <c r="J32" s="3">
        <v>12527050</v>
      </c>
      <c r="K32" s="4">
        <v>0</v>
      </c>
      <c r="L32" s="3">
        <v>0</v>
      </c>
      <c r="M32" s="3">
        <v>25351200</v>
      </c>
      <c r="N32" s="4">
        <v>8.8385210000000001</v>
      </c>
    </row>
    <row r="33" spans="1:14" x14ac:dyDescent="0.2">
      <c r="A33" s="10" t="s">
        <v>41</v>
      </c>
      <c r="B33" s="1" t="s">
        <v>40</v>
      </c>
      <c r="C33" s="3">
        <v>29000000</v>
      </c>
      <c r="D33" s="3">
        <v>29000000</v>
      </c>
      <c r="E33" s="3">
        <v>960045.2</v>
      </c>
      <c r="F33" s="3">
        <v>960045.2</v>
      </c>
      <c r="G33" s="3">
        <v>0</v>
      </c>
      <c r="H33" s="3">
        <v>0</v>
      </c>
      <c r="I33" s="4">
        <v>0.99954500000000002</v>
      </c>
      <c r="J33" s="3">
        <v>0</v>
      </c>
      <c r="K33" s="4">
        <v>0</v>
      </c>
      <c r="L33" s="3">
        <v>0</v>
      </c>
      <c r="M33" s="3">
        <v>0</v>
      </c>
      <c r="N33" s="4" t="s">
        <v>21</v>
      </c>
    </row>
    <row r="34" spans="1:14" x14ac:dyDescent="0.2">
      <c r="A34" s="12"/>
      <c r="B34" s="1" t="s">
        <v>59</v>
      </c>
      <c r="C34" s="3">
        <v>46768.01</v>
      </c>
      <c r="D34" s="3">
        <v>46768.01</v>
      </c>
      <c r="E34" s="3">
        <v>174160.9</v>
      </c>
      <c r="F34" s="3">
        <v>179276</v>
      </c>
      <c r="G34" s="3">
        <v>-5115.0940000000001</v>
      </c>
      <c r="H34" s="3">
        <v>0</v>
      </c>
      <c r="I34" s="4">
        <v>0.50611600000000001</v>
      </c>
      <c r="J34" s="3">
        <v>0</v>
      </c>
      <c r="K34" s="4">
        <v>0</v>
      </c>
      <c r="L34" s="3">
        <v>0</v>
      </c>
      <c r="M34" s="3">
        <v>0</v>
      </c>
      <c r="N34" s="4" t="s">
        <v>21</v>
      </c>
    </row>
    <row r="35" spans="1:14" x14ac:dyDescent="0.2">
      <c r="I35" s="9" t="s">
        <v>42</v>
      </c>
      <c r="J35" s="7">
        <f>SUM(J2:J32)</f>
        <v>125646797977.91</v>
      </c>
      <c r="K35" s="5" t="s">
        <v>45</v>
      </c>
      <c r="L35" s="2">
        <f>SUM(L3:L32)</f>
        <v>291595248.40090001</v>
      </c>
      <c r="M35" s="2">
        <f>SUM(M3:M32)</f>
        <v>1093463181.1331</v>
      </c>
      <c r="N35" s="2">
        <f>SUM(N3:N32)</f>
        <v>591.46056399999998</v>
      </c>
    </row>
    <row r="36" spans="1:14" x14ac:dyDescent="0.2">
      <c r="I36" s="8" t="s">
        <v>43</v>
      </c>
      <c r="J36" s="2">
        <f>SUM(J15,J17)</f>
        <v>5855398</v>
      </c>
    </row>
    <row r="37" spans="1:14" x14ac:dyDescent="0.2">
      <c r="I37" s="8" t="s">
        <v>44</v>
      </c>
      <c r="J37" s="2">
        <f>SUM(J20)</f>
        <v>1078764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47</v>
      </c>
      <c r="C40" s="2">
        <f>SUMIFS($J$2:$J$32,$B$2:$B$32, "Solar PV")+SUMIFS($J$2:$J$32,$B$2:$B$32, "Offshore Wind")+SUMIFS($J$2:$J$32,$B$2:$B$32, "Onshore Wind")+SUMIFS($J$2:$J$32,$B$2:$B$32, "Sewage Gas")</f>
        <v>7035809.0999999996</v>
      </c>
    </row>
    <row r="41" spans="1:14" x14ac:dyDescent="0.2">
      <c r="A41" t="s">
        <v>48</v>
      </c>
      <c r="C41" s="2">
        <f>SUMIFS($J$2:$J$32,$B$2:$B$32, "Offshore Wind")+SUMIFS($J$2:$J$32,$B$2:$B$32, "Onshore Wind")</f>
        <v>5855398</v>
      </c>
    </row>
  </sheetData>
  <autoFilter ref="A1:N37" xr:uid="{4D4BF803-EC4E-F842-B68E-528EC71F1DE9}"/>
  <mergeCells count="5">
    <mergeCell ref="A33:A34"/>
    <mergeCell ref="A2:A21"/>
    <mergeCell ref="A23:A26"/>
    <mergeCell ref="A27:A28"/>
    <mergeCell ref="A29:A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0A62-B14B-AA4E-B6C1-C6D101FC58CC}">
  <dimension ref="A1:N41"/>
  <sheetViews>
    <sheetView topLeftCell="A16" workbookViewId="0">
      <selection activeCell="D36" sqref="D36"/>
    </sheetView>
  </sheetViews>
  <sheetFormatPr baseColWidth="10" defaultColWidth="16.83203125" defaultRowHeight="16" x14ac:dyDescent="0.2"/>
  <cols>
    <col min="1" max="1" width="10.33203125" customWidth="1"/>
    <col min="3" max="3" width="18.83203125" customWidth="1"/>
    <col min="4" max="4" width="20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804841.3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83810.97</v>
      </c>
      <c r="F3" s="3">
        <v>0</v>
      </c>
      <c r="G3" s="3">
        <v>83810.97</v>
      </c>
      <c r="H3" s="3">
        <v>0</v>
      </c>
      <c r="I3" s="3">
        <v>2.3606800000000001E-2</v>
      </c>
      <c r="J3" s="3">
        <v>3466478</v>
      </c>
      <c r="K3" s="4">
        <v>0</v>
      </c>
      <c r="L3" s="3">
        <v>6788689</v>
      </c>
      <c r="M3" s="3">
        <v>7375500</v>
      </c>
      <c r="N3" s="4">
        <v>88.001602000000005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82923.58</v>
      </c>
      <c r="F4" s="3">
        <v>0</v>
      </c>
      <c r="G4" s="3">
        <v>82923.58</v>
      </c>
      <c r="H4" s="3">
        <v>0</v>
      </c>
      <c r="I4" s="3">
        <v>4.177399E-3</v>
      </c>
      <c r="J4" s="3">
        <v>19767600</v>
      </c>
      <c r="K4" s="4">
        <v>0</v>
      </c>
      <c r="L4" s="3">
        <v>7463122</v>
      </c>
      <c r="M4" s="3">
        <v>7472862</v>
      </c>
      <c r="N4" s="4">
        <v>90.117463000000001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50969350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7637052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12977630</v>
      </c>
      <c r="F7" s="3">
        <v>0</v>
      </c>
      <c r="G7" s="3">
        <v>12977630</v>
      </c>
      <c r="H7" s="3">
        <v>0</v>
      </c>
      <c r="I7" s="3">
        <v>0.43850909999999999</v>
      </c>
      <c r="J7" s="3">
        <v>16617270</v>
      </c>
      <c r="K7" s="4">
        <v>0</v>
      </c>
      <c r="L7" s="3">
        <v>152137900</v>
      </c>
      <c r="M7" s="3">
        <v>152137900</v>
      </c>
      <c r="N7" s="4">
        <v>11.723086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8789422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8409.0079999999998</v>
      </c>
      <c r="F9" s="3">
        <v>0</v>
      </c>
      <c r="G9" s="3">
        <v>8409.0079999999998</v>
      </c>
      <c r="H9" s="3">
        <v>0</v>
      </c>
      <c r="I9" s="3">
        <v>0.35375089999999998</v>
      </c>
      <c r="J9" s="3">
        <v>15361.99</v>
      </c>
      <c r="K9" s="4">
        <v>0</v>
      </c>
      <c r="L9" s="3">
        <v>104776.2</v>
      </c>
      <c r="M9" s="3">
        <v>428890.1</v>
      </c>
      <c r="N9" s="4">
        <v>51.003616000000001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364291</v>
      </c>
      <c r="F10" s="3">
        <v>0</v>
      </c>
      <c r="G10" s="3">
        <v>364291</v>
      </c>
      <c r="H10" s="3">
        <v>0</v>
      </c>
      <c r="I10" s="3">
        <v>0.20200470000000001</v>
      </c>
      <c r="J10" s="3">
        <v>1439087</v>
      </c>
      <c r="K10" s="4">
        <v>0</v>
      </c>
      <c r="L10" s="3">
        <v>19671710</v>
      </c>
      <c r="M10" s="3">
        <v>27496620</v>
      </c>
      <c r="N10" s="4">
        <v>75.479817999999995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1389869</v>
      </c>
      <c r="F11" s="3">
        <v>0</v>
      </c>
      <c r="G11" s="3">
        <v>1389869</v>
      </c>
      <c r="H11" s="3">
        <v>0</v>
      </c>
      <c r="I11" s="3">
        <v>0.33898780000000001</v>
      </c>
      <c r="J11" s="3">
        <v>250153.4</v>
      </c>
      <c r="K11" s="4">
        <v>0</v>
      </c>
      <c r="L11" s="3">
        <v>0</v>
      </c>
      <c r="M11" s="3">
        <v>31971040</v>
      </c>
      <c r="N11" s="4">
        <v>23.002908999999999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49149160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231904.6</v>
      </c>
      <c r="F13" s="3">
        <v>0</v>
      </c>
      <c r="G13" s="3">
        <v>231904.6</v>
      </c>
      <c r="H13" s="3">
        <v>0</v>
      </c>
      <c r="I13" s="3">
        <v>0.42189979999999999</v>
      </c>
      <c r="J13" s="3">
        <v>30727.02</v>
      </c>
      <c r="K13" s="4">
        <v>0</v>
      </c>
      <c r="L13" s="3">
        <v>0</v>
      </c>
      <c r="M13" s="3">
        <v>5238188</v>
      </c>
      <c r="N13" s="4">
        <v>22.587681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5601245</v>
      </c>
      <c r="F14" s="3">
        <v>0</v>
      </c>
      <c r="G14" s="3">
        <v>5601245</v>
      </c>
      <c r="H14" s="3">
        <v>0</v>
      </c>
      <c r="I14" s="3">
        <v>0.56717039999999996</v>
      </c>
      <c r="J14" s="3">
        <v>4274525</v>
      </c>
      <c r="K14" s="4">
        <v>0</v>
      </c>
      <c r="L14" s="3">
        <v>56012450</v>
      </c>
      <c r="M14" s="3">
        <v>212526600</v>
      </c>
      <c r="N14" s="4">
        <v>37.942743999999998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26652380</v>
      </c>
      <c r="F15" s="3">
        <v>0</v>
      </c>
      <c r="G15" s="3">
        <v>26652380</v>
      </c>
      <c r="H15" s="3">
        <v>0</v>
      </c>
      <c r="I15" s="3">
        <v>0.23033970000000001</v>
      </c>
      <c r="J15" s="3">
        <v>3500661</v>
      </c>
      <c r="K15" s="4">
        <v>0</v>
      </c>
      <c r="L15" s="3">
        <v>0</v>
      </c>
      <c r="M15" s="3">
        <v>256349700</v>
      </c>
      <c r="N15" s="4">
        <v>9.6182669999999995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169638.5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10576070</v>
      </c>
      <c r="F17" s="3">
        <v>0</v>
      </c>
      <c r="G17" s="3">
        <v>10576070</v>
      </c>
      <c r="H17" s="3">
        <v>0</v>
      </c>
      <c r="I17" s="3">
        <v>0.17946200000000001</v>
      </c>
      <c r="J17" s="3">
        <v>2508550</v>
      </c>
      <c r="K17" s="4">
        <v>0</v>
      </c>
      <c r="L17" s="3">
        <v>0</v>
      </c>
      <c r="M17" s="3">
        <v>90785250</v>
      </c>
      <c r="N17" s="4">
        <v>8.5840270000000007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7915505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19871.7</v>
      </c>
      <c r="F19" s="3">
        <v>0</v>
      </c>
      <c r="G19" s="3">
        <v>19871.7</v>
      </c>
      <c r="H19" s="3">
        <v>0</v>
      </c>
      <c r="I19" s="3">
        <v>0.16473860000000001</v>
      </c>
      <c r="J19" s="3">
        <v>100754</v>
      </c>
      <c r="K19" s="4">
        <v>0</v>
      </c>
      <c r="L19" s="3">
        <v>1251917</v>
      </c>
      <c r="M19" s="3">
        <v>1579475</v>
      </c>
      <c r="N19" s="4">
        <v>79.483563000000004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17598150</v>
      </c>
      <c r="F20" s="3">
        <v>0</v>
      </c>
      <c r="G20" s="3">
        <v>17598150</v>
      </c>
      <c r="H20" s="3">
        <v>0</v>
      </c>
      <c r="I20" s="3">
        <v>0.2012215</v>
      </c>
      <c r="J20" s="3">
        <v>1113748</v>
      </c>
      <c r="K20" s="4">
        <v>0</v>
      </c>
      <c r="L20" s="3">
        <v>0</v>
      </c>
      <c r="M20" s="3">
        <v>278652700</v>
      </c>
      <c r="N20" s="4">
        <v>15.834209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819586.7</v>
      </c>
      <c r="F21" s="3">
        <v>0</v>
      </c>
      <c r="G21" s="3">
        <v>819586.7</v>
      </c>
      <c r="H21" s="3">
        <v>0</v>
      </c>
      <c r="I21" s="3">
        <v>8.1681710000000005E-2</v>
      </c>
      <c r="J21" s="3">
        <v>9214321</v>
      </c>
      <c r="K21" s="4">
        <v>0</v>
      </c>
      <c r="L21" s="3">
        <v>61960760</v>
      </c>
      <c r="M21" s="3">
        <v>66557390</v>
      </c>
      <c r="N21" s="4">
        <v>81.208473999999995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57614410</v>
      </c>
      <c r="F22" s="3">
        <v>23442330</v>
      </c>
      <c r="G22" s="3">
        <v>34172080</v>
      </c>
      <c r="H22" s="3">
        <v>-34172080</v>
      </c>
      <c r="I22" s="3">
        <v>0.16251689999999999</v>
      </c>
      <c r="J22" s="3">
        <v>0</v>
      </c>
      <c r="K22" s="4">
        <v>0</v>
      </c>
      <c r="L22" s="3">
        <v>0</v>
      </c>
      <c r="M22" s="3">
        <v>1044711000</v>
      </c>
      <c r="N22" s="4">
        <v>12.888642000000001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16495640</v>
      </c>
      <c r="F23" s="3">
        <v>3185249</v>
      </c>
      <c r="G23" s="3">
        <v>13310390</v>
      </c>
      <c r="H23" s="3">
        <v>-13310390</v>
      </c>
      <c r="I23" s="3">
        <v>0.73151049999999995</v>
      </c>
      <c r="J23" s="3">
        <v>40214840</v>
      </c>
      <c r="K23" s="4">
        <v>0</v>
      </c>
      <c r="L23" s="3">
        <v>0</v>
      </c>
      <c r="M23" s="3">
        <v>537519100</v>
      </c>
      <c r="N23" s="4">
        <v>27.311730000000001</v>
      </c>
    </row>
    <row r="24" spans="1:14" x14ac:dyDescent="0.2">
      <c r="A24" s="11"/>
      <c r="B24" s="1" t="s">
        <v>55</v>
      </c>
      <c r="C24" s="3">
        <v>3653.0949999999998</v>
      </c>
      <c r="D24" s="3">
        <v>3653.0949999999998</v>
      </c>
      <c r="E24" s="3">
        <v>0</v>
      </c>
      <c r="F24" s="3">
        <v>258834.9</v>
      </c>
      <c r="G24" s="3">
        <v>-258834.9</v>
      </c>
      <c r="H24" s="3">
        <v>0</v>
      </c>
      <c r="I24" s="3">
        <v>3.2787410000000003E-2</v>
      </c>
      <c r="J24" s="3">
        <v>7635503</v>
      </c>
      <c r="K24" s="4">
        <v>0</v>
      </c>
      <c r="L24" s="3">
        <v>0</v>
      </c>
      <c r="M24" s="3">
        <v>93.78219</v>
      </c>
      <c r="N24" s="4">
        <v>3.6200000000000002E-4</v>
      </c>
    </row>
    <row r="25" spans="1:14" x14ac:dyDescent="0.2">
      <c r="A25" s="11"/>
      <c r="B25" s="1" t="s">
        <v>56</v>
      </c>
      <c r="C25" s="3">
        <v>278.38099999999997</v>
      </c>
      <c r="D25" s="3">
        <v>278.38099999999997</v>
      </c>
      <c r="E25" s="3">
        <v>0</v>
      </c>
      <c r="F25" s="3">
        <v>175906.8</v>
      </c>
      <c r="G25" s="3">
        <v>-175906.8</v>
      </c>
      <c r="H25" s="3">
        <v>0</v>
      </c>
      <c r="I25" s="3">
        <v>0.29240729999999998</v>
      </c>
      <c r="J25" s="3">
        <v>425674.6</v>
      </c>
      <c r="K25" s="4">
        <v>0</v>
      </c>
      <c r="L25" s="3">
        <v>879533.8</v>
      </c>
      <c r="M25" s="3">
        <v>0</v>
      </c>
      <c r="N25" s="4" t="s">
        <v>21</v>
      </c>
    </row>
    <row r="26" spans="1:14" x14ac:dyDescent="0.2">
      <c r="A26" s="12"/>
      <c r="B26" s="1" t="s">
        <v>33</v>
      </c>
      <c r="C26" s="3">
        <v>812000000</v>
      </c>
      <c r="D26" s="3">
        <v>812000000</v>
      </c>
      <c r="E26" s="3">
        <v>0</v>
      </c>
      <c r="F26" s="3">
        <v>198130.7</v>
      </c>
      <c r="G26" s="3">
        <v>-198130.7</v>
      </c>
      <c r="H26" s="3">
        <v>198130.7</v>
      </c>
      <c r="I26" s="3">
        <v>1.129122E-7</v>
      </c>
      <c r="J26" s="3">
        <v>1754732000000</v>
      </c>
      <c r="K26" s="4">
        <v>0</v>
      </c>
      <c r="L26" s="3">
        <v>1.9813099999999999</v>
      </c>
      <c r="M26" s="3">
        <v>-3255860</v>
      </c>
      <c r="N26" s="4">
        <v>-16.432893</v>
      </c>
    </row>
    <row r="27" spans="1:14" x14ac:dyDescent="0.2">
      <c r="A27" s="10" t="s">
        <v>34</v>
      </c>
      <c r="B27" s="1" t="s">
        <v>35</v>
      </c>
      <c r="C27" s="3">
        <v>0</v>
      </c>
      <c r="D27" s="3">
        <v>0</v>
      </c>
      <c r="E27" s="3">
        <v>0</v>
      </c>
      <c r="F27" s="3">
        <v>24146030</v>
      </c>
      <c r="G27" s="3">
        <v>-24146030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-551532300</v>
      </c>
      <c r="N27" s="4">
        <v>-22.841533999999999</v>
      </c>
    </row>
    <row r="28" spans="1:14" x14ac:dyDescent="0.2">
      <c r="A28" s="12"/>
      <c r="B28" s="1" t="s">
        <v>36</v>
      </c>
      <c r="C28" s="3">
        <v>0</v>
      </c>
      <c r="D28" s="3">
        <v>0</v>
      </c>
      <c r="E28" s="3">
        <v>0</v>
      </c>
      <c r="F28" s="3">
        <v>49149160</v>
      </c>
      <c r="G28" s="3">
        <v>-49149160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-1087285000</v>
      </c>
      <c r="N28" s="4">
        <v>-22.122156</v>
      </c>
    </row>
    <row r="29" spans="1:14" x14ac:dyDescent="0.2">
      <c r="A29" s="10" t="s">
        <v>37</v>
      </c>
      <c r="B29" s="1" t="s">
        <v>38</v>
      </c>
      <c r="C29" s="3">
        <v>26471.97</v>
      </c>
      <c r="D29" s="3">
        <v>26471.97</v>
      </c>
      <c r="E29" s="3">
        <v>3663843</v>
      </c>
      <c r="F29" s="3">
        <v>5670219</v>
      </c>
      <c r="G29" s="3">
        <v>-2006376</v>
      </c>
      <c r="H29" s="3">
        <v>0</v>
      </c>
      <c r="I29" s="3">
        <v>0.16316600000000001</v>
      </c>
      <c r="J29" s="3">
        <v>59212310</v>
      </c>
      <c r="K29" s="4">
        <v>0</v>
      </c>
      <c r="L29" s="3">
        <v>0</v>
      </c>
      <c r="M29" s="3">
        <v>48938160</v>
      </c>
      <c r="N29" s="4">
        <v>5.2429649999999999</v>
      </c>
    </row>
    <row r="30" spans="1:14" ht="30" x14ac:dyDescent="0.2">
      <c r="A30" s="11"/>
      <c r="B30" s="1" t="s">
        <v>57</v>
      </c>
      <c r="C30" s="3">
        <v>857.70799999999997</v>
      </c>
      <c r="D30" s="3">
        <v>857.70799999999997</v>
      </c>
      <c r="E30" s="3">
        <v>143696.20000000001</v>
      </c>
      <c r="F30" s="3">
        <v>218426</v>
      </c>
      <c r="G30" s="3">
        <v>-74729.72</v>
      </c>
      <c r="H30" s="3">
        <v>0</v>
      </c>
      <c r="I30" s="3">
        <v>0.1953714</v>
      </c>
      <c r="J30" s="3">
        <v>1928237</v>
      </c>
      <c r="K30" s="4">
        <v>0</v>
      </c>
      <c r="L30" s="3">
        <v>0</v>
      </c>
      <c r="M30" s="3">
        <v>1646944</v>
      </c>
      <c r="N30" s="4">
        <v>4.5480330000000002</v>
      </c>
    </row>
    <row r="31" spans="1:14" ht="30" x14ac:dyDescent="0.2">
      <c r="A31" s="11"/>
      <c r="B31" s="1" t="s">
        <v>58</v>
      </c>
      <c r="C31" s="3">
        <v>457.99400000000003</v>
      </c>
      <c r="D31" s="3">
        <v>457.99400000000003</v>
      </c>
      <c r="E31" s="3">
        <v>34953.230000000003</v>
      </c>
      <c r="F31" s="3">
        <v>161985.9</v>
      </c>
      <c r="G31" s="3">
        <v>-127032.6</v>
      </c>
      <c r="H31" s="3">
        <v>0</v>
      </c>
      <c r="I31" s="3">
        <v>0.19898360000000001</v>
      </c>
      <c r="J31" s="3">
        <v>1116758</v>
      </c>
      <c r="K31" s="4">
        <v>0</v>
      </c>
      <c r="L31" s="3">
        <v>0</v>
      </c>
      <c r="M31" s="3">
        <v>1321058</v>
      </c>
      <c r="N31" s="4">
        <v>6.7079519999999997</v>
      </c>
    </row>
    <row r="32" spans="1:14" ht="30" x14ac:dyDescent="0.2">
      <c r="A32" s="12"/>
      <c r="B32" s="1" t="s">
        <v>39</v>
      </c>
      <c r="C32" s="3">
        <v>5300</v>
      </c>
      <c r="D32" s="3">
        <v>5300</v>
      </c>
      <c r="E32" s="3">
        <v>1033232</v>
      </c>
      <c r="F32" s="3">
        <v>2097928</v>
      </c>
      <c r="G32" s="3">
        <v>-1064696</v>
      </c>
      <c r="H32" s="3">
        <v>0</v>
      </c>
      <c r="I32" s="3">
        <v>0.27338499999999999</v>
      </c>
      <c r="J32" s="3">
        <v>12518000</v>
      </c>
      <c r="K32" s="4">
        <v>0</v>
      </c>
      <c r="L32" s="3">
        <v>0</v>
      </c>
      <c r="M32" s="3">
        <v>28321290</v>
      </c>
      <c r="N32" s="4">
        <v>9.0449830000000002</v>
      </c>
    </row>
    <row r="33" spans="1:14" x14ac:dyDescent="0.2">
      <c r="A33" s="1" t="s">
        <v>41</v>
      </c>
      <c r="B33" s="1" t="s">
        <v>59</v>
      </c>
      <c r="C33" s="3">
        <v>46768.01</v>
      </c>
      <c r="D33" s="3">
        <v>46768.01</v>
      </c>
      <c r="E33" s="3">
        <v>172968.4</v>
      </c>
      <c r="F33" s="3">
        <v>178246.1</v>
      </c>
      <c r="G33" s="3">
        <v>-5277.665</v>
      </c>
      <c r="H33" s="3">
        <v>0</v>
      </c>
      <c r="I33" s="3">
        <v>0.52220160000000004</v>
      </c>
      <c r="J33" s="3">
        <v>0</v>
      </c>
      <c r="K33" s="4">
        <v>0</v>
      </c>
      <c r="L33" s="3">
        <v>0</v>
      </c>
      <c r="M33" s="3">
        <v>0</v>
      </c>
      <c r="N33" s="4" t="s">
        <v>21</v>
      </c>
    </row>
    <row r="34" spans="1:14" x14ac:dyDescent="0.2">
      <c r="H34" s="6"/>
      <c r="I34" s="9" t="s">
        <v>42</v>
      </c>
      <c r="J34" s="7">
        <f>SUM(J1:J31)</f>
        <v>1755030267527.8101</v>
      </c>
      <c r="K34" s="5" t="s">
        <v>45</v>
      </c>
      <c r="L34" s="2">
        <f>SUM(L2:L31)</f>
        <v>306270859.98131001</v>
      </c>
      <c r="M34" s="2">
        <f>SUM(M2:M31)</f>
        <v>1130635310.8821898</v>
      </c>
      <c r="N34" s="2">
        <f>SUM(N2:N31)</f>
        <v>589.89055999999994</v>
      </c>
    </row>
    <row r="35" spans="1:14" x14ac:dyDescent="0.2">
      <c r="I35" s="8" t="s">
        <v>43</v>
      </c>
      <c r="J35" s="2">
        <f>SUM(J15,J17)</f>
        <v>6009211</v>
      </c>
    </row>
    <row r="36" spans="1:14" x14ac:dyDescent="0.2">
      <c r="I36" s="8" t="s">
        <v>44</v>
      </c>
      <c r="J36" s="2">
        <f>SUM(J20)</f>
        <v>1113748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SUMIFS($D$2:$D$34,$B$2:$B$34, "Solar PV")+SUMIFS($D$2:$D$34,$B$2:$B$34, "Offshore Wind")+SUMIFS($D$2:$D$34,$B$2:$B$34, "Onshore Wind")+SUMIFS($D$2:$D$34,$B$2:$B$34, "Sewage Gas")</f>
        <v>121341.17939</v>
      </c>
    </row>
    <row r="40" spans="1:14" x14ac:dyDescent="0.2">
      <c r="A40" t="s">
        <v>47</v>
      </c>
      <c r="C40" s="2">
        <f>SUMIFS($J$2:$J$34,$B$2:$B$34, "Solar PV")+SUMIFS($J$2:$J$34,$B$2:$B$34, "Offshore Wind")+SUMIFS($J$2:$J$34,$B$2:$B$34, "Onshore Wind")+SUMIFS($J$2:$J$34,$B$2:$B$34, "Sewage Gas")</f>
        <v>7223713</v>
      </c>
    </row>
    <row r="41" spans="1:14" x14ac:dyDescent="0.2">
      <c r="A41" t="s">
        <v>48</v>
      </c>
      <c r="C41" s="2">
        <f>SUMIFS($J$2:$J$34,$B$2:$B$34, "Offshore Wind")+SUMIFS($J$2:$J$34,$B$2:$B$34, "Onshore Wind")</f>
        <v>6009211</v>
      </c>
    </row>
  </sheetData>
  <autoFilter ref="A1:N36" xr:uid="{274D0A62-B14B-AA4E-B6C1-C6D101FC58CC}"/>
  <mergeCells count="4">
    <mergeCell ref="A2:A21"/>
    <mergeCell ref="A23:A26"/>
    <mergeCell ref="A27:A28"/>
    <mergeCell ref="A29:A32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27E0-A6E7-0A4E-A9C8-EA69BF34BB6E}">
  <dimension ref="A1:N41"/>
  <sheetViews>
    <sheetView tabSelected="1" topLeftCell="A12" workbookViewId="0">
      <selection sqref="A1:N35"/>
    </sheetView>
  </sheetViews>
  <sheetFormatPr baseColWidth="10" defaultColWidth="17.5" defaultRowHeight="16" x14ac:dyDescent="0.2"/>
  <cols>
    <col min="1" max="1" width="11.6640625" customWidth="1"/>
    <col min="2" max="2" width="15.1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804841.3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67219.210000000006</v>
      </c>
      <c r="F3" s="3">
        <v>0</v>
      </c>
      <c r="G3" s="3">
        <v>67219.210000000006</v>
      </c>
      <c r="H3" s="3">
        <v>0</v>
      </c>
      <c r="I3" s="3">
        <v>1.8933450000000001E-2</v>
      </c>
      <c r="J3" s="3">
        <v>3483069</v>
      </c>
      <c r="K3" s="4">
        <v>0</v>
      </c>
      <c r="L3" s="3">
        <v>5444756</v>
      </c>
      <c r="M3" s="3">
        <v>5855525</v>
      </c>
      <c r="N3" s="4">
        <v>87.110899000000003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41191.22</v>
      </c>
      <c r="F4" s="3">
        <v>0</v>
      </c>
      <c r="G4" s="3">
        <v>41191.22</v>
      </c>
      <c r="H4" s="3">
        <v>0</v>
      </c>
      <c r="I4" s="3">
        <v>2.0750690000000001E-3</v>
      </c>
      <c r="J4" s="3">
        <v>19809340</v>
      </c>
      <c r="K4" s="4">
        <v>0</v>
      </c>
      <c r="L4" s="3">
        <v>3707209</v>
      </c>
      <c r="M4" s="3">
        <v>3712790</v>
      </c>
      <c r="N4" s="4">
        <v>90.135491000000002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50969350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7637052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12899750</v>
      </c>
      <c r="F7" s="3">
        <v>0</v>
      </c>
      <c r="G7" s="3">
        <v>12899750</v>
      </c>
      <c r="H7" s="3">
        <v>0</v>
      </c>
      <c r="I7" s="3">
        <v>0.43587759999999998</v>
      </c>
      <c r="J7" s="3">
        <v>16695140</v>
      </c>
      <c r="K7" s="4">
        <v>0</v>
      </c>
      <c r="L7" s="3">
        <v>149680600</v>
      </c>
      <c r="M7" s="3">
        <v>149680600</v>
      </c>
      <c r="N7" s="4">
        <v>11.603370999999999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8789422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8164.9970000000003</v>
      </c>
      <c r="F9" s="3">
        <v>0</v>
      </c>
      <c r="G9" s="3">
        <v>8164.9970000000003</v>
      </c>
      <c r="H9" s="3">
        <v>0</v>
      </c>
      <c r="I9" s="3">
        <v>0.3434855</v>
      </c>
      <c r="J9" s="3">
        <v>15606</v>
      </c>
      <c r="K9" s="4">
        <v>0</v>
      </c>
      <c r="L9" s="3">
        <v>101735.9</v>
      </c>
      <c r="M9" s="3">
        <v>412104</v>
      </c>
      <c r="N9" s="4">
        <v>50.472059000000002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330457.90000000002</v>
      </c>
      <c r="F10" s="3">
        <v>0</v>
      </c>
      <c r="G10" s="3">
        <v>330457.90000000002</v>
      </c>
      <c r="H10" s="3">
        <v>0</v>
      </c>
      <c r="I10" s="3">
        <v>0.18324380000000001</v>
      </c>
      <c r="J10" s="3">
        <v>1472920</v>
      </c>
      <c r="K10" s="4">
        <v>0</v>
      </c>
      <c r="L10" s="3">
        <v>17844730</v>
      </c>
      <c r="M10" s="3">
        <v>24837310</v>
      </c>
      <c r="N10" s="4">
        <v>75.160262000000003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1395182</v>
      </c>
      <c r="F11" s="3">
        <v>0</v>
      </c>
      <c r="G11" s="3">
        <v>1395182</v>
      </c>
      <c r="H11" s="3">
        <v>0</v>
      </c>
      <c r="I11" s="3">
        <v>0.34028360000000002</v>
      </c>
      <c r="J11" s="3">
        <v>244840.7</v>
      </c>
      <c r="K11" s="4">
        <v>0</v>
      </c>
      <c r="L11" s="3">
        <v>0</v>
      </c>
      <c r="M11" s="3">
        <v>31115210</v>
      </c>
      <c r="N11" s="4">
        <v>22.301898999999999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49149160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231827</v>
      </c>
      <c r="F13" s="3">
        <v>0</v>
      </c>
      <c r="G13" s="3">
        <v>231827</v>
      </c>
      <c r="H13" s="3">
        <v>0</v>
      </c>
      <c r="I13" s="3">
        <v>0.42175839999999998</v>
      </c>
      <c r="J13" s="3">
        <v>30804.71</v>
      </c>
      <c r="K13" s="4">
        <v>0</v>
      </c>
      <c r="L13" s="3">
        <v>0</v>
      </c>
      <c r="M13" s="3">
        <v>5090628</v>
      </c>
      <c r="N13" s="4">
        <v>21.958739000000001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5640229</v>
      </c>
      <c r="F14" s="3">
        <v>0</v>
      </c>
      <c r="G14" s="3">
        <v>5640229</v>
      </c>
      <c r="H14" s="3">
        <v>0</v>
      </c>
      <c r="I14" s="3">
        <v>0.57111789999999996</v>
      </c>
      <c r="J14" s="3">
        <v>4235541</v>
      </c>
      <c r="K14" s="4">
        <v>0</v>
      </c>
      <c r="L14" s="3">
        <v>56402290</v>
      </c>
      <c r="M14" s="3">
        <v>204772400</v>
      </c>
      <c r="N14" s="4">
        <v>36.305698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26803100</v>
      </c>
      <c r="F15" s="3">
        <v>0</v>
      </c>
      <c r="G15" s="3">
        <v>26803100</v>
      </c>
      <c r="H15" s="3">
        <v>0</v>
      </c>
      <c r="I15" s="3">
        <v>0.23164219999999999</v>
      </c>
      <c r="J15" s="3">
        <v>3349948</v>
      </c>
      <c r="K15" s="4">
        <v>0</v>
      </c>
      <c r="L15" s="3">
        <v>0</v>
      </c>
      <c r="M15" s="3">
        <v>248946600</v>
      </c>
      <c r="N15" s="4">
        <v>9.2879769999999997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169638.5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10536010</v>
      </c>
      <c r="F17" s="3">
        <v>0</v>
      </c>
      <c r="G17" s="3">
        <v>10536010</v>
      </c>
      <c r="H17" s="3">
        <v>0</v>
      </c>
      <c r="I17" s="3">
        <v>0.1787822</v>
      </c>
      <c r="J17" s="3">
        <v>2548611</v>
      </c>
      <c r="K17" s="4">
        <v>0</v>
      </c>
      <c r="L17" s="3">
        <v>0</v>
      </c>
      <c r="M17" s="3">
        <v>87368630</v>
      </c>
      <c r="N17" s="4">
        <v>8.2923869999999997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7915505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18958</v>
      </c>
      <c r="F19" s="3">
        <v>0</v>
      </c>
      <c r="G19" s="3">
        <v>18958</v>
      </c>
      <c r="H19" s="3">
        <v>0</v>
      </c>
      <c r="I19" s="3">
        <v>0.15716379999999999</v>
      </c>
      <c r="J19" s="3">
        <v>101667.7</v>
      </c>
      <c r="K19" s="4">
        <v>0</v>
      </c>
      <c r="L19" s="3">
        <v>1194354</v>
      </c>
      <c r="M19" s="3">
        <v>1481986</v>
      </c>
      <c r="N19" s="4">
        <v>78.172094999999999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17638280</v>
      </c>
      <c r="F20" s="3">
        <v>0</v>
      </c>
      <c r="G20" s="3">
        <v>17638280</v>
      </c>
      <c r="H20" s="3">
        <v>0</v>
      </c>
      <c r="I20" s="3">
        <v>0.20168040000000001</v>
      </c>
      <c r="J20" s="3">
        <v>1073616</v>
      </c>
      <c r="K20" s="4">
        <v>0</v>
      </c>
      <c r="L20" s="3">
        <v>0</v>
      </c>
      <c r="M20" s="3">
        <v>281572300</v>
      </c>
      <c r="N20" s="4">
        <v>15.963704999999999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733143.9</v>
      </c>
      <c r="F21" s="3">
        <v>0</v>
      </c>
      <c r="G21" s="3">
        <v>733143.9</v>
      </c>
      <c r="H21" s="3">
        <v>0</v>
      </c>
      <c r="I21" s="3">
        <v>7.3066640000000002E-2</v>
      </c>
      <c r="J21" s="3">
        <v>9300764</v>
      </c>
      <c r="K21" s="4">
        <v>0</v>
      </c>
      <c r="L21" s="3">
        <v>55425680</v>
      </c>
      <c r="M21" s="3">
        <v>58758470</v>
      </c>
      <c r="N21" s="4">
        <v>80.145888999999997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57217530</v>
      </c>
      <c r="F22" s="3">
        <v>23328090</v>
      </c>
      <c r="G22" s="3">
        <v>33889450</v>
      </c>
      <c r="H22" s="3">
        <v>-33889450</v>
      </c>
      <c r="I22" s="3">
        <v>0.1614921</v>
      </c>
      <c r="J22" s="3">
        <v>0</v>
      </c>
      <c r="K22" s="4">
        <v>0</v>
      </c>
      <c r="L22" s="3">
        <v>0</v>
      </c>
      <c r="M22" s="3">
        <v>1012538000</v>
      </c>
      <c r="N22" s="4">
        <v>12.570983999999999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16430110</v>
      </c>
      <c r="F23" s="3">
        <v>3199592</v>
      </c>
      <c r="G23" s="3">
        <v>13230510</v>
      </c>
      <c r="H23" s="3">
        <v>-13230510</v>
      </c>
      <c r="I23" s="3">
        <v>0.72960789999999998</v>
      </c>
      <c r="J23" s="3">
        <v>40134960</v>
      </c>
      <c r="K23" s="4">
        <v>0</v>
      </c>
      <c r="L23" s="3">
        <v>0</v>
      </c>
      <c r="M23" s="3">
        <v>514582800</v>
      </c>
      <c r="N23" s="4">
        <v>26.214504999999999</v>
      </c>
    </row>
    <row r="24" spans="1:14" x14ac:dyDescent="0.2">
      <c r="A24" s="11"/>
      <c r="B24" s="1" t="s">
        <v>40</v>
      </c>
      <c r="C24" s="3">
        <v>58000000</v>
      </c>
      <c r="D24" s="3">
        <v>58000000</v>
      </c>
      <c r="E24" s="3">
        <v>0</v>
      </c>
      <c r="F24" s="3">
        <v>1912708</v>
      </c>
      <c r="G24" s="3">
        <v>-1912708</v>
      </c>
      <c r="H24" s="3">
        <v>0</v>
      </c>
      <c r="I24" s="3">
        <v>1.52604E-5</v>
      </c>
      <c r="J24" s="3">
        <v>125336100000</v>
      </c>
      <c r="K24" s="4">
        <v>0</v>
      </c>
      <c r="L24" s="3">
        <v>19.127079999999999</v>
      </c>
      <c r="M24" s="3">
        <v>-30516790</v>
      </c>
      <c r="N24" s="4">
        <v>-15.954753999999999</v>
      </c>
    </row>
    <row r="25" spans="1:14" x14ac:dyDescent="0.2">
      <c r="A25" s="11"/>
      <c r="B25" s="1" t="s">
        <v>55</v>
      </c>
      <c r="C25" s="3">
        <v>3653.0949999999998</v>
      </c>
      <c r="D25" s="3">
        <v>3653.0949999999998</v>
      </c>
      <c r="E25" s="3">
        <v>0</v>
      </c>
      <c r="F25" s="3">
        <v>263952.59999999998</v>
      </c>
      <c r="G25" s="3">
        <v>-263952.59999999998</v>
      </c>
      <c r="H25" s="3">
        <v>0</v>
      </c>
      <c r="I25" s="3">
        <v>3.3435680000000002E-2</v>
      </c>
      <c r="J25" s="3">
        <v>7630385</v>
      </c>
      <c r="K25" s="4">
        <v>0</v>
      </c>
      <c r="L25" s="3">
        <v>0</v>
      </c>
      <c r="M25" s="3">
        <v>113.018</v>
      </c>
      <c r="N25" s="4">
        <v>4.28E-4</v>
      </c>
    </row>
    <row r="26" spans="1:14" ht="30" x14ac:dyDescent="0.2">
      <c r="A26" s="11"/>
      <c r="B26" s="1" t="s">
        <v>56</v>
      </c>
      <c r="C26" s="3">
        <v>278.38099999999997</v>
      </c>
      <c r="D26" s="3">
        <v>278.38099999999997</v>
      </c>
      <c r="E26" s="3">
        <v>0</v>
      </c>
      <c r="F26" s="3">
        <v>179791.6</v>
      </c>
      <c r="G26" s="3">
        <v>-179791.6</v>
      </c>
      <c r="H26" s="3">
        <v>0</v>
      </c>
      <c r="I26" s="3">
        <v>0.29886499999999999</v>
      </c>
      <c r="J26" s="3">
        <v>421789.7</v>
      </c>
      <c r="K26" s="4">
        <v>0</v>
      </c>
      <c r="L26" s="3">
        <v>898958</v>
      </c>
      <c r="M26" s="3">
        <v>0</v>
      </c>
      <c r="N26" s="4" t="s">
        <v>21</v>
      </c>
    </row>
    <row r="27" spans="1:14" x14ac:dyDescent="0.2">
      <c r="A27" s="12"/>
      <c r="B27" s="1" t="s">
        <v>33</v>
      </c>
      <c r="C27" s="3">
        <v>812000000</v>
      </c>
      <c r="D27" s="3">
        <v>812000000</v>
      </c>
      <c r="E27" s="3">
        <v>0</v>
      </c>
      <c r="F27" s="3">
        <v>180337.5</v>
      </c>
      <c r="G27" s="3">
        <v>-180337.5</v>
      </c>
      <c r="H27" s="3">
        <v>180337.5</v>
      </c>
      <c r="I27" s="3">
        <v>1.0277209999999999E-7</v>
      </c>
      <c r="J27" s="3">
        <v>1754732000000</v>
      </c>
      <c r="K27" s="4">
        <v>0</v>
      </c>
      <c r="L27" s="3">
        <v>1.8033699999999999</v>
      </c>
      <c r="M27" s="3">
        <v>-2634105</v>
      </c>
      <c r="N27" s="4">
        <v>-14.606529</v>
      </c>
    </row>
    <row r="28" spans="1:14" x14ac:dyDescent="0.2">
      <c r="A28" s="10" t="s">
        <v>34</v>
      </c>
      <c r="B28" s="1" t="s">
        <v>35</v>
      </c>
      <c r="C28" s="3">
        <v>0</v>
      </c>
      <c r="D28" s="3">
        <v>0</v>
      </c>
      <c r="E28" s="3">
        <v>0</v>
      </c>
      <c r="F28" s="3">
        <v>24146030</v>
      </c>
      <c r="G28" s="3">
        <v>-24146030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-532494800</v>
      </c>
      <c r="N28" s="4">
        <v>-22.053101000000002</v>
      </c>
    </row>
    <row r="29" spans="1:14" x14ac:dyDescent="0.2">
      <c r="A29" s="12"/>
      <c r="B29" s="1" t="s">
        <v>36</v>
      </c>
      <c r="C29" s="3">
        <v>0</v>
      </c>
      <c r="D29" s="3">
        <v>0</v>
      </c>
      <c r="E29" s="3">
        <v>0</v>
      </c>
      <c r="F29" s="3">
        <v>49149160</v>
      </c>
      <c r="G29" s="3">
        <v>-49149160</v>
      </c>
      <c r="H29" s="3">
        <v>0</v>
      </c>
      <c r="I29" s="4" t="s">
        <v>21</v>
      </c>
      <c r="J29" s="3">
        <v>0</v>
      </c>
      <c r="K29" s="4">
        <v>0</v>
      </c>
      <c r="L29" s="3">
        <v>0</v>
      </c>
      <c r="M29" s="3">
        <v>-1051605000</v>
      </c>
      <c r="N29" s="4">
        <v>-21.396194999999999</v>
      </c>
    </row>
    <row r="30" spans="1:14" x14ac:dyDescent="0.2">
      <c r="A30" s="10" t="s">
        <v>37</v>
      </c>
      <c r="B30" s="1" t="s">
        <v>38</v>
      </c>
      <c r="C30" s="3">
        <v>26471.97</v>
      </c>
      <c r="D30" s="3">
        <v>26471.97</v>
      </c>
      <c r="E30" s="3">
        <v>3285914</v>
      </c>
      <c r="F30" s="3">
        <v>5217598</v>
      </c>
      <c r="G30" s="3">
        <v>-1931684</v>
      </c>
      <c r="H30" s="3">
        <v>0</v>
      </c>
      <c r="I30" s="3">
        <v>0.14864740000000001</v>
      </c>
      <c r="J30" s="3">
        <v>59137620</v>
      </c>
      <c r="K30" s="4">
        <v>0</v>
      </c>
      <c r="L30" s="3">
        <v>0</v>
      </c>
      <c r="M30" s="3">
        <v>42223160</v>
      </c>
      <c r="N30" s="4">
        <v>4.9653790000000004</v>
      </c>
    </row>
    <row r="31" spans="1:14" ht="30" x14ac:dyDescent="0.2">
      <c r="A31" s="11"/>
      <c r="B31" s="1" t="s">
        <v>57</v>
      </c>
      <c r="C31" s="3">
        <v>857.70799999999997</v>
      </c>
      <c r="D31" s="3">
        <v>857.70799999999997</v>
      </c>
      <c r="E31" s="3">
        <v>129519.5</v>
      </c>
      <c r="F31" s="3">
        <v>201783.1</v>
      </c>
      <c r="G31" s="3">
        <v>-72263.63</v>
      </c>
      <c r="H31" s="3">
        <v>0</v>
      </c>
      <c r="I31" s="3">
        <v>0.1787436</v>
      </c>
      <c r="J31" s="3">
        <v>1925771</v>
      </c>
      <c r="K31" s="4">
        <v>0</v>
      </c>
      <c r="L31" s="3">
        <v>0</v>
      </c>
      <c r="M31" s="3">
        <v>1415684</v>
      </c>
      <c r="N31" s="4">
        <v>4.273085</v>
      </c>
    </row>
    <row r="32" spans="1:14" ht="30" x14ac:dyDescent="0.2">
      <c r="A32" s="11"/>
      <c r="B32" s="1" t="s">
        <v>58</v>
      </c>
      <c r="C32" s="3">
        <v>457.99400000000003</v>
      </c>
      <c r="D32" s="3">
        <v>457.99400000000003</v>
      </c>
      <c r="E32" s="3">
        <v>32666.17</v>
      </c>
      <c r="F32" s="3">
        <v>149541.5</v>
      </c>
      <c r="G32" s="3">
        <v>-116875.3</v>
      </c>
      <c r="H32" s="3">
        <v>0</v>
      </c>
      <c r="I32" s="3">
        <v>0.18409929999999999</v>
      </c>
      <c r="J32" s="3">
        <v>1106600</v>
      </c>
      <c r="K32" s="4">
        <v>0</v>
      </c>
      <c r="L32" s="3">
        <v>0</v>
      </c>
      <c r="M32" s="3">
        <v>1142332</v>
      </c>
      <c r="N32" s="4">
        <v>6.2693940000000001</v>
      </c>
    </row>
    <row r="33" spans="1:14" ht="30" x14ac:dyDescent="0.2">
      <c r="A33" s="12"/>
      <c r="B33" s="1" t="s">
        <v>39</v>
      </c>
      <c r="C33" s="3">
        <v>5300</v>
      </c>
      <c r="D33" s="3">
        <v>5300</v>
      </c>
      <c r="E33" s="3">
        <v>904293.2</v>
      </c>
      <c r="F33" s="3">
        <v>1988498</v>
      </c>
      <c r="G33" s="3">
        <v>-1084205</v>
      </c>
      <c r="H33" s="3">
        <v>0</v>
      </c>
      <c r="I33" s="3">
        <v>0.25257269999999998</v>
      </c>
      <c r="J33" s="3">
        <v>12537500</v>
      </c>
      <c r="K33" s="4">
        <v>0</v>
      </c>
      <c r="L33" s="3">
        <v>0</v>
      </c>
      <c r="M33" s="3">
        <v>25382130</v>
      </c>
      <c r="N33" s="4">
        <v>8.7742719999999998</v>
      </c>
    </row>
    <row r="34" spans="1:14" x14ac:dyDescent="0.2">
      <c r="A34" s="10" t="s">
        <v>41</v>
      </c>
      <c r="B34" s="1" t="s">
        <v>40</v>
      </c>
      <c r="C34" s="3">
        <v>29000000</v>
      </c>
      <c r="D34" s="3">
        <v>29000000</v>
      </c>
      <c r="E34" s="3">
        <v>956354</v>
      </c>
      <c r="F34" s="3">
        <v>956354</v>
      </c>
      <c r="G34" s="3">
        <v>0</v>
      </c>
      <c r="H34" s="3">
        <v>0</v>
      </c>
      <c r="I34" s="3">
        <v>0.8961633</v>
      </c>
      <c r="J34" s="3">
        <v>0</v>
      </c>
      <c r="K34" s="4">
        <v>0</v>
      </c>
      <c r="L34" s="3">
        <v>0</v>
      </c>
      <c r="M34" s="3">
        <v>0</v>
      </c>
      <c r="N34" s="4" t="s">
        <v>21</v>
      </c>
    </row>
    <row r="35" spans="1:14" x14ac:dyDescent="0.2">
      <c r="A35" s="12"/>
      <c r="B35" s="1" t="s">
        <v>59</v>
      </c>
      <c r="C35" s="3">
        <v>46768.01</v>
      </c>
      <c r="D35" s="3">
        <v>46768.01</v>
      </c>
      <c r="E35" s="3">
        <v>176356.3</v>
      </c>
      <c r="F35" s="3">
        <v>181331.5</v>
      </c>
      <c r="G35" s="3">
        <v>-4975.1940000000004</v>
      </c>
      <c r="H35" s="3">
        <v>0</v>
      </c>
      <c r="I35" s="3">
        <v>0.49227349999999997</v>
      </c>
      <c r="J35" s="3">
        <v>0</v>
      </c>
      <c r="K35" s="4">
        <v>0</v>
      </c>
      <c r="L35" s="3">
        <v>0</v>
      </c>
      <c r="M35" s="3">
        <v>0</v>
      </c>
      <c r="N35" s="4" t="s">
        <v>21</v>
      </c>
    </row>
    <row r="36" spans="1:14" x14ac:dyDescent="0.2">
      <c r="I36" s="9" t="s">
        <v>42</v>
      </c>
      <c r="J36" s="7">
        <f>SUM(J3:J33)</f>
        <v>1880377986621.3101</v>
      </c>
      <c r="K36" s="5" t="s">
        <v>45</v>
      </c>
      <c r="L36" s="2">
        <f>SUM(L4:L33)</f>
        <v>285255577.83045</v>
      </c>
      <c r="M36" s="2">
        <f>SUM(M4:M33)</f>
        <v>1077782552.0180001</v>
      </c>
      <c r="N36" s="2">
        <f>SUM(N4:N33)</f>
        <v>488.85703999999998</v>
      </c>
    </row>
    <row r="37" spans="1:14" x14ac:dyDescent="0.2">
      <c r="I37" s="8" t="s">
        <v>43</v>
      </c>
      <c r="J37" s="2">
        <f>SUM(J15,J17)</f>
        <v>5898559</v>
      </c>
    </row>
    <row r="38" spans="1:14" x14ac:dyDescent="0.2">
      <c r="A38" t="s">
        <v>46</v>
      </c>
      <c r="I38" s="8" t="s">
        <v>44</v>
      </c>
      <c r="J38" s="2">
        <f>SUM(J20)</f>
        <v>1073616</v>
      </c>
    </row>
    <row r="39" spans="1:14" x14ac:dyDescent="0.2">
      <c r="A39" t="s">
        <v>49</v>
      </c>
      <c r="C39" s="2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47</v>
      </c>
      <c r="C40" s="2">
        <f>SUMIFS($J$2:$J$32,$B$2:$B$32, "Solar PV")+SUMIFS($J$2:$J$32,$B$2:$B$32, "Offshore Wind")+SUMIFS($J$2:$J$32,$B$2:$B$32, "Onshore Wind")+SUMIFS($J$2:$J$32,$B$2:$B$32, "Sewage Gas")</f>
        <v>7073842.7000000002</v>
      </c>
    </row>
    <row r="41" spans="1:14" x14ac:dyDescent="0.2">
      <c r="A41" t="s">
        <v>48</v>
      </c>
      <c r="C41" s="2">
        <f>SUMIFS($J$2:$J$32,$B$2:$B$32, "Offshore Wind")+SUMIFS($J$2:$J$32,$B$2:$B$32, "Onshore Wind")</f>
        <v>5898559</v>
      </c>
    </row>
  </sheetData>
  <autoFilter ref="A1:N41" xr:uid="{9B4D27E0-A6E7-0A4E-A9C8-EA69BF34BB6E}"/>
  <mergeCells count="5">
    <mergeCell ref="A34:A35"/>
    <mergeCell ref="A2:A21"/>
    <mergeCell ref="A23:A27"/>
    <mergeCell ref="A28:A29"/>
    <mergeCell ref="A30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Inflexible</vt:lpstr>
      <vt:lpstr>Temporal</vt:lpstr>
      <vt:lpstr>Spatial</vt:lpstr>
      <vt:lpstr>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2026-08-15T18:57:37Z</dcterms:modified>
</cp:coreProperties>
</file>