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"/>
    </mc:Choice>
  </mc:AlternateContent>
  <xr:revisionPtr revIDLastSave="0" documentId="13_ncr:1_{CC2A8B0A-5AF3-314C-A5FC-F2B9E48F1C04}" xr6:coauthVersionLast="47" xr6:coauthVersionMax="47" xr10:uidLastSave="{00000000-0000-0000-0000-000000000000}"/>
  <bookViews>
    <workbookView xWindow="13780" yWindow="660" windowWidth="16460" windowHeight="17400" activeTab="2" xr2:uid="{D4188A73-9F76-7B43-A2AE-82D891E862BC}"/>
  </bookViews>
  <sheets>
    <sheet name="Inflexible" sheetId="4" r:id="rId1"/>
    <sheet name="Temporal" sheetId="2" r:id="rId2"/>
    <sheet name="Spatial" sheetId="1" r:id="rId3"/>
    <sheet name="Both" sheetId="3" r:id="rId4"/>
  </sheets>
  <definedNames>
    <definedName name="_xlnm._FilterDatabase" localSheetId="3" hidden="1">Both!$A$1:$N$41</definedName>
    <definedName name="_xlnm._FilterDatabase" localSheetId="0" hidden="1">Inflexible!$A$1:$N$35</definedName>
    <definedName name="_xlnm._FilterDatabase" localSheetId="2" hidden="1">Spatial!$A$1:$N$36</definedName>
    <definedName name="_xlnm._FilterDatabase" localSheetId="1" hidden="1">Temporal!$A$1:$N$37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7" i="3" l="1"/>
  <c r="J35" i="1"/>
  <c r="J34" i="4"/>
  <c r="J36" i="2"/>
  <c r="J33" i="4"/>
  <c r="L33" i="4"/>
  <c r="M33" i="4"/>
  <c r="N33" i="4"/>
  <c r="C41" i="4"/>
  <c r="C40" i="4"/>
  <c r="C39" i="4"/>
  <c r="C41" i="3"/>
  <c r="C40" i="3"/>
  <c r="C39" i="3"/>
  <c r="C41" i="2"/>
  <c r="C40" i="2"/>
  <c r="C39" i="2"/>
  <c r="C39" i="1"/>
  <c r="C40" i="1"/>
  <c r="C41" i="1"/>
  <c r="J37" i="2"/>
  <c r="J38" i="3"/>
  <c r="J36" i="1"/>
  <c r="N36" i="3"/>
  <c r="M36" i="3"/>
  <c r="L36" i="3"/>
  <c r="J36" i="3"/>
  <c r="N35" i="2"/>
  <c r="M35" i="2"/>
  <c r="L35" i="2"/>
  <c r="J35" i="2"/>
  <c r="J35" i="4"/>
  <c r="N34" i="1"/>
  <c r="M34" i="1"/>
  <c r="L34" i="1"/>
  <c r="J34" i="1"/>
</calcChain>
</file>

<file path=xl/sharedStrings.xml><?xml version="1.0" encoding="utf-8"?>
<sst xmlns="http://schemas.openxmlformats.org/spreadsheetml/2006/main" count="283" uniqueCount="63">
  <si>
    <t>Optimal Capacity</t>
  </si>
  <si>
    <t>Installed Capacity</t>
  </si>
  <si>
    <t>Supply</t>
  </si>
  <si>
    <t>Withdrawal</t>
  </si>
  <si>
    <t>Energy Balance</t>
  </si>
  <si>
    <t>Transmission</t>
  </si>
  <si>
    <t>Capacity Factor</t>
  </si>
  <si>
    <t>Curtailment</t>
  </si>
  <si>
    <t>Capital Expenditure</t>
  </si>
  <si>
    <t>Operational Expenditure</t>
  </si>
  <si>
    <t>Revenue</t>
  </si>
  <si>
    <t>Market Value</t>
  </si>
  <si>
    <t>Generator</t>
  </si>
  <si>
    <t>Advanced Biofuel</t>
  </si>
  <si>
    <t>Biogas</t>
  </si>
  <si>
    <t>Biomass</t>
  </si>
  <si>
    <t>Combined Cycle Gas Turbine</t>
  </si>
  <si>
    <t>European Imports</t>
  </si>
  <si>
    <t>Landfill Gas</t>
  </si>
  <si>
    <t>Large Hydro</t>
  </si>
  <si>
    <t>Load Shedding</t>
  </si>
  <si>
    <t>NaN</t>
  </si>
  <si>
    <t>Nuclear</t>
  </si>
  <si>
    <t>Offshore Wind</t>
  </si>
  <si>
    <t>Oil</t>
  </si>
  <si>
    <t>Onshore Wind</t>
  </si>
  <si>
    <t>Open Cycle Gas Turbine</t>
  </si>
  <si>
    <t>Sewage Gas</t>
  </si>
  <si>
    <t>Solar PV</t>
  </si>
  <si>
    <t>Waste to Energy</t>
  </si>
  <si>
    <t>Link</t>
  </si>
  <si>
    <t>AC</t>
  </si>
  <si>
    <t>DC</t>
  </si>
  <si>
    <t>Virtual Link</t>
  </si>
  <si>
    <t>Load</t>
  </si>
  <si>
    <t>Data Centre</t>
  </si>
  <si>
    <t>Electricity</t>
  </si>
  <si>
    <t>StorageUnit</t>
  </si>
  <si>
    <t>Battery Storage</t>
  </si>
  <si>
    <t>Pumped Storage Hydroelectricity</t>
  </si>
  <si>
    <t>DSM</t>
  </si>
  <si>
    <t>Store</t>
  </si>
  <si>
    <t>total curtailment:</t>
  </si>
  <si>
    <t>wind curtailment:</t>
  </si>
  <si>
    <t>solar curtailment:</t>
  </si>
  <si>
    <t>total:</t>
  </si>
  <si>
    <t>Summary</t>
  </si>
  <si>
    <t>Total Green Energy curtailment:</t>
  </si>
  <si>
    <t>Total Wind Energy Curtailment:</t>
  </si>
  <si>
    <t>Total Green Capacity:</t>
  </si>
  <si>
    <t>Combined Heat &amp; Power</t>
  </si>
  <si>
    <t>Gas Engine</t>
  </si>
  <si>
    <t>Geothermal</t>
  </si>
  <si>
    <t>Marine Energy</t>
  </si>
  <si>
    <t>Line</t>
  </si>
  <si>
    <t>Electrolysis</t>
  </si>
  <si>
    <t>H2 Power Generation</t>
  </si>
  <si>
    <t>Domestic Battery Storage</t>
  </si>
  <si>
    <t>Liquid Air Energy Storage</t>
  </si>
  <si>
    <t>Hydrogen Gas</t>
  </si>
  <si>
    <t>Optimal objective 2.162244529e+08</t>
  </si>
  <si>
    <t>Objective: 2.15e+08</t>
  </si>
  <si>
    <t>Objective: 2.16e+08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</si>
</sst>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1" fontId="0" fillId="0" borderId="0" xfId="0" applyNumberFormat="1"/>
    <xf numFmtId="11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5" xfId="0" applyBorder="1"/>
    <xf numFmtId="11" fontId="0" fillId="0" borderId="6" xfId="0" applyNumberFormat="1" applyBorder="1"/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2E32-7E17-D640-8808-61170EE7E9D2}">
  <dimension ref="A1:N43"/>
  <sheetViews>
    <sheetView topLeftCell="A15" workbookViewId="0">
      <selection activeCell="A44" sqref="A44"/>
    </sheetView>
  </sheetViews>
  <sheetFormatPr baseColWidth="10" defaultColWidth="16" defaultRowHeight="16" x14ac:dyDescent="0.2"/>
  <cols>
    <col min="1" max="1" width="8.5" customWidth="1"/>
    <col min="2" max="2" width="19.5" customWidth="1"/>
    <col min="3" max="3" width="21.33203125" customWidth="1"/>
    <col min="4" max="4" width="22.6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4">
        <v>372.43929000000003</v>
      </c>
      <c r="D2" s="4">
        <v>372.43929000000003</v>
      </c>
      <c r="E2" s="3">
        <v>0</v>
      </c>
      <c r="F2" s="3">
        <v>0</v>
      </c>
      <c r="G2" s="3">
        <v>0</v>
      </c>
      <c r="H2" s="3">
        <v>0</v>
      </c>
      <c r="I2" s="4">
        <v>0</v>
      </c>
      <c r="J2" s="3">
        <v>813779.8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2"/>
      <c r="B3" s="1" t="s">
        <v>14</v>
      </c>
      <c r="C3" s="4">
        <v>1642.8915400000001</v>
      </c>
      <c r="D3" s="4">
        <v>1642.8915400000001</v>
      </c>
      <c r="E3" s="3">
        <v>37982.949999999997</v>
      </c>
      <c r="F3" s="3">
        <v>0</v>
      </c>
      <c r="G3" s="3">
        <v>37982.949999999997</v>
      </c>
      <c r="H3" s="3">
        <v>0</v>
      </c>
      <c r="I3" s="4">
        <v>1.0581E-2</v>
      </c>
      <c r="J3" s="3">
        <v>3551735</v>
      </c>
      <c r="K3" s="4">
        <v>0</v>
      </c>
      <c r="L3" s="3">
        <v>3076619</v>
      </c>
      <c r="M3" s="3">
        <v>3368170</v>
      </c>
      <c r="N3" s="4">
        <v>88.675847000000005</v>
      </c>
    </row>
    <row r="4" spans="1:14" x14ac:dyDescent="0.2">
      <c r="A4" s="12"/>
      <c r="B4" s="1" t="s">
        <v>15</v>
      </c>
      <c r="C4" s="4">
        <v>9185.8067100000007</v>
      </c>
      <c r="D4" s="4">
        <v>9185.8067100000007</v>
      </c>
      <c r="E4" s="3">
        <v>50971.67</v>
      </c>
      <c r="F4" s="3">
        <v>0</v>
      </c>
      <c r="G4" s="3">
        <v>50971.67</v>
      </c>
      <c r="H4" s="3">
        <v>0</v>
      </c>
      <c r="I4" s="4">
        <v>2.5400000000000002E-3</v>
      </c>
      <c r="J4" s="3">
        <v>20020020</v>
      </c>
      <c r="K4" s="4">
        <v>0</v>
      </c>
      <c r="L4" s="3">
        <v>4587450</v>
      </c>
      <c r="M4" s="3">
        <v>4603619</v>
      </c>
      <c r="N4" s="4">
        <v>90.317196999999993</v>
      </c>
    </row>
    <row r="5" spans="1:14" ht="30" x14ac:dyDescent="0.2">
      <c r="A5" s="12"/>
      <c r="B5" s="1" t="s">
        <v>16</v>
      </c>
      <c r="C5" s="4">
        <v>23586</v>
      </c>
      <c r="D5" s="4">
        <v>23586</v>
      </c>
      <c r="E5" s="3">
        <v>0</v>
      </c>
      <c r="F5" s="3">
        <v>0</v>
      </c>
      <c r="G5" s="3">
        <v>0</v>
      </c>
      <c r="H5" s="3">
        <v>0</v>
      </c>
      <c r="I5" s="4">
        <v>0</v>
      </c>
      <c r="J5" s="3">
        <v>51535410</v>
      </c>
      <c r="K5" s="4">
        <v>0</v>
      </c>
      <c r="L5" s="3">
        <v>0</v>
      </c>
      <c r="M5" s="3">
        <v>0</v>
      </c>
      <c r="N5" s="4" t="s">
        <v>21</v>
      </c>
    </row>
    <row r="6" spans="1:14" x14ac:dyDescent="0.2">
      <c r="A6" s="12"/>
      <c r="B6" s="1" t="s">
        <v>50</v>
      </c>
      <c r="C6" s="4">
        <v>3534.0360000000001</v>
      </c>
      <c r="D6" s="4">
        <v>3534.0360000000001</v>
      </c>
      <c r="E6" s="3">
        <v>0</v>
      </c>
      <c r="F6" s="3">
        <v>0</v>
      </c>
      <c r="G6" s="3">
        <v>0</v>
      </c>
      <c r="H6" s="3">
        <v>0</v>
      </c>
      <c r="I6" s="4">
        <v>0</v>
      </c>
      <c r="J6" s="3">
        <v>7721869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2"/>
      <c r="B7" s="1" t="s">
        <v>17</v>
      </c>
      <c r="C7" s="4">
        <v>13695</v>
      </c>
      <c r="D7" s="4">
        <v>13695</v>
      </c>
      <c r="E7" s="3">
        <v>5999248</v>
      </c>
      <c r="F7" s="3">
        <v>0</v>
      </c>
      <c r="G7" s="3">
        <v>5999248</v>
      </c>
      <c r="H7" s="3">
        <v>0</v>
      </c>
      <c r="I7" s="4">
        <v>0.200486</v>
      </c>
      <c r="J7" s="3">
        <v>23924330</v>
      </c>
      <c r="K7" s="4">
        <v>0</v>
      </c>
      <c r="L7" s="3">
        <v>139402300</v>
      </c>
      <c r="M7" s="3">
        <v>139402300</v>
      </c>
      <c r="N7" s="4">
        <v>23.236629000000001</v>
      </c>
    </row>
    <row r="8" spans="1:14" x14ac:dyDescent="0.2">
      <c r="A8" s="12"/>
      <c r="B8" s="1" t="s">
        <v>51</v>
      </c>
      <c r="C8" s="4">
        <v>4067.2939999999999</v>
      </c>
      <c r="D8" s="4">
        <v>4067.2939999999999</v>
      </c>
      <c r="E8" s="3">
        <v>0</v>
      </c>
      <c r="F8" s="3">
        <v>0</v>
      </c>
      <c r="G8" s="3">
        <v>0</v>
      </c>
      <c r="H8" s="3">
        <v>0</v>
      </c>
      <c r="I8" s="4">
        <v>0</v>
      </c>
      <c r="J8" s="3">
        <v>8887037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2"/>
      <c r="B9" s="1" t="s">
        <v>52</v>
      </c>
      <c r="C9" s="4">
        <v>11</v>
      </c>
      <c r="D9" s="4">
        <v>11</v>
      </c>
      <c r="E9" s="3">
        <v>6463.8180000000002</v>
      </c>
      <c r="F9" s="3">
        <v>0</v>
      </c>
      <c r="G9" s="3">
        <v>6463.8180000000002</v>
      </c>
      <c r="H9" s="3">
        <v>0</v>
      </c>
      <c r="I9" s="4">
        <v>0.26893400000000001</v>
      </c>
      <c r="J9" s="3">
        <v>17571.18</v>
      </c>
      <c r="K9" s="4">
        <v>0</v>
      </c>
      <c r="L9" s="3">
        <v>80539.17</v>
      </c>
      <c r="M9" s="3">
        <v>272389.3</v>
      </c>
      <c r="N9" s="4">
        <v>42.140616000000001</v>
      </c>
    </row>
    <row r="10" spans="1:14" x14ac:dyDescent="0.2">
      <c r="A10" s="12"/>
      <c r="B10" s="1" t="s">
        <v>18</v>
      </c>
      <c r="C10" s="4">
        <v>834.51107000000002</v>
      </c>
      <c r="D10" s="4">
        <v>834.51107000000002</v>
      </c>
      <c r="E10" s="3">
        <v>141381.1</v>
      </c>
      <c r="F10" s="3">
        <v>0</v>
      </c>
      <c r="G10" s="3">
        <v>141381.1</v>
      </c>
      <c r="H10" s="3">
        <v>0</v>
      </c>
      <c r="I10" s="4">
        <v>7.7536999999999995E-2</v>
      </c>
      <c r="J10" s="3">
        <v>1682026</v>
      </c>
      <c r="K10" s="4">
        <v>0</v>
      </c>
      <c r="L10" s="3">
        <v>7634579</v>
      </c>
      <c r="M10" s="3">
        <v>10921390</v>
      </c>
      <c r="N10" s="4">
        <v>77.247872000000001</v>
      </c>
    </row>
    <row r="11" spans="1:14" x14ac:dyDescent="0.2">
      <c r="A11" s="12"/>
      <c r="B11" s="1" t="s">
        <v>19</v>
      </c>
      <c r="C11" s="4">
        <v>1897.296</v>
      </c>
      <c r="D11" s="4">
        <v>1897.296</v>
      </c>
      <c r="E11" s="3">
        <v>1270319</v>
      </c>
      <c r="F11" s="3">
        <v>0</v>
      </c>
      <c r="G11" s="3">
        <v>1270319</v>
      </c>
      <c r="H11" s="3">
        <v>0</v>
      </c>
      <c r="I11" s="4">
        <v>0.306427</v>
      </c>
      <c r="J11" s="3">
        <v>387917.2</v>
      </c>
      <c r="K11" s="4">
        <v>0</v>
      </c>
      <c r="L11" s="3">
        <v>0</v>
      </c>
      <c r="M11" s="3">
        <v>18274590</v>
      </c>
      <c r="N11" s="4">
        <v>14.385819</v>
      </c>
    </row>
    <row r="12" spans="1:14" x14ac:dyDescent="0.2">
      <c r="A12" s="12"/>
      <c r="B12" s="1" t="s">
        <v>20</v>
      </c>
      <c r="C12" s="4">
        <v>48629.190949999997</v>
      </c>
      <c r="D12" s="4">
        <v>48629.190949999997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61882950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2"/>
      <c r="B13" s="1" t="s">
        <v>53</v>
      </c>
      <c r="C13" s="4">
        <v>254.358</v>
      </c>
      <c r="D13" s="4">
        <v>254.358</v>
      </c>
      <c r="E13" s="3">
        <v>218181.4</v>
      </c>
      <c r="F13" s="3">
        <v>0</v>
      </c>
      <c r="G13" s="3">
        <v>218181.4</v>
      </c>
      <c r="H13" s="3">
        <v>0</v>
      </c>
      <c r="I13" s="4">
        <v>0.39257300000000001</v>
      </c>
      <c r="J13" s="3">
        <v>53916.06</v>
      </c>
      <c r="K13" s="4">
        <v>0</v>
      </c>
      <c r="L13" s="3">
        <v>0</v>
      </c>
      <c r="M13" s="3">
        <v>3379791</v>
      </c>
      <c r="N13" s="4">
        <v>15.490740000000001</v>
      </c>
    </row>
    <row r="14" spans="1:14" x14ac:dyDescent="0.2">
      <c r="A14" s="12"/>
      <c r="B14" s="1" t="s">
        <v>22</v>
      </c>
      <c r="C14" s="4">
        <v>4570</v>
      </c>
      <c r="D14" s="4">
        <v>4570</v>
      </c>
      <c r="E14" s="3">
        <v>3666337</v>
      </c>
      <c r="F14" s="3">
        <v>0</v>
      </c>
      <c r="G14" s="3">
        <v>3666337</v>
      </c>
      <c r="H14" s="3">
        <v>0</v>
      </c>
      <c r="I14" s="4">
        <v>0.36716799999999999</v>
      </c>
      <c r="J14" s="3">
        <v>6319113</v>
      </c>
      <c r="K14" s="4">
        <v>0</v>
      </c>
      <c r="L14" s="3">
        <v>36663370</v>
      </c>
      <c r="M14" s="3">
        <v>135573500</v>
      </c>
      <c r="N14" s="4">
        <v>36.977924000000002</v>
      </c>
    </row>
    <row r="15" spans="1:14" x14ac:dyDescent="0.2">
      <c r="A15" s="12"/>
      <c r="B15" s="1" t="s">
        <v>23</v>
      </c>
      <c r="C15" s="4">
        <v>53544.201999999997</v>
      </c>
      <c r="D15" s="4">
        <v>53544.201999999997</v>
      </c>
      <c r="E15" s="3">
        <v>37261600</v>
      </c>
      <c r="F15" s="3">
        <v>0</v>
      </c>
      <c r="G15" s="3">
        <v>37261600</v>
      </c>
      <c r="H15" s="3">
        <v>0</v>
      </c>
      <c r="I15" s="4">
        <v>0.31849100000000002</v>
      </c>
      <c r="J15" s="3">
        <v>8871981</v>
      </c>
      <c r="K15" s="4">
        <v>0</v>
      </c>
      <c r="L15" s="3">
        <v>0</v>
      </c>
      <c r="M15" s="3">
        <v>217254200</v>
      </c>
      <c r="N15" s="4">
        <v>5.8305100000000003</v>
      </c>
    </row>
    <row r="16" spans="1:14" x14ac:dyDescent="0.2">
      <c r="A16" s="12"/>
      <c r="B16" s="1" t="s">
        <v>24</v>
      </c>
      <c r="C16" s="4">
        <v>78.5</v>
      </c>
      <c r="D16" s="4">
        <v>78.5</v>
      </c>
      <c r="E16" s="3">
        <v>0</v>
      </c>
      <c r="F16" s="3">
        <v>0</v>
      </c>
      <c r="G16" s="3">
        <v>0</v>
      </c>
      <c r="H16" s="3">
        <v>0</v>
      </c>
      <c r="I16" s="4">
        <v>0</v>
      </c>
      <c r="J16" s="3">
        <v>171522.5</v>
      </c>
      <c r="K16" s="4">
        <v>0</v>
      </c>
      <c r="L16" s="3">
        <v>0</v>
      </c>
      <c r="M16" s="3">
        <v>0</v>
      </c>
      <c r="N16" s="4" t="s">
        <v>21</v>
      </c>
    </row>
    <row r="17" spans="1:14" ht="30" customHeight="1" x14ac:dyDescent="0.2">
      <c r="A17" s="12"/>
      <c r="B17" s="1" t="s">
        <v>25</v>
      </c>
      <c r="C17" s="4">
        <v>27270.741000000002</v>
      </c>
      <c r="D17" s="4">
        <v>27270.741000000002</v>
      </c>
      <c r="E17" s="3">
        <v>15514480</v>
      </c>
      <c r="F17" s="3">
        <v>0</v>
      </c>
      <c r="G17" s="3">
        <v>15514480</v>
      </c>
      <c r="H17" s="3">
        <v>0</v>
      </c>
      <c r="I17" s="4">
        <v>0.26036900000000002</v>
      </c>
      <c r="J17" s="3">
        <v>5398439</v>
      </c>
      <c r="K17" s="4">
        <v>0</v>
      </c>
      <c r="L17" s="3">
        <v>0</v>
      </c>
      <c r="M17" s="3">
        <v>87122930</v>
      </c>
      <c r="N17" s="4">
        <v>5.6155900000000001</v>
      </c>
    </row>
    <row r="18" spans="1:14" x14ac:dyDescent="0.2">
      <c r="A18" s="12"/>
      <c r="B18" s="1" t="s">
        <v>26</v>
      </c>
      <c r="C18" s="4">
        <v>3662.89</v>
      </c>
      <c r="D18" s="4">
        <v>3662.89</v>
      </c>
      <c r="E18" s="3">
        <v>0</v>
      </c>
      <c r="F18" s="3">
        <v>0</v>
      </c>
      <c r="G18" s="3">
        <v>0</v>
      </c>
      <c r="H18" s="3">
        <v>0</v>
      </c>
      <c r="I18" s="4">
        <v>0</v>
      </c>
      <c r="J18" s="3">
        <v>8003415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2"/>
      <c r="B19" s="1" t="s">
        <v>27</v>
      </c>
      <c r="C19" s="4">
        <v>55.819389999999999</v>
      </c>
      <c r="D19" s="4">
        <v>55.819389999999999</v>
      </c>
      <c r="E19" s="3">
        <v>8317.09</v>
      </c>
      <c r="F19" s="3">
        <v>0</v>
      </c>
      <c r="G19" s="3">
        <v>8317.09</v>
      </c>
      <c r="H19" s="3">
        <v>0</v>
      </c>
      <c r="I19" s="4">
        <v>6.8192000000000003E-2</v>
      </c>
      <c r="J19" s="3">
        <v>113648.3</v>
      </c>
      <c r="K19" s="4">
        <v>0</v>
      </c>
      <c r="L19" s="3">
        <v>523976.7</v>
      </c>
      <c r="M19" s="3">
        <v>665960.19999999995</v>
      </c>
      <c r="N19" s="4">
        <v>80.071265999999994</v>
      </c>
    </row>
    <row r="20" spans="1:14" x14ac:dyDescent="0.2">
      <c r="A20" s="12"/>
      <c r="B20" s="1" t="s">
        <v>28</v>
      </c>
      <c r="C20" s="4">
        <v>40470.421999999999</v>
      </c>
      <c r="D20" s="4">
        <v>40470.421999999999</v>
      </c>
      <c r="E20" s="3">
        <v>5349334</v>
      </c>
      <c r="F20" s="3">
        <v>0</v>
      </c>
      <c r="G20" s="3">
        <v>5349334</v>
      </c>
      <c r="H20" s="3">
        <v>0</v>
      </c>
      <c r="I20" s="4">
        <v>6.0493999999999999E-2</v>
      </c>
      <c r="J20" s="3">
        <v>601989.4</v>
      </c>
      <c r="K20" s="4">
        <v>0</v>
      </c>
      <c r="L20" s="3">
        <v>0</v>
      </c>
      <c r="M20" s="3">
        <v>72954590</v>
      </c>
      <c r="N20" s="4">
        <v>13.638068000000001</v>
      </c>
    </row>
    <row r="21" spans="1:14" x14ac:dyDescent="0.2">
      <c r="A21" s="11"/>
      <c r="B21" s="1" t="s">
        <v>29</v>
      </c>
      <c r="C21" s="4">
        <v>4643.1779999999999</v>
      </c>
      <c r="D21" s="4">
        <v>4643.1779999999999</v>
      </c>
      <c r="E21" s="3">
        <v>314004.8</v>
      </c>
      <c r="F21" s="3">
        <v>0</v>
      </c>
      <c r="G21" s="3">
        <v>314004.8</v>
      </c>
      <c r="H21" s="3">
        <v>0</v>
      </c>
      <c r="I21" s="4">
        <v>3.0950999999999999E-2</v>
      </c>
      <c r="J21" s="3">
        <v>9831339</v>
      </c>
      <c r="K21" s="4">
        <v>0</v>
      </c>
      <c r="L21" s="3">
        <v>23738760</v>
      </c>
      <c r="M21" s="3">
        <v>25804630</v>
      </c>
      <c r="N21" s="4">
        <v>82.179096999999999</v>
      </c>
    </row>
    <row r="22" spans="1:14" x14ac:dyDescent="0.2">
      <c r="A22" s="1" t="s">
        <v>54</v>
      </c>
      <c r="B22" s="1" t="s">
        <v>31</v>
      </c>
      <c r="C22" s="4">
        <v>230800</v>
      </c>
      <c r="D22" s="4">
        <v>230800</v>
      </c>
      <c r="E22" s="3">
        <v>44728750</v>
      </c>
      <c r="F22" s="3">
        <v>26612330</v>
      </c>
      <c r="G22" s="3">
        <v>18116420</v>
      </c>
      <c r="H22" s="3">
        <v>-18116420</v>
      </c>
      <c r="I22" s="4">
        <v>0.14146600000000001</v>
      </c>
      <c r="J22" s="3">
        <v>0</v>
      </c>
      <c r="K22" s="4">
        <v>0</v>
      </c>
      <c r="L22" s="3">
        <v>0</v>
      </c>
      <c r="M22" s="3">
        <v>549970000</v>
      </c>
      <c r="N22" s="4">
        <v>7.709022</v>
      </c>
    </row>
    <row r="23" spans="1:14" x14ac:dyDescent="0.2">
      <c r="A23" s="10" t="s">
        <v>30</v>
      </c>
      <c r="B23" s="1" t="s">
        <v>32</v>
      </c>
      <c r="C23" s="4">
        <v>12450</v>
      </c>
      <c r="D23" s="4">
        <v>12450</v>
      </c>
      <c r="E23" s="3">
        <v>11194070</v>
      </c>
      <c r="F23" s="3">
        <v>5040998</v>
      </c>
      <c r="G23" s="3">
        <v>6153075</v>
      </c>
      <c r="H23" s="3">
        <v>-6153075</v>
      </c>
      <c r="I23" s="4">
        <v>0.59680599999999995</v>
      </c>
      <c r="J23" s="3">
        <v>33356320</v>
      </c>
      <c r="K23" s="4">
        <v>0</v>
      </c>
      <c r="L23" s="3">
        <v>0</v>
      </c>
      <c r="M23" s="3">
        <v>273816700</v>
      </c>
      <c r="N23" s="4">
        <v>16.865753999999999</v>
      </c>
    </row>
    <row r="24" spans="1:14" x14ac:dyDescent="0.2">
      <c r="A24" s="12"/>
      <c r="B24" s="1" t="s">
        <v>55</v>
      </c>
      <c r="C24" s="4">
        <v>3653.0947500000002</v>
      </c>
      <c r="D24" s="4">
        <v>3653.0947500000002</v>
      </c>
      <c r="E24" s="3">
        <v>0</v>
      </c>
      <c r="F24" s="3">
        <v>155398.1</v>
      </c>
      <c r="G24" s="3">
        <v>-155398.1</v>
      </c>
      <c r="H24" s="3">
        <v>0</v>
      </c>
      <c r="I24" s="4">
        <v>1.9469E-2</v>
      </c>
      <c r="J24" s="3">
        <v>7826614</v>
      </c>
      <c r="K24" s="4">
        <v>0</v>
      </c>
      <c r="L24" s="3">
        <v>0</v>
      </c>
      <c r="M24" s="3">
        <v>187.2158</v>
      </c>
      <c r="N24" s="4">
        <v>1.2049999999999999E-3</v>
      </c>
    </row>
    <row r="25" spans="1:14" x14ac:dyDescent="0.2">
      <c r="A25" s="11"/>
      <c r="B25" s="1" t="s">
        <v>56</v>
      </c>
      <c r="C25" s="4">
        <v>278.38099999999997</v>
      </c>
      <c r="D25" s="4">
        <v>278.38099999999997</v>
      </c>
      <c r="E25" s="3">
        <v>0</v>
      </c>
      <c r="F25" s="3">
        <v>103374</v>
      </c>
      <c r="G25" s="3">
        <v>-103374</v>
      </c>
      <c r="H25" s="3">
        <v>0</v>
      </c>
      <c r="I25" s="4">
        <v>0.16994999999999999</v>
      </c>
      <c r="J25" s="3">
        <v>504888.5</v>
      </c>
      <c r="K25" s="4">
        <v>0</v>
      </c>
      <c r="L25" s="3">
        <v>516869.9</v>
      </c>
      <c r="M25" s="3">
        <v>0</v>
      </c>
      <c r="N25" s="4" t="s">
        <v>21</v>
      </c>
    </row>
    <row r="26" spans="1:14" x14ac:dyDescent="0.2">
      <c r="A26" s="10" t="s">
        <v>34</v>
      </c>
      <c r="B26" s="1" t="s">
        <v>35</v>
      </c>
      <c r="C26" s="4">
        <v>0</v>
      </c>
      <c r="D26" s="4">
        <v>0</v>
      </c>
      <c r="E26" s="3">
        <v>0</v>
      </c>
      <c r="F26" s="3">
        <v>1877549</v>
      </c>
      <c r="G26" s="3">
        <v>-1877549</v>
      </c>
      <c r="H26" s="3">
        <v>0</v>
      </c>
      <c r="I26" s="4" t="s">
        <v>21</v>
      </c>
      <c r="J26" s="3">
        <v>0</v>
      </c>
      <c r="K26" s="4">
        <v>0</v>
      </c>
      <c r="L26" s="3">
        <v>0</v>
      </c>
      <c r="M26" s="3">
        <v>-25420140</v>
      </c>
      <c r="N26" s="4">
        <v>-13.539002999999999</v>
      </c>
    </row>
    <row r="27" spans="1:14" x14ac:dyDescent="0.2">
      <c r="A27" s="11"/>
      <c r="B27" s="1" t="s">
        <v>36</v>
      </c>
      <c r="C27" s="4">
        <v>0</v>
      </c>
      <c r="D27" s="4">
        <v>0</v>
      </c>
      <c r="E27" s="3">
        <v>0</v>
      </c>
      <c r="F27" s="3">
        <v>61882950</v>
      </c>
      <c r="G27" s="3">
        <v>-61882950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-900001100</v>
      </c>
      <c r="N27" s="4">
        <v>-14.543606</v>
      </c>
    </row>
    <row r="28" spans="1:14" ht="16" customHeight="1" x14ac:dyDescent="0.2">
      <c r="A28" s="10" t="s">
        <v>37</v>
      </c>
      <c r="B28" s="1" t="s">
        <v>38</v>
      </c>
      <c r="C28" s="4">
        <v>26471.973000000002</v>
      </c>
      <c r="D28" s="4">
        <v>26471.973000000002</v>
      </c>
      <c r="E28" s="3">
        <v>2459065</v>
      </c>
      <c r="F28" s="3">
        <v>6522189</v>
      </c>
      <c r="G28" s="3">
        <v>-4063124</v>
      </c>
      <c r="H28" s="3">
        <v>0</v>
      </c>
      <c r="I28" s="4">
        <v>0.155274</v>
      </c>
      <c r="J28" s="3">
        <v>61904380</v>
      </c>
      <c r="K28" s="4">
        <v>0</v>
      </c>
      <c r="L28" s="3">
        <v>0</v>
      </c>
      <c r="M28" s="3">
        <v>28601950</v>
      </c>
      <c r="N28" s="4">
        <v>3.1846269999999999</v>
      </c>
    </row>
    <row r="29" spans="1:14" x14ac:dyDescent="0.2">
      <c r="A29" s="12"/>
      <c r="B29" s="1" t="s">
        <v>57</v>
      </c>
      <c r="C29" s="4">
        <v>857.70799999999997</v>
      </c>
      <c r="D29" s="4">
        <v>857.70799999999997</v>
      </c>
      <c r="E29" s="3">
        <v>160492.79999999999</v>
      </c>
      <c r="F29" s="3">
        <v>307106.59999999998</v>
      </c>
      <c r="G29" s="3">
        <v>-146613.9</v>
      </c>
      <c r="H29" s="3">
        <v>0</v>
      </c>
      <c r="I29" s="4">
        <v>0.24950700000000001</v>
      </c>
      <c r="J29" s="3">
        <v>2020706</v>
      </c>
      <c r="K29" s="4">
        <v>0</v>
      </c>
      <c r="L29" s="3">
        <v>0</v>
      </c>
      <c r="M29" s="3">
        <v>935741.1</v>
      </c>
      <c r="N29" s="4">
        <v>2.00116</v>
      </c>
    </row>
    <row r="30" spans="1:14" x14ac:dyDescent="0.2">
      <c r="A30" s="12"/>
      <c r="B30" s="1" t="s">
        <v>58</v>
      </c>
      <c r="C30" s="4">
        <v>457.99400000000003</v>
      </c>
      <c r="D30" s="4">
        <v>457.99400000000003</v>
      </c>
      <c r="E30" s="3">
        <v>35350.1</v>
      </c>
      <c r="F30" s="3">
        <v>313682.8</v>
      </c>
      <c r="G30" s="3">
        <v>-278332.7</v>
      </c>
      <c r="H30" s="3">
        <v>0</v>
      </c>
      <c r="I30" s="4">
        <v>0.34878300000000001</v>
      </c>
      <c r="J30" s="3">
        <v>1279050</v>
      </c>
      <c r="K30" s="4">
        <v>0</v>
      </c>
      <c r="L30" s="3">
        <v>0</v>
      </c>
      <c r="M30" s="3">
        <v>919154.8</v>
      </c>
      <c r="N30" s="4">
        <v>2.6334330000000001</v>
      </c>
    </row>
    <row r="31" spans="1:14" ht="30" x14ac:dyDescent="0.2">
      <c r="A31" s="11"/>
      <c r="B31" s="1" t="s">
        <v>39</v>
      </c>
      <c r="C31" s="4">
        <v>5300</v>
      </c>
      <c r="D31" s="4">
        <v>5300</v>
      </c>
      <c r="E31" s="3">
        <v>785515.1</v>
      </c>
      <c r="F31" s="3">
        <v>2425686</v>
      </c>
      <c r="G31" s="3">
        <v>-1640171</v>
      </c>
      <c r="H31" s="3">
        <v>0</v>
      </c>
      <c r="I31" s="4">
        <v>0.27729399999999998</v>
      </c>
      <c r="J31" s="3">
        <v>13220670</v>
      </c>
      <c r="K31" s="4">
        <v>0</v>
      </c>
      <c r="L31" s="3">
        <v>0</v>
      </c>
      <c r="M31" s="3">
        <v>18234220</v>
      </c>
      <c r="N31" s="4">
        <v>5.6783190000000001</v>
      </c>
    </row>
    <row r="32" spans="1:14" x14ac:dyDescent="0.2">
      <c r="A32" s="1" t="s">
        <v>41</v>
      </c>
      <c r="B32" s="1" t="s">
        <v>59</v>
      </c>
      <c r="C32" s="4">
        <v>46768.008000000002</v>
      </c>
      <c r="D32" s="4">
        <v>46768.008000000002</v>
      </c>
      <c r="E32" s="3">
        <v>102164.7</v>
      </c>
      <c r="F32" s="3">
        <v>107569.4</v>
      </c>
      <c r="G32" s="3">
        <v>-5404.7020000000002</v>
      </c>
      <c r="H32" s="3">
        <v>0</v>
      </c>
      <c r="I32" s="4">
        <v>0.52889699999999995</v>
      </c>
      <c r="J32" s="3">
        <v>0</v>
      </c>
      <c r="K32" s="4">
        <v>0</v>
      </c>
      <c r="L32" s="3">
        <v>0</v>
      </c>
      <c r="M32" s="3">
        <v>0</v>
      </c>
      <c r="N32" s="4" t="s">
        <v>21</v>
      </c>
    </row>
    <row r="33" spans="1:14" x14ac:dyDescent="0.2">
      <c r="I33" s="9" t="s">
        <v>42</v>
      </c>
      <c r="J33" s="7">
        <f>SUM(J2:J30)</f>
        <v>326681966.94000006</v>
      </c>
      <c r="K33" s="5" t="s">
        <v>45</v>
      </c>
      <c r="L33" s="2">
        <f>SUM(L1:L30)</f>
        <v>216224463.76999998</v>
      </c>
      <c r="M33" s="2">
        <f>SUM(M1:M30)</f>
        <v>648420552.61580002</v>
      </c>
      <c r="N33" s="2">
        <f>SUM(N1:N30)</f>
        <v>580.11976700000014</v>
      </c>
    </row>
    <row r="34" spans="1:14" x14ac:dyDescent="0.2">
      <c r="I34" s="8" t="s">
        <v>43</v>
      </c>
      <c r="J34" s="2">
        <f>SUM(J15,J17)</f>
        <v>14270420</v>
      </c>
    </row>
    <row r="35" spans="1:14" x14ac:dyDescent="0.2">
      <c r="I35" s="8" t="s">
        <v>44</v>
      </c>
      <c r="J35" s="2">
        <f>SUM(J20)</f>
        <v>601989.4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SUMIFS($D$2:$D$34,$B$2:$B$34, "Solar PV")+SUMIFS($D$2:$D$34,$B$2:$B$34, "Offshore Wind")+SUMIFS($D$2:$D$34,$B$2:$B$34, "Onshore Wind")+SUMIFS($D$2:$D$34,$B$2:$B$34, "Sewage Gas")</f>
        <v>121341.18438999999</v>
      </c>
    </row>
    <row r="40" spans="1:14" x14ac:dyDescent="0.2">
      <c r="A40" t="s">
        <v>47</v>
      </c>
      <c r="C40" s="2">
        <f>SUMIFS($J$2:$J$34,$B$2:$B$34, "Solar PV")+SUMIFS($J$2:$J$34,$B$2:$B$34, "Offshore Wind")+SUMIFS($J$2:$J$34,$B$2:$B$34, "Onshore Wind")+SUMIFS($J$2:$J$34,$B$2:$B$34, "Sewage Gas")</f>
        <v>14986057.700000001</v>
      </c>
    </row>
    <row r="41" spans="1:14" x14ac:dyDescent="0.2">
      <c r="A41" t="s">
        <v>48</v>
      </c>
      <c r="C41" s="2">
        <f>SUMIFS($J$2:$J$34,$B$2:$B$34, "Offshore Wind")+SUMIFS($J$2:$J$34,$B$2:$B$34, "Onshore Wind")</f>
        <v>14270420</v>
      </c>
    </row>
    <row r="43" spans="1:14" x14ac:dyDescent="0.2">
      <c r="A43" t="s">
        <v>60</v>
      </c>
    </row>
  </sheetData>
  <autoFilter ref="A1:N35" xr:uid="{F4972E32-7E17-D640-8808-61170EE7E9D2}"/>
  <mergeCells count="4">
    <mergeCell ref="A2:A21"/>
    <mergeCell ref="A23:A25"/>
    <mergeCell ref="A26:A27"/>
    <mergeCell ref="A28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F803-EC4E-F842-B68E-528EC71F1DE9}">
  <dimension ref="A1:N41"/>
  <sheetViews>
    <sheetView topLeftCell="A15" workbookViewId="0">
      <selection sqref="A1:N34"/>
    </sheetView>
  </sheetViews>
  <sheetFormatPr baseColWidth="10" defaultRowHeight="16" x14ac:dyDescent="0.2"/>
  <cols>
    <col min="2" max="2" width="16.1640625" customWidth="1"/>
    <col min="3" max="3" width="19.1640625" customWidth="1"/>
    <col min="4" max="4" width="14.6640625" customWidth="1"/>
    <col min="5" max="5" width="13.5" customWidth="1"/>
    <col min="6" max="6" width="14.83203125" customWidth="1"/>
    <col min="7" max="7" width="14.6640625" customWidth="1"/>
    <col min="8" max="8" width="18.6640625" customWidth="1"/>
    <col min="9" max="9" width="20.33203125" customWidth="1"/>
    <col min="10" max="10" width="18.1640625" customWidth="1"/>
    <col min="11" max="11" width="17.5" customWidth="1"/>
    <col min="12" max="12" width="24.5" customWidth="1"/>
    <col min="13" max="13" width="17.5" customWidth="1"/>
    <col min="14" max="14" width="18.1640625" customWidth="1"/>
  </cols>
  <sheetData>
    <row r="1" spans="1:14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4">
        <v>0</v>
      </c>
      <c r="J2" s="3">
        <v>813779.8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2"/>
      <c r="B3" s="1" t="s">
        <v>14</v>
      </c>
      <c r="C3" s="3">
        <v>1642.8920000000001</v>
      </c>
      <c r="D3" s="3">
        <v>1642.8920000000001</v>
      </c>
      <c r="E3" s="3">
        <v>37544.07</v>
      </c>
      <c r="F3" s="3">
        <v>0</v>
      </c>
      <c r="G3" s="3">
        <v>37544.07</v>
      </c>
      <c r="H3" s="3">
        <v>0</v>
      </c>
      <c r="I3" s="4">
        <v>1.0459E-2</v>
      </c>
      <c r="J3" s="3">
        <v>3552174</v>
      </c>
      <c r="K3" s="4">
        <v>0</v>
      </c>
      <c r="L3" s="3">
        <v>3041070</v>
      </c>
      <c r="M3" s="3">
        <v>3329828</v>
      </c>
      <c r="N3" s="4">
        <v>88.691180000000003</v>
      </c>
    </row>
    <row r="4" spans="1:14" x14ac:dyDescent="0.2">
      <c r="A4" s="12"/>
      <c r="B4" s="1" t="s">
        <v>15</v>
      </c>
      <c r="C4" s="3">
        <v>9185.8070000000007</v>
      </c>
      <c r="D4" s="3">
        <v>9185.8070000000007</v>
      </c>
      <c r="E4" s="3">
        <v>48960.07</v>
      </c>
      <c r="F4" s="3">
        <v>0</v>
      </c>
      <c r="G4" s="3">
        <v>48960.07</v>
      </c>
      <c r="H4" s="3">
        <v>0</v>
      </c>
      <c r="I4" s="4">
        <v>2.4390000000000002E-3</v>
      </c>
      <c r="J4" s="3">
        <v>20022030</v>
      </c>
      <c r="K4" s="4">
        <v>0</v>
      </c>
      <c r="L4" s="3">
        <v>4406407</v>
      </c>
      <c r="M4" s="3">
        <v>4422532</v>
      </c>
      <c r="N4" s="4">
        <v>90.329336999999995</v>
      </c>
    </row>
    <row r="5" spans="1:14" ht="30" x14ac:dyDescent="0.2">
      <c r="A5" s="12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4">
        <v>0</v>
      </c>
      <c r="J5" s="3">
        <v>51535410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2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4">
        <v>0</v>
      </c>
      <c r="J6" s="3">
        <v>7721869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2"/>
      <c r="B7" s="1" t="s">
        <v>17</v>
      </c>
      <c r="C7" s="3">
        <v>13695</v>
      </c>
      <c r="D7" s="3">
        <v>13695</v>
      </c>
      <c r="E7" s="3">
        <v>5991201</v>
      </c>
      <c r="F7" s="3">
        <v>0</v>
      </c>
      <c r="G7" s="3">
        <v>5991201</v>
      </c>
      <c r="H7" s="3">
        <v>0</v>
      </c>
      <c r="I7" s="4">
        <v>0.20021700000000001</v>
      </c>
      <c r="J7" s="3">
        <v>23932370</v>
      </c>
      <c r="K7" s="4">
        <v>0</v>
      </c>
      <c r="L7" s="3">
        <v>139073400</v>
      </c>
      <c r="M7" s="3">
        <v>139073400</v>
      </c>
      <c r="N7" s="4">
        <v>23.21294</v>
      </c>
    </row>
    <row r="8" spans="1:14" x14ac:dyDescent="0.2">
      <c r="A8" s="12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4">
        <v>0</v>
      </c>
      <c r="J8" s="3">
        <v>8887037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2"/>
      <c r="B9" s="1" t="s">
        <v>52</v>
      </c>
      <c r="C9" s="3">
        <v>11</v>
      </c>
      <c r="D9" s="3">
        <v>11</v>
      </c>
      <c r="E9" s="3">
        <v>6459.9459999999999</v>
      </c>
      <c r="F9" s="3">
        <v>0</v>
      </c>
      <c r="G9" s="3">
        <v>6459.9459999999999</v>
      </c>
      <c r="H9" s="3">
        <v>0</v>
      </c>
      <c r="I9" s="4">
        <v>0.26877299999999998</v>
      </c>
      <c r="J9" s="3">
        <v>17575.05</v>
      </c>
      <c r="K9" s="4">
        <v>0</v>
      </c>
      <c r="L9" s="3">
        <v>80490.92</v>
      </c>
      <c r="M9" s="3">
        <v>271421.7</v>
      </c>
      <c r="N9" s="4">
        <v>42.016055999999999</v>
      </c>
    </row>
    <row r="10" spans="1:14" x14ac:dyDescent="0.2">
      <c r="A10" s="12"/>
      <c r="B10" s="1" t="s">
        <v>18</v>
      </c>
      <c r="C10" s="3">
        <v>834.51110000000006</v>
      </c>
      <c r="D10" s="3">
        <v>834.51110000000006</v>
      </c>
      <c r="E10" s="3">
        <v>140488</v>
      </c>
      <c r="F10" s="3">
        <v>0</v>
      </c>
      <c r="G10" s="3">
        <v>140488</v>
      </c>
      <c r="H10" s="3">
        <v>0</v>
      </c>
      <c r="I10" s="4">
        <v>7.7047000000000004E-2</v>
      </c>
      <c r="J10" s="3">
        <v>1682919</v>
      </c>
      <c r="K10" s="4">
        <v>0</v>
      </c>
      <c r="L10" s="3">
        <v>7586353</v>
      </c>
      <c r="M10" s="3">
        <v>10841430</v>
      </c>
      <c r="N10" s="4">
        <v>77.169743999999994</v>
      </c>
    </row>
    <row r="11" spans="1:14" x14ac:dyDescent="0.2">
      <c r="A11" s="12"/>
      <c r="B11" s="1" t="s">
        <v>19</v>
      </c>
      <c r="C11" s="3">
        <v>1897.296</v>
      </c>
      <c r="D11" s="3">
        <v>1897.296</v>
      </c>
      <c r="E11" s="3">
        <v>1269577</v>
      </c>
      <c r="F11" s="3">
        <v>0</v>
      </c>
      <c r="G11" s="3">
        <v>1269577</v>
      </c>
      <c r="H11" s="3">
        <v>0</v>
      </c>
      <c r="I11" s="4">
        <v>0.30624800000000002</v>
      </c>
      <c r="J11" s="3">
        <v>388659.4</v>
      </c>
      <c r="K11" s="4">
        <v>0</v>
      </c>
      <c r="L11" s="3">
        <v>0</v>
      </c>
      <c r="M11" s="3">
        <v>18205210</v>
      </c>
      <c r="N11" s="4">
        <v>14.339584</v>
      </c>
    </row>
    <row r="12" spans="1:14" x14ac:dyDescent="0.2">
      <c r="A12" s="12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61882950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2"/>
      <c r="B13" s="1" t="s">
        <v>53</v>
      </c>
      <c r="C13" s="3">
        <v>254.358</v>
      </c>
      <c r="D13" s="3">
        <v>254.358</v>
      </c>
      <c r="E13" s="3">
        <v>220377.4</v>
      </c>
      <c r="F13" s="3">
        <v>0</v>
      </c>
      <c r="G13" s="3">
        <v>220377.4</v>
      </c>
      <c r="H13" s="3">
        <v>0</v>
      </c>
      <c r="I13" s="4">
        <v>0.39652500000000002</v>
      </c>
      <c r="J13" s="3">
        <v>51720.07</v>
      </c>
      <c r="K13" s="4">
        <v>0</v>
      </c>
      <c r="L13" s="3">
        <v>0</v>
      </c>
      <c r="M13" s="3">
        <v>3369095</v>
      </c>
      <c r="N13" s="4">
        <v>15.287843000000001</v>
      </c>
    </row>
    <row r="14" spans="1:14" x14ac:dyDescent="0.2">
      <c r="A14" s="12"/>
      <c r="B14" s="1" t="s">
        <v>22</v>
      </c>
      <c r="C14" s="3">
        <v>4570</v>
      </c>
      <c r="D14" s="3">
        <v>4570</v>
      </c>
      <c r="E14" s="3">
        <v>3661106</v>
      </c>
      <c r="F14" s="3">
        <v>0</v>
      </c>
      <c r="G14" s="3">
        <v>3661106</v>
      </c>
      <c r="H14" s="3">
        <v>0</v>
      </c>
      <c r="I14" s="4">
        <v>0.36664400000000003</v>
      </c>
      <c r="J14" s="3">
        <v>6324344</v>
      </c>
      <c r="K14" s="4">
        <v>0</v>
      </c>
      <c r="L14" s="3">
        <v>36611060</v>
      </c>
      <c r="M14" s="3">
        <v>135203800</v>
      </c>
      <c r="N14" s="4">
        <v>36.929771000000002</v>
      </c>
    </row>
    <row r="15" spans="1:14" x14ac:dyDescent="0.2">
      <c r="A15" s="12"/>
      <c r="B15" s="1" t="s">
        <v>23</v>
      </c>
      <c r="C15" s="3">
        <v>53544.2</v>
      </c>
      <c r="D15" s="3">
        <v>53544.2</v>
      </c>
      <c r="E15" s="3">
        <v>37023790</v>
      </c>
      <c r="F15" s="3">
        <v>0</v>
      </c>
      <c r="G15" s="3">
        <v>37023790</v>
      </c>
      <c r="H15" s="3">
        <v>0</v>
      </c>
      <c r="I15" s="4">
        <v>0.31645899999999999</v>
      </c>
      <c r="J15" s="3">
        <v>9109798</v>
      </c>
      <c r="K15" s="4">
        <v>0</v>
      </c>
      <c r="L15" s="3">
        <v>0</v>
      </c>
      <c r="M15" s="3">
        <v>216769800</v>
      </c>
      <c r="N15" s="4">
        <v>5.8548790000000004</v>
      </c>
    </row>
    <row r="16" spans="1:14" x14ac:dyDescent="0.2">
      <c r="A16" s="12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4">
        <v>0</v>
      </c>
      <c r="J16" s="3">
        <v>171522.5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2"/>
      <c r="B17" s="1" t="s">
        <v>25</v>
      </c>
      <c r="C17" s="3">
        <v>27270.74</v>
      </c>
      <c r="D17" s="3">
        <v>27270.74</v>
      </c>
      <c r="E17" s="3">
        <v>15846110</v>
      </c>
      <c r="F17" s="3">
        <v>0</v>
      </c>
      <c r="G17" s="3">
        <v>15846110</v>
      </c>
      <c r="H17" s="3">
        <v>0</v>
      </c>
      <c r="I17" s="4">
        <v>0.265934</v>
      </c>
      <c r="J17" s="3">
        <v>5066800</v>
      </c>
      <c r="K17" s="4">
        <v>0</v>
      </c>
      <c r="L17" s="3">
        <v>0</v>
      </c>
      <c r="M17" s="3">
        <v>86906270</v>
      </c>
      <c r="N17" s="4">
        <v>5.4843900000000003</v>
      </c>
    </row>
    <row r="18" spans="1:14" ht="30" x14ac:dyDescent="0.2">
      <c r="A18" s="12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4">
        <v>0</v>
      </c>
      <c r="J18" s="3">
        <v>8003415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2"/>
      <c r="B19" s="1" t="s">
        <v>27</v>
      </c>
      <c r="C19" s="3">
        <v>55.819389999999999</v>
      </c>
      <c r="D19" s="3">
        <v>55.819389999999999</v>
      </c>
      <c r="E19" s="3">
        <v>8317.09</v>
      </c>
      <c r="F19" s="3">
        <v>0</v>
      </c>
      <c r="G19" s="3">
        <v>8317.09</v>
      </c>
      <c r="H19" s="3">
        <v>0</v>
      </c>
      <c r="I19" s="4">
        <v>6.8192000000000003E-2</v>
      </c>
      <c r="J19" s="3">
        <v>113648.3</v>
      </c>
      <c r="K19" s="4">
        <v>0</v>
      </c>
      <c r="L19" s="3">
        <v>523976.7</v>
      </c>
      <c r="M19" s="3">
        <v>665035.4</v>
      </c>
      <c r="N19" s="4">
        <v>79.960077999999996</v>
      </c>
    </row>
    <row r="20" spans="1:14" x14ac:dyDescent="0.2">
      <c r="A20" s="12"/>
      <c r="B20" s="1" t="s">
        <v>28</v>
      </c>
      <c r="C20" s="3">
        <v>40470.42</v>
      </c>
      <c r="D20" s="3">
        <v>40470.42</v>
      </c>
      <c r="E20" s="3">
        <v>5298778</v>
      </c>
      <c r="F20" s="3">
        <v>0</v>
      </c>
      <c r="G20" s="3">
        <v>5298778</v>
      </c>
      <c r="H20" s="3">
        <v>0</v>
      </c>
      <c r="I20" s="4">
        <v>5.9922000000000003E-2</v>
      </c>
      <c r="J20" s="3">
        <v>652545.69999999995</v>
      </c>
      <c r="K20" s="4">
        <v>0</v>
      </c>
      <c r="L20" s="3">
        <v>0</v>
      </c>
      <c r="M20" s="3">
        <v>72754260</v>
      </c>
      <c r="N20" s="4">
        <v>13.730385</v>
      </c>
    </row>
    <row r="21" spans="1:14" x14ac:dyDescent="0.2">
      <c r="A21" s="11"/>
      <c r="B21" s="1" t="s">
        <v>29</v>
      </c>
      <c r="C21" s="3">
        <v>4643.1779999999999</v>
      </c>
      <c r="D21" s="3">
        <v>4643.1779999999999</v>
      </c>
      <c r="E21" s="3">
        <v>314121.2</v>
      </c>
      <c r="F21" s="3">
        <v>0</v>
      </c>
      <c r="G21" s="3">
        <v>314121.2</v>
      </c>
      <c r="H21" s="3">
        <v>0</v>
      </c>
      <c r="I21" s="4">
        <v>3.0962E-2</v>
      </c>
      <c r="J21" s="3">
        <v>9831223</v>
      </c>
      <c r="K21" s="4">
        <v>0</v>
      </c>
      <c r="L21" s="3">
        <v>23747560</v>
      </c>
      <c r="M21" s="3">
        <v>25802290</v>
      </c>
      <c r="N21" s="4">
        <v>82.141197000000005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44875160</v>
      </c>
      <c r="F22" s="3">
        <v>26270050</v>
      </c>
      <c r="G22" s="3">
        <v>18605110</v>
      </c>
      <c r="H22" s="3">
        <v>-18605110</v>
      </c>
      <c r="I22" s="4">
        <v>0.14107800000000001</v>
      </c>
      <c r="J22" s="3">
        <v>0</v>
      </c>
      <c r="K22" s="4">
        <v>0</v>
      </c>
      <c r="L22" s="3">
        <v>0</v>
      </c>
      <c r="M22" s="3">
        <v>545358000</v>
      </c>
      <c r="N22" s="4">
        <v>7.6654210000000003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11162190</v>
      </c>
      <c r="F23" s="3">
        <v>5017370</v>
      </c>
      <c r="G23" s="3">
        <v>6144821</v>
      </c>
      <c r="H23" s="3">
        <v>-6144821</v>
      </c>
      <c r="I23" s="4">
        <v>0.59476600000000002</v>
      </c>
      <c r="J23" s="3">
        <v>33348070</v>
      </c>
      <c r="K23" s="4">
        <v>0</v>
      </c>
      <c r="L23" s="3">
        <v>0</v>
      </c>
      <c r="M23" s="3">
        <v>272861800</v>
      </c>
      <c r="N23" s="4">
        <v>16.864598000000001</v>
      </c>
    </row>
    <row r="24" spans="1:14" x14ac:dyDescent="0.2">
      <c r="A24" s="12"/>
      <c r="B24" s="1" t="s">
        <v>40</v>
      </c>
      <c r="C24" s="3">
        <v>26000000</v>
      </c>
      <c r="D24" s="3">
        <v>26000000</v>
      </c>
      <c r="E24" s="3">
        <v>0</v>
      </c>
      <c r="F24" s="3">
        <v>91304.15</v>
      </c>
      <c r="G24" s="3">
        <v>-91304.15</v>
      </c>
      <c r="H24" s="3">
        <v>0</v>
      </c>
      <c r="I24" s="4">
        <v>1.9999999999999999E-6</v>
      </c>
      <c r="J24" s="3">
        <v>56809910000</v>
      </c>
      <c r="K24" s="4">
        <v>0</v>
      </c>
      <c r="L24" s="3">
        <v>0.91303999999999996</v>
      </c>
      <c r="M24" s="3">
        <v>-1103316</v>
      </c>
      <c r="N24" s="4">
        <v>-12.083959999999999</v>
      </c>
    </row>
    <row r="25" spans="1:14" x14ac:dyDescent="0.2">
      <c r="A25" s="12"/>
      <c r="B25" s="1" t="s">
        <v>55</v>
      </c>
      <c r="C25" s="3">
        <v>3653.0949999999998</v>
      </c>
      <c r="D25" s="3">
        <v>3653.0949999999998</v>
      </c>
      <c r="E25" s="3">
        <v>0</v>
      </c>
      <c r="F25" s="3">
        <v>155169.79999999999</v>
      </c>
      <c r="G25" s="3">
        <v>-155169.79999999999</v>
      </c>
      <c r="H25" s="3">
        <v>0</v>
      </c>
      <c r="I25" s="4">
        <v>1.9439999999999999E-2</v>
      </c>
      <c r="J25" s="3">
        <v>7826842</v>
      </c>
      <c r="K25" s="4">
        <v>0</v>
      </c>
      <c r="L25" s="3">
        <v>0</v>
      </c>
      <c r="M25" s="3">
        <v>189.07249999999999</v>
      </c>
      <c r="N25" s="4">
        <v>1.2179999999999999E-3</v>
      </c>
    </row>
    <row r="26" spans="1:14" x14ac:dyDescent="0.2">
      <c r="A26" s="11"/>
      <c r="B26" s="1" t="s">
        <v>56</v>
      </c>
      <c r="C26" s="3">
        <v>278.38099999999997</v>
      </c>
      <c r="D26" s="3">
        <v>278.38099999999997</v>
      </c>
      <c r="E26" s="3">
        <v>0</v>
      </c>
      <c r="F26" s="3">
        <v>102985.8</v>
      </c>
      <c r="G26" s="3">
        <v>-102985.8</v>
      </c>
      <c r="H26" s="3">
        <v>0</v>
      </c>
      <c r="I26" s="4">
        <v>0.16931099999999999</v>
      </c>
      <c r="J26" s="3">
        <v>505276.7</v>
      </c>
      <c r="K26" s="4">
        <v>0</v>
      </c>
      <c r="L26" s="3">
        <v>514928.8</v>
      </c>
      <c r="M26" s="3">
        <v>0</v>
      </c>
      <c r="N26" s="4" t="s">
        <v>21</v>
      </c>
    </row>
    <row r="27" spans="1:14" x14ac:dyDescent="0.2">
      <c r="A27" s="10" t="s">
        <v>34</v>
      </c>
      <c r="B27" s="1" t="s">
        <v>35</v>
      </c>
      <c r="C27" s="3">
        <v>0</v>
      </c>
      <c r="D27" s="3">
        <v>0</v>
      </c>
      <c r="E27" s="3">
        <v>0</v>
      </c>
      <c r="F27" s="3">
        <v>1877549</v>
      </c>
      <c r="G27" s="3">
        <v>-1877549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-25354950</v>
      </c>
      <c r="N27" s="4">
        <v>-13.50428</v>
      </c>
    </row>
    <row r="28" spans="1:14" x14ac:dyDescent="0.2">
      <c r="A28" s="11"/>
      <c r="B28" s="1" t="s">
        <v>36</v>
      </c>
      <c r="C28" s="3">
        <v>0</v>
      </c>
      <c r="D28" s="3">
        <v>0</v>
      </c>
      <c r="E28" s="3">
        <v>0</v>
      </c>
      <c r="F28" s="3">
        <v>61882950</v>
      </c>
      <c r="G28" s="3">
        <v>-61882950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-897715700</v>
      </c>
      <c r="N28" s="4">
        <v>-14.506672999999999</v>
      </c>
    </row>
    <row r="29" spans="1:14" x14ac:dyDescent="0.2">
      <c r="A29" s="10" t="s">
        <v>37</v>
      </c>
      <c r="B29" s="1" t="s">
        <v>38</v>
      </c>
      <c r="C29" s="3">
        <v>26471.97</v>
      </c>
      <c r="D29" s="3">
        <v>26471.97</v>
      </c>
      <c r="E29" s="3">
        <v>2381388</v>
      </c>
      <c r="F29" s="3">
        <v>6487902</v>
      </c>
      <c r="G29" s="3">
        <v>-4106514</v>
      </c>
      <c r="H29" s="3">
        <v>0</v>
      </c>
      <c r="I29" s="4">
        <v>0.153338</v>
      </c>
      <c r="J29" s="3">
        <v>61947780</v>
      </c>
      <c r="K29" s="4">
        <v>0</v>
      </c>
      <c r="L29" s="3">
        <v>0</v>
      </c>
      <c r="M29" s="3">
        <v>28378000</v>
      </c>
      <c r="N29" s="4">
        <v>3.199579</v>
      </c>
    </row>
    <row r="30" spans="1:14" ht="30" x14ac:dyDescent="0.2">
      <c r="A30" s="12"/>
      <c r="B30" s="1" t="s">
        <v>57</v>
      </c>
      <c r="C30" s="3">
        <v>857.70799999999997</v>
      </c>
      <c r="D30" s="3">
        <v>857.70799999999997</v>
      </c>
      <c r="E30" s="3">
        <v>147297.9</v>
      </c>
      <c r="F30" s="3">
        <v>297216.8</v>
      </c>
      <c r="G30" s="3">
        <v>-149918.9</v>
      </c>
      <c r="H30" s="3">
        <v>0</v>
      </c>
      <c r="I30" s="4">
        <v>0.23718900000000001</v>
      </c>
      <c r="J30" s="3">
        <v>2024011</v>
      </c>
      <c r="K30" s="4">
        <v>0</v>
      </c>
      <c r="L30" s="3">
        <v>0</v>
      </c>
      <c r="M30" s="3">
        <v>928526.8</v>
      </c>
      <c r="N30" s="4">
        <v>2.0888550000000001</v>
      </c>
    </row>
    <row r="31" spans="1:14" ht="30" x14ac:dyDescent="0.2">
      <c r="A31" s="12"/>
      <c r="B31" s="1" t="s">
        <v>58</v>
      </c>
      <c r="C31" s="3">
        <v>457.99400000000003</v>
      </c>
      <c r="D31" s="3">
        <v>457.99400000000003</v>
      </c>
      <c r="E31" s="3">
        <v>34959.160000000003</v>
      </c>
      <c r="F31" s="3">
        <v>310162.09999999998</v>
      </c>
      <c r="G31" s="3">
        <v>-275202.90000000002</v>
      </c>
      <c r="H31" s="3">
        <v>0</v>
      </c>
      <c r="I31" s="4">
        <v>0.34487400000000001</v>
      </c>
      <c r="J31" s="3">
        <v>1275920</v>
      </c>
      <c r="K31" s="4">
        <v>0</v>
      </c>
      <c r="L31" s="3">
        <v>0</v>
      </c>
      <c r="M31" s="3">
        <v>913350.6</v>
      </c>
      <c r="N31" s="4">
        <v>2.6464629999999998</v>
      </c>
    </row>
    <row r="32" spans="1:14" ht="30" x14ac:dyDescent="0.2">
      <c r="A32" s="11"/>
      <c r="B32" s="1" t="s">
        <v>39</v>
      </c>
      <c r="C32" s="3">
        <v>5300</v>
      </c>
      <c r="D32" s="3">
        <v>5300</v>
      </c>
      <c r="E32" s="3">
        <v>820239.8</v>
      </c>
      <c r="F32" s="3">
        <v>2444884</v>
      </c>
      <c r="G32" s="3">
        <v>-1624644</v>
      </c>
      <c r="H32" s="3">
        <v>0</v>
      </c>
      <c r="I32" s="4">
        <v>0.28194999999999998</v>
      </c>
      <c r="J32" s="3">
        <v>13205140</v>
      </c>
      <c r="K32" s="4">
        <v>0</v>
      </c>
      <c r="L32" s="3">
        <v>0</v>
      </c>
      <c r="M32" s="3">
        <v>18052200</v>
      </c>
      <c r="N32" s="4">
        <v>5.5287940000000004</v>
      </c>
    </row>
    <row r="33" spans="1:14" x14ac:dyDescent="0.2">
      <c r="A33" s="10" t="s">
        <v>41</v>
      </c>
      <c r="B33" s="1" t="s">
        <v>40</v>
      </c>
      <c r="C33" s="3">
        <v>13000000</v>
      </c>
      <c r="D33" s="3">
        <v>13000000</v>
      </c>
      <c r="E33" s="3">
        <v>45652.07</v>
      </c>
      <c r="F33" s="3">
        <v>45652.07</v>
      </c>
      <c r="G33" s="3">
        <v>0</v>
      </c>
      <c r="H33" s="3">
        <v>0</v>
      </c>
      <c r="I33" s="4">
        <v>0.99993100000000001</v>
      </c>
      <c r="J33" s="3">
        <v>0</v>
      </c>
      <c r="K33" s="4">
        <v>0</v>
      </c>
      <c r="L33" s="3">
        <v>0</v>
      </c>
      <c r="M33" s="3">
        <v>0</v>
      </c>
      <c r="N33" s="4" t="s">
        <v>21</v>
      </c>
    </row>
    <row r="34" spans="1:14" x14ac:dyDescent="0.2">
      <c r="A34" s="11"/>
      <c r="B34" s="1" t="s">
        <v>59</v>
      </c>
      <c r="C34" s="3">
        <v>46768.01</v>
      </c>
      <c r="D34" s="3">
        <v>46768.01</v>
      </c>
      <c r="E34" s="3">
        <v>101230.1</v>
      </c>
      <c r="F34" s="3">
        <v>106863.2</v>
      </c>
      <c r="G34" s="3">
        <v>-5633.107</v>
      </c>
      <c r="H34" s="3">
        <v>0</v>
      </c>
      <c r="I34" s="4">
        <v>0.55124899999999999</v>
      </c>
      <c r="J34" s="3">
        <v>0</v>
      </c>
      <c r="K34" s="4">
        <v>0</v>
      </c>
      <c r="L34" s="3">
        <v>0</v>
      </c>
      <c r="M34" s="3">
        <v>0</v>
      </c>
      <c r="N34" s="4" t="s">
        <v>21</v>
      </c>
    </row>
    <row r="35" spans="1:14" x14ac:dyDescent="0.2">
      <c r="I35" s="9" t="s">
        <v>42</v>
      </c>
      <c r="J35" s="7">
        <f>SUM(J2:J32)</f>
        <v>57149804829.519997</v>
      </c>
      <c r="K35" s="5" t="s">
        <v>45</v>
      </c>
      <c r="L35" s="2">
        <f>SUM(L3:L32)</f>
        <v>215585247.33304</v>
      </c>
      <c r="M35" s="2">
        <f>SUM(M3:M32)</f>
        <v>659932472.57249987</v>
      </c>
      <c r="N35" s="2">
        <f>SUM(N3:N32)</f>
        <v>573.04739899999993</v>
      </c>
    </row>
    <row r="36" spans="1:14" x14ac:dyDescent="0.2">
      <c r="I36" s="8" t="s">
        <v>43</v>
      </c>
      <c r="J36" s="2">
        <f>SUM(J15,J17)</f>
        <v>14176598</v>
      </c>
    </row>
    <row r="37" spans="1:14" x14ac:dyDescent="0.2">
      <c r="I37" s="8" t="s">
        <v>44</v>
      </c>
      <c r="J37" s="2">
        <f>SUM(J20)</f>
        <v>652545.69999999995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SUMIFS($D$2:$D$32,$B$2:$B$32, "Solar PV")+SUMIFS($D$2:$D$32,$B$2:$B$32, "Offshore Wind")+SUMIFS($D$2:$D$32,$B$2:$B$32, "Onshore Wind")+SUMIFS($D$2:$D$32,$B$2:$B$32, "Sewage Gas")</f>
        <v>121341.17939</v>
      </c>
    </row>
    <row r="40" spans="1:14" x14ac:dyDescent="0.2">
      <c r="A40" t="s">
        <v>47</v>
      </c>
      <c r="C40" s="2">
        <f>SUMIFS($J$2:$J$32,$B$2:$B$32, "Solar PV")+SUMIFS($J$2:$J$32,$B$2:$B$32, "Offshore Wind")+SUMIFS($J$2:$J$32,$B$2:$B$32, "Onshore Wind")+SUMIFS($J$2:$J$32,$B$2:$B$32, "Sewage Gas")</f>
        <v>14942792</v>
      </c>
    </row>
    <row r="41" spans="1:14" x14ac:dyDescent="0.2">
      <c r="A41" t="s">
        <v>48</v>
      </c>
      <c r="C41" s="2">
        <f>SUMIFS($J$2:$J$32,$B$2:$B$32, "Offshore Wind")+SUMIFS($J$2:$J$32,$B$2:$B$32, "Onshore Wind")</f>
        <v>14176598</v>
      </c>
    </row>
  </sheetData>
  <autoFilter ref="A1:N37" xr:uid="{4D4BF803-EC4E-F842-B68E-528EC71F1DE9}"/>
  <mergeCells count="5">
    <mergeCell ref="A33:A34"/>
    <mergeCell ref="A2:A21"/>
    <mergeCell ref="A23:A26"/>
    <mergeCell ref="A27:A28"/>
    <mergeCell ref="A29:A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0A62-B14B-AA4E-B6C1-C6D101FC58CC}">
  <dimension ref="A1:N43"/>
  <sheetViews>
    <sheetView tabSelected="1" topLeftCell="A16" workbookViewId="0">
      <selection activeCell="A44" sqref="A44"/>
    </sheetView>
  </sheetViews>
  <sheetFormatPr baseColWidth="10" defaultColWidth="16.83203125" defaultRowHeight="16" x14ac:dyDescent="0.2"/>
  <cols>
    <col min="1" max="1" width="10.33203125" customWidth="1"/>
    <col min="3" max="3" width="18.83203125" customWidth="1"/>
    <col min="4" max="4" width="20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813779.8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2"/>
      <c r="B3" s="1" t="s">
        <v>14</v>
      </c>
      <c r="C3" s="3">
        <v>1642.8920000000001</v>
      </c>
      <c r="D3" s="3">
        <v>1642.8920000000001</v>
      </c>
      <c r="E3" s="3">
        <v>37852.71</v>
      </c>
      <c r="F3" s="3">
        <v>0</v>
      </c>
      <c r="G3" s="3">
        <v>37852.71</v>
      </c>
      <c r="H3" s="3">
        <v>0</v>
      </c>
      <c r="I3" s="3">
        <v>1.054476E-2</v>
      </c>
      <c r="J3" s="3">
        <v>3551865</v>
      </c>
      <c r="K3" s="4">
        <v>0</v>
      </c>
      <c r="L3" s="3">
        <v>3066069</v>
      </c>
      <c r="M3" s="3">
        <v>3357371</v>
      </c>
      <c r="N3" s="4">
        <v>88.695688000000004</v>
      </c>
    </row>
    <row r="4" spans="1:14" x14ac:dyDescent="0.2">
      <c r="A4" s="12"/>
      <c r="B4" s="1" t="s">
        <v>15</v>
      </c>
      <c r="C4" s="3">
        <v>9185.8070000000007</v>
      </c>
      <c r="D4" s="3">
        <v>9185.8070000000007</v>
      </c>
      <c r="E4" s="3">
        <v>50171.21</v>
      </c>
      <c r="F4" s="3">
        <v>0</v>
      </c>
      <c r="G4" s="3">
        <v>50171.21</v>
      </c>
      <c r="H4" s="3">
        <v>0</v>
      </c>
      <c r="I4" s="3">
        <v>2.4996879999999999E-3</v>
      </c>
      <c r="J4" s="3">
        <v>20020820</v>
      </c>
      <c r="K4" s="4">
        <v>0</v>
      </c>
      <c r="L4" s="3">
        <v>4515409</v>
      </c>
      <c r="M4" s="3">
        <v>4531573</v>
      </c>
      <c r="N4" s="4">
        <v>90.322187999999997</v>
      </c>
    </row>
    <row r="5" spans="1:14" ht="30" x14ac:dyDescent="0.2">
      <c r="A5" s="12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51535410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2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7721869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2"/>
      <c r="B7" s="1" t="s">
        <v>17</v>
      </c>
      <c r="C7" s="3">
        <v>13695</v>
      </c>
      <c r="D7" s="3">
        <v>13695</v>
      </c>
      <c r="E7" s="3">
        <v>5994562</v>
      </c>
      <c r="F7" s="3">
        <v>0</v>
      </c>
      <c r="G7" s="3">
        <v>5994562</v>
      </c>
      <c r="H7" s="3">
        <v>0</v>
      </c>
      <c r="I7" s="3">
        <v>0.20032910000000001</v>
      </c>
      <c r="J7" s="3">
        <v>23929010</v>
      </c>
      <c r="K7" s="4">
        <v>0</v>
      </c>
      <c r="L7" s="3">
        <v>139192600</v>
      </c>
      <c r="M7" s="3">
        <v>139192600</v>
      </c>
      <c r="N7" s="4">
        <v>23.219805000000001</v>
      </c>
    </row>
    <row r="8" spans="1:14" x14ac:dyDescent="0.2">
      <c r="A8" s="12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8887037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2"/>
      <c r="B9" s="1" t="s">
        <v>52</v>
      </c>
      <c r="C9" s="3">
        <v>11</v>
      </c>
      <c r="D9" s="3">
        <v>11</v>
      </c>
      <c r="E9" s="3">
        <v>6466.9840000000004</v>
      </c>
      <c r="F9" s="3">
        <v>0</v>
      </c>
      <c r="G9" s="3">
        <v>6466.9840000000004</v>
      </c>
      <c r="H9" s="3">
        <v>0</v>
      </c>
      <c r="I9" s="3">
        <v>0.26906550000000001</v>
      </c>
      <c r="J9" s="3">
        <v>17568.02</v>
      </c>
      <c r="K9" s="4">
        <v>0</v>
      </c>
      <c r="L9" s="3">
        <v>80578.61</v>
      </c>
      <c r="M9" s="3">
        <v>273227.40000000002</v>
      </c>
      <c r="N9" s="4">
        <v>42.249554000000003</v>
      </c>
    </row>
    <row r="10" spans="1:14" x14ac:dyDescent="0.2">
      <c r="A10" s="12"/>
      <c r="B10" s="1" t="s">
        <v>18</v>
      </c>
      <c r="C10" s="3">
        <v>834.51110000000006</v>
      </c>
      <c r="D10" s="3">
        <v>834.51110000000006</v>
      </c>
      <c r="E10" s="3">
        <v>141268.4</v>
      </c>
      <c r="F10" s="3">
        <v>0</v>
      </c>
      <c r="G10" s="3">
        <v>141268.4</v>
      </c>
      <c r="H10" s="3">
        <v>0</v>
      </c>
      <c r="I10" s="3">
        <v>7.7474970000000004E-2</v>
      </c>
      <c r="J10" s="3">
        <v>1682138</v>
      </c>
      <c r="K10" s="4">
        <v>0</v>
      </c>
      <c r="L10" s="3">
        <v>7628492</v>
      </c>
      <c r="M10" s="3">
        <v>10914340</v>
      </c>
      <c r="N10" s="4">
        <v>77.259625999999997</v>
      </c>
    </row>
    <row r="11" spans="1:14" x14ac:dyDescent="0.2">
      <c r="A11" s="12"/>
      <c r="B11" s="1" t="s">
        <v>19</v>
      </c>
      <c r="C11" s="3">
        <v>1897.296</v>
      </c>
      <c r="D11" s="3">
        <v>1897.296</v>
      </c>
      <c r="E11" s="3">
        <v>1245979</v>
      </c>
      <c r="F11" s="3">
        <v>0</v>
      </c>
      <c r="G11" s="3">
        <v>1245979</v>
      </c>
      <c r="H11" s="3">
        <v>0</v>
      </c>
      <c r="I11" s="3">
        <v>0.30055520000000002</v>
      </c>
      <c r="J11" s="3">
        <v>412257.5</v>
      </c>
      <c r="K11" s="4">
        <v>0</v>
      </c>
      <c r="L11" s="3">
        <v>0</v>
      </c>
      <c r="M11" s="3">
        <v>18366330</v>
      </c>
      <c r="N11" s="4">
        <v>14.740475</v>
      </c>
    </row>
    <row r="12" spans="1:14" x14ac:dyDescent="0.2">
      <c r="A12" s="12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61882950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2"/>
      <c r="B13" s="1" t="s">
        <v>53</v>
      </c>
      <c r="C13" s="3">
        <v>254.358</v>
      </c>
      <c r="D13" s="3">
        <v>254.358</v>
      </c>
      <c r="E13" s="3">
        <v>220068.3</v>
      </c>
      <c r="F13" s="3">
        <v>0</v>
      </c>
      <c r="G13" s="3">
        <v>220068.3</v>
      </c>
      <c r="H13" s="3">
        <v>0</v>
      </c>
      <c r="I13" s="3">
        <v>0.3959686</v>
      </c>
      <c r="J13" s="3">
        <v>52029.120000000003</v>
      </c>
      <c r="K13" s="4">
        <v>0</v>
      </c>
      <c r="L13" s="3">
        <v>0</v>
      </c>
      <c r="M13" s="3">
        <v>3384971</v>
      </c>
      <c r="N13" s="4">
        <v>15.381456</v>
      </c>
    </row>
    <row r="14" spans="1:14" x14ac:dyDescent="0.2">
      <c r="A14" s="12"/>
      <c r="B14" s="1" t="s">
        <v>22</v>
      </c>
      <c r="C14" s="3">
        <v>4570</v>
      </c>
      <c r="D14" s="3">
        <v>4570</v>
      </c>
      <c r="E14" s="3">
        <v>3662628</v>
      </c>
      <c r="F14" s="3">
        <v>0</v>
      </c>
      <c r="G14" s="3">
        <v>3662628</v>
      </c>
      <c r="H14" s="3">
        <v>0</v>
      </c>
      <c r="I14" s="3">
        <v>0.36679650000000003</v>
      </c>
      <c r="J14" s="3">
        <v>6322822</v>
      </c>
      <c r="K14" s="4">
        <v>0</v>
      </c>
      <c r="L14" s="3">
        <v>36626280</v>
      </c>
      <c r="M14" s="3">
        <v>135508000</v>
      </c>
      <c r="N14" s="4">
        <v>36.997480000000003</v>
      </c>
    </row>
    <row r="15" spans="1:14" x14ac:dyDescent="0.2">
      <c r="A15" s="12"/>
      <c r="B15" s="1" t="s">
        <v>23</v>
      </c>
      <c r="C15" s="3">
        <v>53544.2</v>
      </c>
      <c r="D15" s="3">
        <v>53544.2</v>
      </c>
      <c r="E15" s="3">
        <v>36959540</v>
      </c>
      <c r="F15" s="3">
        <v>0</v>
      </c>
      <c r="G15" s="3">
        <v>36959540</v>
      </c>
      <c r="H15" s="3">
        <v>0</v>
      </c>
      <c r="I15" s="3">
        <v>0.31590950000000001</v>
      </c>
      <c r="J15" s="3">
        <v>9174044</v>
      </c>
      <c r="K15" s="4">
        <v>0</v>
      </c>
      <c r="L15" s="3">
        <v>0</v>
      </c>
      <c r="M15" s="3">
        <v>217268400</v>
      </c>
      <c r="N15" s="4">
        <v>5.8785480000000003</v>
      </c>
    </row>
    <row r="16" spans="1:14" x14ac:dyDescent="0.2">
      <c r="A16" s="12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171522.5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2"/>
      <c r="B17" s="1" t="s">
        <v>25</v>
      </c>
      <c r="C17" s="3">
        <v>27270.74</v>
      </c>
      <c r="D17" s="3">
        <v>27270.74</v>
      </c>
      <c r="E17" s="3">
        <v>15614810</v>
      </c>
      <c r="F17" s="3">
        <v>0</v>
      </c>
      <c r="G17" s="3">
        <v>15614810</v>
      </c>
      <c r="H17" s="3">
        <v>0</v>
      </c>
      <c r="I17" s="3">
        <v>0.26205250000000002</v>
      </c>
      <c r="J17" s="3">
        <v>5298102</v>
      </c>
      <c r="K17" s="4">
        <v>0</v>
      </c>
      <c r="L17" s="3">
        <v>0</v>
      </c>
      <c r="M17" s="3">
        <v>87271540</v>
      </c>
      <c r="N17" s="4">
        <v>5.5890219999999999</v>
      </c>
    </row>
    <row r="18" spans="1:14" ht="30" x14ac:dyDescent="0.2">
      <c r="A18" s="12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8003415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2"/>
      <c r="B19" s="1" t="s">
        <v>27</v>
      </c>
      <c r="C19" s="3">
        <v>55.819389999999999</v>
      </c>
      <c r="D19" s="3">
        <v>55.819389999999999</v>
      </c>
      <c r="E19" s="3">
        <v>8317.09</v>
      </c>
      <c r="F19" s="3">
        <v>0</v>
      </c>
      <c r="G19" s="3">
        <v>8317.09</v>
      </c>
      <c r="H19" s="3">
        <v>0</v>
      </c>
      <c r="I19" s="3">
        <v>6.8192249999999996E-2</v>
      </c>
      <c r="J19" s="3">
        <v>113648.3</v>
      </c>
      <c r="K19" s="4">
        <v>0</v>
      </c>
      <c r="L19" s="3">
        <v>523976.7</v>
      </c>
      <c r="M19" s="3">
        <v>665911.69999999995</v>
      </c>
      <c r="N19" s="4">
        <v>80.065436000000005</v>
      </c>
    </row>
    <row r="20" spans="1:14" x14ac:dyDescent="0.2">
      <c r="A20" s="12"/>
      <c r="B20" s="1" t="s">
        <v>28</v>
      </c>
      <c r="C20" s="3">
        <v>40470.42</v>
      </c>
      <c r="D20" s="3">
        <v>40470.42</v>
      </c>
      <c r="E20" s="3">
        <v>5332565</v>
      </c>
      <c r="F20" s="3">
        <v>0</v>
      </c>
      <c r="G20" s="3">
        <v>5332565</v>
      </c>
      <c r="H20" s="3">
        <v>0</v>
      </c>
      <c r="I20" s="3">
        <v>6.0304120000000003E-2</v>
      </c>
      <c r="J20" s="3">
        <v>618758.69999999995</v>
      </c>
      <c r="K20" s="4">
        <v>0</v>
      </c>
      <c r="L20" s="3">
        <v>0</v>
      </c>
      <c r="M20" s="3">
        <v>73023120</v>
      </c>
      <c r="N20" s="4">
        <v>13.693807</v>
      </c>
    </row>
    <row r="21" spans="1:14" x14ac:dyDescent="0.2">
      <c r="A21" s="11"/>
      <c r="B21" s="1" t="s">
        <v>29</v>
      </c>
      <c r="C21" s="3">
        <v>4643.1779999999999</v>
      </c>
      <c r="D21" s="3">
        <v>4643.1779999999999</v>
      </c>
      <c r="E21" s="3">
        <v>314912.7</v>
      </c>
      <c r="F21" s="3">
        <v>0</v>
      </c>
      <c r="G21" s="3">
        <v>314912.7</v>
      </c>
      <c r="H21" s="3">
        <v>0</v>
      </c>
      <c r="I21" s="3">
        <v>3.1040129999999999E-2</v>
      </c>
      <c r="J21" s="3">
        <v>9830431</v>
      </c>
      <c r="K21" s="4">
        <v>0</v>
      </c>
      <c r="L21" s="3">
        <v>23807400</v>
      </c>
      <c r="M21" s="3">
        <v>25872000</v>
      </c>
      <c r="N21" s="4">
        <v>82.156101000000007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44773620</v>
      </c>
      <c r="F22" s="3">
        <v>26345880</v>
      </c>
      <c r="G22" s="3">
        <v>18427740</v>
      </c>
      <c r="H22" s="3">
        <v>-18427740</v>
      </c>
      <c r="I22" s="3">
        <v>0.1410267</v>
      </c>
      <c r="J22" s="3">
        <v>0</v>
      </c>
      <c r="K22" s="4">
        <v>0</v>
      </c>
      <c r="L22" s="3">
        <v>0</v>
      </c>
      <c r="M22" s="3">
        <v>547453800</v>
      </c>
      <c r="N22" s="4">
        <v>7.6976599999999999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11171640</v>
      </c>
      <c r="F23" s="3">
        <v>5023372</v>
      </c>
      <c r="G23" s="3">
        <v>6148269</v>
      </c>
      <c r="H23" s="3">
        <v>-6148269</v>
      </c>
      <c r="I23" s="3">
        <v>0.59533369999999997</v>
      </c>
      <c r="J23" s="3">
        <v>33351520</v>
      </c>
      <c r="K23" s="4">
        <v>0</v>
      </c>
      <c r="L23" s="3">
        <v>0</v>
      </c>
      <c r="M23" s="3">
        <v>273678100</v>
      </c>
      <c r="N23" s="4">
        <v>16.898910000000001</v>
      </c>
    </row>
    <row r="24" spans="1:14" x14ac:dyDescent="0.2">
      <c r="A24" s="12"/>
      <c r="B24" s="1" t="s">
        <v>55</v>
      </c>
      <c r="C24" s="3">
        <v>3653.0949999999998</v>
      </c>
      <c r="D24" s="3">
        <v>3653.0949999999998</v>
      </c>
      <c r="E24" s="3">
        <v>0</v>
      </c>
      <c r="F24" s="3">
        <v>157129.5</v>
      </c>
      <c r="G24" s="3">
        <v>-157129.5</v>
      </c>
      <c r="H24" s="3">
        <v>0</v>
      </c>
      <c r="I24" s="3">
        <v>1.968545E-2</v>
      </c>
      <c r="J24" s="3">
        <v>7824883</v>
      </c>
      <c r="K24" s="4">
        <v>0</v>
      </c>
      <c r="L24" s="3">
        <v>0</v>
      </c>
      <c r="M24" s="3">
        <v>187.2158</v>
      </c>
      <c r="N24" s="4">
        <v>1.191E-3</v>
      </c>
    </row>
    <row r="25" spans="1:14" x14ac:dyDescent="0.2">
      <c r="A25" s="12"/>
      <c r="B25" s="1" t="s">
        <v>56</v>
      </c>
      <c r="C25" s="3">
        <v>278.38099999999997</v>
      </c>
      <c r="D25" s="3">
        <v>278.38099999999997</v>
      </c>
      <c r="E25" s="3">
        <v>0</v>
      </c>
      <c r="F25" s="3">
        <v>104312.9</v>
      </c>
      <c r="G25" s="3">
        <v>-104312.9</v>
      </c>
      <c r="H25" s="3">
        <v>0</v>
      </c>
      <c r="I25" s="3">
        <v>0.17149329999999999</v>
      </c>
      <c r="J25" s="3">
        <v>503949.6</v>
      </c>
      <c r="K25" s="4">
        <v>0</v>
      </c>
      <c r="L25" s="3">
        <v>521564.7</v>
      </c>
      <c r="M25" s="3">
        <v>0</v>
      </c>
      <c r="N25" s="4" t="s">
        <v>21</v>
      </c>
    </row>
    <row r="26" spans="1:14" x14ac:dyDescent="0.2">
      <c r="A26" s="11"/>
      <c r="B26" s="1" t="s">
        <v>33</v>
      </c>
      <c r="C26" s="3">
        <v>156000000</v>
      </c>
      <c r="D26" s="3">
        <v>156000000</v>
      </c>
      <c r="E26" s="3">
        <v>0</v>
      </c>
      <c r="F26" s="3">
        <v>14398.44</v>
      </c>
      <c r="G26" s="3">
        <v>-14398.44</v>
      </c>
      <c r="H26" s="3">
        <v>14398.44</v>
      </c>
      <c r="I26" s="3">
        <v>4.2241469999999998E-8</v>
      </c>
      <c r="J26" s="3">
        <v>340860000000</v>
      </c>
      <c r="K26" s="4">
        <v>0</v>
      </c>
      <c r="L26" s="3">
        <v>0.14398</v>
      </c>
      <c r="M26" s="3">
        <v>-189515.4</v>
      </c>
      <c r="N26" s="4">
        <v>-13.162224999999999</v>
      </c>
    </row>
    <row r="27" spans="1:14" x14ac:dyDescent="0.2">
      <c r="A27" s="10" t="s">
        <v>34</v>
      </c>
      <c r="B27" s="1" t="s">
        <v>35</v>
      </c>
      <c r="C27" s="3">
        <v>0</v>
      </c>
      <c r="D27" s="3">
        <v>0</v>
      </c>
      <c r="E27" s="3">
        <v>0</v>
      </c>
      <c r="F27" s="3">
        <v>1877549</v>
      </c>
      <c r="G27" s="3">
        <v>-1877549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-25438830</v>
      </c>
      <c r="N27" s="4">
        <v>-13.548952999999999</v>
      </c>
    </row>
    <row r="28" spans="1:14" x14ac:dyDescent="0.2">
      <c r="A28" s="11"/>
      <c r="B28" s="1" t="s">
        <v>36</v>
      </c>
      <c r="C28" s="3">
        <v>0</v>
      </c>
      <c r="D28" s="3">
        <v>0</v>
      </c>
      <c r="E28" s="3">
        <v>0</v>
      </c>
      <c r="F28" s="3">
        <v>61882950</v>
      </c>
      <c r="G28" s="3">
        <v>-61882950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-900197900</v>
      </c>
      <c r="N28" s="4">
        <v>-14.546785</v>
      </c>
    </row>
    <row r="29" spans="1:14" x14ac:dyDescent="0.2">
      <c r="A29" s="10" t="s">
        <v>37</v>
      </c>
      <c r="B29" s="1" t="s">
        <v>38</v>
      </c>
      <c r="C29" s="3">
        <v>26471.97</v>
      </c>
      <c r="D29" s="3">
        <v>26471.97</v>
      </c>
      <c r="E29" s="3">
        <v>3090122</v>
      </c>
      <c r="F29" s="3">
        <v>7049391</v>
      </c>
      <c r="G29" s="3">
        <v>-3959269</v>
      </c>
      <c r="H29" s="3">
        <v>0</v>
      </c>
      <c r="I29" s="3">
        <v>0.17529900000000001</v>
      </c>
      <c r="J29" s="3">
        <v>61800530</v>
      </c>
      <c r="K29" s="4">
        <v>0</v>
      </c>
      <c r="L29" s="3">
        <v>0</v>
      </c>
      <c r="M29" s="3">
        <v>28622160</v>
      </c>
      <c r="N29" s="4">
        <v>2.8228339999999998</v>
      </c>
    </row>
    <row r="30" spans="1:14" ht="30" x14ac:dyDescent="0.2">
      <c r="A30" s="12"/>
      <c r="B30" s="1" t="s">
        <v>57</v>
      </c>
      <c r="C30" s="3">
        <v>857.70799999999997</v>
      </c>
      <c r="D30" s="3">
        <v>857.70799999999997</v>
      </c>
      <c r="E30" s="3">
        <v>185003</v>
      </c>
      <c r="F30" s="3">
        <v>325483.8</v>
      </c>
      <c r="G30" s="3">
        <v>-140480.79999999999</v>
      </c>
      <c r="H30" s="3">
        <v>0</v>
      </c>
      <c r="I30" s="3">
        <v>0.27239160000000001</v>
      </c>
      <c r="J30" s="3">
        <v>2014573</v>
      </c>
      <c r="K30" s="4">
        <v>0</v>
      </c>
      <c r="L30" s="3">
        <v>0</v>
      </c>
      <c r="M30" s="3">
        <v>936191.9</v>
      </c>
      <c r="N30" s="4">
        <v>1.83392</v>
      </c>
    </row>
    <row r="31" spans="1:14" ht="30" x14ac:dyDescent="0.2">
      <c r="A31" s="12"/>
      <c r="B31" s="1" t="s">
        <v>58</v>
      </c>
      <c r="C31" s="3">
        <v>457.99400000000003</v>
      </c>
      <c r="D31" s="3">
        <v>457.99400000000003</v>
      </c>
      <c r="E31" s="3">
        <v>38434.39</v>
      </c>
      <c r="F31" s="3">
        <v>301840.09999999998</v>
      </c>
      <c r="G31" s="3">
        <v>-263405.7</v>
      </c>
      <c r="H31" s="3">
        <v>0</v>
      </c>
      <c r="I31" s="3">
        <v>0.34003070000000002</v>
      </c>
      <c r="J31" s="3">
        <v>1264123</v>
      </c>
      <c r="K31" s="4">
        <v>0</v>
      </c>
      <c r="L31" s="3">
        <v>0</v>
      </c>
      <c r="M31" s="3">
        <v>919898.3</v>
      </c>
      <c r="N31" s="4">
        <v>2.7034009999999999</v>
      </c>
    </row>
    <row r="32" spans="1:14" ht="30" x14ac:dyDescent="0.2">
      <c r="A32" s="11"/>
      <c r="B32" s="1" t="s">
        <v>39</v>
      </c>
      <c r="C32" s="3">
        <v>5300</v>
      </c>
      <c r="D32" s="3">
        <v>5300</v>
      </c>
      <c r="E32" s="3">
        <v>1046800</v>
      </c>
      <c r="F32" s="3">
        <v>2561028</v>
      </c>
      <c r="G32" s="3">
        <v>-1514228</v>
      </c>
      <c r="H32" s="3">
        <v>0</v>
      </c>
      <c r="I32" s="3">
        <v>0.31154340000000003</v>
      </c>
      <c r="J32" s="3">
        <v>13094730</v>
      </c>
      <c r="K32" s="4">
        <v>0</v>
      </c>
      <c r="L32" s="3">
        <v>0</v>
      </c>
      <c r="M32" s="3">
        <v>18327760</v>
      </c>
      <c r="N32" s="4">
        <v>5.0799989999999999</v>
      </c>
    </row>
    <row r="33" spans="1:14" x14ac:dyDescent="0.2">
      <c r="A33" s="1" t="s">
        <v>41</v>
      </c>
      <c r="B33" s="1" t="s">
        <v>59</v>
      </c>
      <c r="C33" s="3">
        <v>46768.01</v>
      </c>
      <c r="D33" s="3">
        <v>46768.01</v>
      </c>
      <c r="E33" s="3">
        <v>102797.5</v>
      </c>
      <c r="F33" s="3">
        <v>108475.2</v>
      </c>
      <c r="G33" s="3">
        <v>-5677.701</v>
      </c>
      <c r="H33" s="3">
        <v>0</v>
      </c>
      <c r="I33" s="3">
        <v>0.55561269999999996</v>
      </c>
      <c r="J33" s="3">
        <v>0</v>
      </c>
      <c r="K33" s="4">
        <v>0</v>
      </c>
      <c r="L33" s="3">
        <v>0</v>
      </c>
      <c r="M33" s="3">
        <v>0</v>
      </c>
      <c r="N33" s="4" t="s">
        <v>21</v>
      </c>
    </row>
    <row r="34" spans="1:14" x14ac:dyDescent="0.2">
      <c r="H34" s="6"/>
      <c r="I34" s="9" t="s">
        <v>42</v>
      </c>
      <c r="J34" s="7">
        <f>SUM(J1:J31)</f>
        <v>341186799055.53998</v>
      </c>
      <c r="K34" s="5" t="s">
        <v>45</v>
      </c>
      <c r="L34" s="2">
        <f>SUM(L2:L31)</f>
        <v>215962370.15397999</v>
      </c>
      <c r="M34" s="2">
        <f>SUM(M2:M31)</f>
        <v>645413476.11579978</v>
      </c>
      <c r="N34" s="2">
        <f>SUM(N2:N31)</f>
        <v>566.94913899999995</v>
      </c>
    </row>
    <row r="35" spans="1:14" x14ac:dyDescent="0.2">
      <c r="I35" s="8" t="s">
        <v>43</v>
      </c>
      <c r="J35" s="2">
        <f>SUM(J15,J17)</f>
        <v>14472146</v>
      </c>
    </row>
    <row r="36" spans="1:14" x14ac:dyDescent="0.2">
      <c r="I36" s="8" t="s">
        <v>44</v>
      </c>
      <c r="J36" s="2">
        <f>SUM(J20)</f>
        <v>618758.69999999995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SUMIFS($D$2:$D$34,$B$2:$B$34, "Solar PV")+SUMIFS($D$2:$D$34,$B$2:$B$34, "Offshore Wind")+SUMIFS($D$2:$D$34,$B$2:$B$34, "Onshore Wind")+SUMIFS($D$2:$D$34,$B$2:$B$34, "Sewage Gas")</f>
        <v>121341.17939</v>
      </c>
    </row>
    <row r="40" spans="1:14" x14ac:dyDescent="0.2">
      <c r="A40" t="s">
        <v>47</v>
      </c>
      <c r="C40" s="2">
        <f>SUMIFS($J$2:$J$34,$B$2:$B$34, "Solar PV")+SUMIFS($J$2:$J$34,$B$2:$B$34, "Offshore Wind")+SUMIFS($J$2:$J$34,$B$2:$B$34, "Onshore Wind")+SUMIFS($J$2:$J$34,$B$2:$B$34, "Sewage Gas")</f>
        <v>15204553</v>
      </c>
    </row>
    <row r="41" spans="1:14" x14ac:dyDescent="0.2">
      <c r="A41" t="s">
        <v>48</v>
      </c>
      <c r="C41" s="2">
        <f>SUMIFS($J$2:$J$34,$B$2:$B$34, "Offshore Wind")+SUMIFS($J$2:$J$34,$B$2:$B$34, "Onshore Wind")</f>
        <v>14472146</v>
      </c>
    </row>
    <row r="43" spans="1:14" x14ac:dyDescent="0.2">
      <c r="A43" t="s">
        <v>62</v>
      </c>
    </row>
  </sheetData>
  <autoFilter ref="A1:N36" xr:uid="{274D0A62-B14B-AA4E-B6C1-C6D101FC58CC}"/>
  <mergeCells count="4">
    <mergeCell ref="A2:A21"/>
    <mergeCell ref="A23:A26"/>
    <mergeCell ref="A27:A28"/>
    <mergeCell ref="A29:A32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27E0-A6E7-0A4E-A9C8-EA69BF34BB6E}">
  <dimension ref="A1:N43"/>
  <sheetViews>
    <sheetView topLeftCell="A19" workbookViewId="0">
      <selection activeCell="C47" sqref="C47"/>
    </sheetView>
  </sheetViews>
  <sheetFormatPr baseColWidth="10" defaultColWidth="17.5" defaultRowHeight="16" x14ac:dyDescent="0.2"/>
  <cols>
    <col min="1" max="1" width="11.6640625" customWidth="1"/>
    <col min="2" max="2" width="15.1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813779.8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2"/>
      <c r="B3" s="1" t="s">
        <v>14</v>
      </c>
      <c r="C3" s="3">
        <v>1642.8920000000001</v>
      </c>
      <c r="D3" s="3">
        <v>1642.8920000000001</v>
      </c>
      <c r="E3" s="3">
        <v>37380.230000000003</v>
      </c>
      <c r="F3" s="3">
        <v>0</v>
      </c>
      <c r="G3" s="3">
        <v>37380.230000000003</v>
      </c>
      <c r="H3" s="3">
        <v>0</v>
      </c>
      <c r="I3" s="3">
        <v>1.041314E-2</v>
      </c>
      <c r="J3" s="3">
        <v>3552338</v>
      </c>
      <c r="K3" s="4">
        <v>0</v>
      </c>
      <c r="L3" s="3">
        <v>3027798</v>
      </c>
      <c r="M3" s="3">
        <v>3316170</v>
      </c>
      <c r="N3" s="4">
        <v>88.714534</v>
      </c>
    </row>
    <row r="4" spans="1:14" x14ac:dyDescent="0.2">
      <c r="A4" s="12"/>
      <c r="B4" s="1" t="s">
        <v>15</v>
      </c>
      <c r="C4" s="3">
        <v>9185.8070000000007</v>
      </c>
      <c r="D4" s="3">
        <v>9185.8070000000007</v>
      </c>
      <c r="E4" s="3">
        <v>48159.8</v>
      </c>
      <c r="F4" s="3">
        <v>0</v>
      </c>
      <c r="G4" s="3">
        <v>48159.8</v>
      </c>
      <c r="H4" s="3">
        <v>0</v>
      </c>
      <c r="I4" s="3">
        <v>2.399474E-3</v>
      </c>
      <c r="J4" s="3">
        <v>20022830</v>
      </c>
      <c r="K4" s="4">
        <v>0</v>
      </c>
      <c r="L4" s="3">
        <v>4334382</v>
      </c>
      <c r="M4" s="3">
        <v>4350499</v>
      </c>
      <c r="N4" s="4">
        <v>90.334648999999999</v>
      </c>
    </row>
    <row r="5" spans="1:14" ht="30" x14ac:dyDescent="0.2">
      <c r="A5" s="12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51535410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2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7721869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2"/>
      <c r="B7" s="1" t="s">
        <v>17</v>
      </c>
      <c r="C7" s="3">
        <v>13695</v>
      </c>
      <c r="D7" s="3">
        <v>13695</v>
      </c>
      <c r="E7" s="3">
        <v>5983916</v>
      </c>
      <c r="F7" s="3">
        <v>0</v>
      </c>
      <c r="G7" s="3">
        <v>5983916</v>
      </c>
      <c r="H7" s="3">
        <v>0</v>
      </c>
      <c r="I7" s="3">
        <v>0.19997329999999999</v>
      </c>
      <c r="J7" s="3">
        <v>23939660</v>
      </c>
      <c r="K7" s="4">
        <v>0</v>
      </c>
      <c r="L7" s="3">
        <v>138860800</v>
      </c>
      <c r="M7" s="3">
        <v>138860800</v>
      </c>
      <c r="N7" s="4">
        <v>23.205677000000001</v>
      </c>
    </row>
    <row r="8" spans="1:14" x14ac:dyDescent="0.2">
      <c r="A8" s="12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8887037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2"/>
      <c r="B9" s="1" t="s">
        <v>52</v>
      </c>
      <c r="C9" s="3">
        <v>11</v>
      </c>
      <c r="D9" s="3">
        <v>11</v>
      </c>
      <c r="E9" s="3">
        <v>6465.2860000000001</v>
      </c>
      <c r="F9" s="3">
        <v>0</v>
      </c>
      <c r="G9" s="3">
        <v>6465.2860000000001</v>
      </c>
      <c r="H9" s="3">
        <v>0</v>
      </c>
      <c r="I9" s="3">
        <v>0.26899450000000003</v>
      </c>
      <c r="J9" s="3">
        <v>17569.71</v>
      </c>
      <c r="K9" s="4">
        <v>0</v>
      </c>
      <c r="L9" s="3">
        <v>80557.460000000006</v>
      </c>
      <c r="M9" s="3">
        <v>271783.40000000002</v>
      </c>
      <c r="N9" s="4">
        <v>42.037354999999998</v>
      </c>
    </row>
    <row r="10" spans="1:14" x14ac:dyDescent="0.2">
      <c r="A10" s="12"/>
      <c r="B10" s="1" t="s">
        <v>18</v>
      </c>
      <c r="C10" s="3">
        <v>834.51110000000006</v>
      </c>
      <c r="D10" s="3">
        <v>834.51110000000006</v>
      </c>
      <c r="E10" s="3">
        <v>140431.4</v>
      </c>
      <c r="F10" s="3">
        <v>0</v>
      </c>
      <c r="G10" s="3">
        <v>140431.4</v>
      </c>
      <c r="H10" s="3">
        <v>0</v>
      </c>
      <c r="I10" s="3">
        <v>7.7015970000000003E-2</v>
      </c>
      <c r="J10" s="3">
        <v>1682975</v>
      </c>
      <c r="K10" s="4">
        <v>0</v>
      </c>
      <c r="L10" s="3">
        <v>7583298</v>
      </c>
      <c r="M10" s="3">
        <v>10837320</v>
      </c>
      <c r="N10" s="4">
        <v>77.171591000000006</v>
      </c>
    </row>
    <row r="11" spans="1:14" x14ac:dyDescent="0.2">
      <c r="A11" s="12"/>
      <c r="B11" s="1" t="s">
        <v>19</v>
      </c>
      <c r="C11" s="3">
        <v>1897.296</v>
      </c>
      <c r="D11" s="3">
        <v>1897.296</v>
      </c>
      <c r="E11" s="3">
        <v>1231617</v>
      </c>
      <c r="F11" s="3">
        <v>0</v>
      </c>
      <c r="G11" s="3">
        <v>1231617</v>
      </c>
      <c r="H11" s="3">
        <v>0</v>
      </c>
      <c r="I11" s="3">
        <v>0.29709089999999999</v>
      </c>
      <c r="J11" s="3">
        <v>426619.3</v>
      </c>
      <c r="K11" s="4">
        <v>0</v>
      </c>
      <c r="L11" s="3">
        <v>0</v>
      </c>
      <c r="M11" s="3">
        <v>18250870</v>
      </c>
      <c r="N11" s="4">
        <v>14.818623000000001</v>
      </c>
    </row>
    <row r="12" spans="1:14" x14ac:dyDescent="0.2">
      <c r="A12" s="12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61882950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2"/>
      <c r="B13" s="1" t="s">
        <v>53</v>
      </c>
      <c r="C13" s="3">
        <v>254.358</v>
      </c>
      <c r="D13" s="3">
        <v>254.358</v>
      </c>
      <c r="E13" s="3">
        <v>218133.8</v>
      </c>
      <c r="F13" s="3">
        <v>0</v>
      </c>
      <c r="G13" s="3">
        <v>218133.8</v>
      </c>
      <c r="H13" s="3">
        <v>0</v>
      </c>
      <c r="I13" s="3">
        <v>0.39248769999999999</v>
      </c>
      <c r="J13" s="3">
        <v>53963.68</v>
      </c>
      <c r="K13" s="4">
        <v>0</v>
      </c>
      <c r="L13" s="3">
        <v>0</v>
      </c>
      <c r="M13" s="3">
        <v>3369054</v>
      </c>
      <c r="N13" s="4">
        <v>15.444898</v>
      </c>
    </row>
    <row r="14" spans="1:14" x14ac:dyDescent="0.2">
      <c r="A14" s="12"/>
      <c r="B14" s="1" t="s">
        <v>22</v>
      </c>
      <c r="C14" s="3">
        <v>4570</v>
      </c>
      <c r="D14" s="3">
        <v>4570</v>
      </c>
      <c r="E14" s="3">
        <v>3657620</v>
      </c>
      <c r="F14" s="3">
        <v>0</v>
      </c>
      <c r="G14" s="3">
        <v>3657620</v>
      </c>
      <c r="H14" s="3">
        <v>0</v>
      </c>
      <c r="I14" s="3">
        <v>0.36629499999999998</v>
      </c>
      <c r="J14" s="3">
        <v>6327830</v>
      </c>
      <c r="K14" s="4">
        <v>0</v>
      </c>
      <c r="L14" s="3">
        <v>36576200</v>
      </c>
      <c r="M14" s="3">
        <v>134926700</v>
      </c>
      <c r="N14" s="4">
        <v>36.889215999999998</v>
      </c>
    </row>
    <row r="15" spans="1:14" x14ac:dyDescent="0.2">
      <c r="A15" s="12"/>
      <c r="B15" s="1" t="s">
        <v>23</v>
      </c>
      <c r="C15" s="3">
        <v>53544.2</v>
      </c>
      <c r="D15" s="3">
        <v>53544.2</v>
      </c>
      <c r="E15" s="3">
        <v>37147480</v>
      </c>
      <c r="F15" s="3">
        <v>0</v>
      </c>
      <c r="G15" s="3">
        <v>37147480</v>
      </c>
      <c r="H15" s="3">
        <v>0</v>
      </c>
      <c r="I15" s="3">
        <v>0.31751590000000002</v>
      </c>
      <c r="J15" s="3">
        <v>8986103</v>
      </c>
      <c r="K15" s="4">
        <v>0</v>
      </c>
      <c r="L15" s="3">
        <v>0</v>
      </c>
      <c r="M15" s="3">
        <v>216238800</v>
      </c>
      <c r="N15" s="4">
        <v>5.8210879999999996</v>
      </c>
    </row>
    <row r="16" spans="1:14" x14ac:dyDescent="0.2">
      <c r="A16" s="12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171522.5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2"/>
      <c r="B17" s="1" t="s">
        <v>25</v>
      </c>
      <c r="C17" s="3">
        <v>27270.74</v>
      </c>
      <c r="D17" s="3">
        <v>27270.74</v>
      </c>
      <c r="E17" s="3">
        <v>15435340</v>
      </c>
      <c r="F17" s="3">
        <v>0</v>
      </c>
      <c r="G17" s="3">
        <v>15435340</v>
      </c>
      <c r="H17" s="3">
        <v>0</v>
      </c>
      <c r="I17" s="3">
        <v>0.25904050000000001</v>
      </c>
      <c r="J17" s="3">
        <v>5477579</v>
      </c>
      <c r="K17" s="4">
        <v>0</v>
      </c>
      <c r="L17" s="3">
        <v>0</v>
      </c>
      <c r="M17" s="3">
        <v>86760900</v>
      </c>
      <c r="N17" s="4">
        <v>5.620927</v>
      </c>
    </row>
    <row r="18" spans="1:14" ht="30" x14ac:dyDescent="0.2">
      <c r="A18" s="12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8003415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2"/>
      <c r="B19" s="1" t="s">
        <v>27</v>
      </c>
      <c r="C19" s="3">
        <v>55.819389999999999</v>
      </c>
      <c r="D19" s="3">
        <v>55.819389999999999</v>
      </c>
      <c r="E19" s="3">
        <v>8317.09</v>
      </c>
      <c r="F19" s="3">
        <v>0</v>
      </c>
      <c r="G19" s="3">
        <v>8317.09</v>
      </c>
      <c r="H19" s="3">
        <v>0</v>
      </c>
      <c r="I19" s="3">
        <v>6.8192249999999996E-2</v>
      </c>
      <c r="J19" s="3">
        <v>113648.3</v>
      </c>
      <c r="K19" s="4">
        <v>0</v>
      </c>
      <c r="L19" s="3">
        <v>523976.7</v>
      </c>
      <c r="M19" s="3">
        <v>664967.5</v>
      </c>
      <c r="N19" s="4">
        <v>79.951910999999996</v>
      </c>
    </row>
    <row r="20" spans="1:14" x14ac:dyDescent="0.2">
      <c r="A20" s="12"/>
      <c r="B20" s="1" t="s">
        <v>28</v>
      </c>
      <c r="C20" s="3">
        <v>40470.42</v>
      </c>
      <c r="D20" s="3">
        <v>40470.42</v>
      </c>
      <c r="E20" s="3">
        <v>5301687</v>
      </c>
      <c r="F20" s="3">
        <v>0</v>
      </c>
      <c r="G20" s="3">
        <v>5301687</v>
      </c>
      <c r="H20" s="3">
        <v>0</v>
      </c>
      <c r="I20" s="3">
        <v>5.9954929999999997E-2</v>
      </c>
      <c r="J20" s="3">
        <v>649636.5</v>
      </c>
      <c r="K20" s="4">
        <v>0</v>
      </c>
      <c r="L20" s="3">
        <v>0</v>
      </c>
      <c r="M20" s="3">
        <v>72618940</v>
      </c>
      <c r="N20" s="4">
        <v>13.697326</v>
      </c>
    </row>
    <row r="21" spans="1:14" x14ac:dyDescent="0.2">
      <c r="A21" s="11"/>
      <c r="B21" s="1" t="s">
        <v>29</v>
      </c>
      <c r="C21" s="3">
        <v>4643.1779999999999</v>
      </c>
      <c r="D21" s="3">
        <v>4643.1779999999999</v>
      </c>
      <c r="E21" s="3">
        <v>315064.5</v>
      </c>
      <c r="F21" s="3">
        <v>0</v>
      </c>
      <c r="G21" s="3">
        <v>315064.5</v>
      </c>
      <c r="H21" s="3">
        <v>0</v>
      </c>
      <c r="I21" s="3">
        <v>3.1055079999999999E-2</v>
      </c>
      <c r="J21" s="3">
        <v>9830279</v>
      </c>
      <c r="K21" s="4">
        <v>0</v>
      </c>
      <c r="L21" s="3">
        <v>23818870</v>
      </c>
      <c r="M21" s="3">
        <v>25871390</v>
      </c>
      <c r="N21" s="4">
        <v>82.114599999999996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44710480</v>
      </c>
      <c r="F22" s="3">
        <v>26457770</v>
      </c>
      <c r="G22" s="3">
        <v>18252710</v>
      </c>
      <c r="H22" s="3">
        <v>-18252710</v>
      </c>
      <c r="I22" s="3">
        <v>0.14112340000000001</v>
      </c>
      <c r="J22" s="3">
        <v>0</v>
      </c>
      <c r="K22" s="4">
        <v>0</v>
      </c>
      <c r="L22" s="3">
        <v>0</v>
      </c>
      <c r="M22" s="3">
        <v>542661900</v>
      </c>
      <c r="N22" s="4">
        <v>7.6250549999999997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11137400</v>
      </c>
      <c r="F23" s="3">
        <v>5000053</v>
      </c>
      <c r="G23" s="3">
        <v>6137349</v>
      </c>
      <c r="H23" s="3">
        <v>-6137349</v>
      </c>
      <c r="I23" s="3">
        <v>0.59321789999999996</v>
      </c>
      <c r="J23" s="3">
        <v>33340600</v>
      </c>
      <c r="K23" s="4">
        <v>0</v>
      </c>
      <c r="L23" s="3">
        <v>0</v>
      </c>
      <c r="M23" s="3">
        <v>272342200</v>
      </c>
      <c r="N23" s="4">
        <v>16.876404000000001</v>
      </c>
    </row>
    <row r="24" spans="1:14" x14ac:dyDescent="0.2">
      <c r="A24" s="12"/>
      <c r="B24" s="1" t="s">
        <v>40</v>
      </c>
      <c r="C24" s="3">
        <v>26000000</v>
      </c>
      <c r="D24" s="3">
        <v>26000000</v>
      </c>
      <c r="E24" s="3">
        <v>0</v>
      </c>
      <c r="F24" s="3">
        <v>91157.48</v>
      </c>
      <c r="G24" s="3">
        <v>-91157.48</v>
      </c>
      <c r="H24" s="3">
        <v>0</v>
      </c>
      <c r="I24" s="3">
        <v>1.6046029999999999E-6</v>
      </c>
      <c r="J24" s="3">
        <v>56809910000</v>
      </c>
      <c r="K24" s="4">
        <v>0</v>
      </c>
      <c r="L24" s="3">
        <v>0.91156999999999999</v>
      </c>
      <c r="M24" s="3">
        <v>-1665102</v>
      </c>
      <c r="N24" s="4">
        <v>-18.266217000000001</v>
      </c>
    </row>
    <row r="25" spans="1:14" x14ac:dyDescent="0.2">
      <c r="A25" s="12"/>
      <c r="B25" s="1" t="s">
        <v>55</v>
      </c>
      <c r="C25" s="3">
        <v>3653.0949999999998</v>
      </c>
      <c r="D25" s="3">
        <v>3653.0949999999998</v>
      </c>
      <c r="E25" s="3">
        <v>0</v>
      </c>
      <c r="F25" s="3">
        <v>155962.9</v>
      </c>
      <c r="G25" s="3">
        <v>-155962.9</v>
      </c>
      <c r="H25" s="3">
        <v>0</v>
      </c>
      <c r="I25" s="3">
        <v>1.9539299999999999E-2</v>
      </c>
      <c r="J25" s="3">
        <v>7826049</v>
      </c>
      <c r="K25" s="4">
        <v>0</v>
      </c>
      <c r="L25" s="3">
        <v>0</v>
      </c>
      <c r="M25" s="3">
        <v>188.4984</v>
      </c>
      <c r="N25" s="4">
        <v>1.209E-3</v>
      </c>
    </row>
    <row r="26" spans="1:14" ht="30" x14ac:dyDescent="0.2">
      <c r="A26" s="12"/>
      <c r="B26" s="1" t="s">
        <v>56</v>
      </c>
      <c r="C26" s="3">
        <v>278.38099999999997</v>
      </c>
      <c r="D26" s="3">
        <v>278.38099999999997</v>
      </c>
      <c r="E26" s="3">
        <v>0</v>
      </c>
      <c r="F26" s="3">
        <v>103452.7</v>
      </c>
      <c r="G26" s="3">
        <v>-103452.7</v>
      </c>
      <c r="H26" s="3">
        <v>0</v>
      </c>
      <c r="I26" s="3">
        <v>0.17007900000000001</v>
      </c>
      <c r="J26" s="3">
        <v>504809.8</v>
      </c>
      <c r="K26" s="4">
        <v>0</v>
      </c>
      <c r="L26" s="3">
        <v>517263.4</v>
      </c>
      <c r="M26" s="3">
        <v>0</v>
      </c>
      <c r="N26" s="4" t="s">
        <v>21</v>
      </c>
    </row>
    <row r="27" spans="1:14" x14ac:dyDescent="0.2">
      <c r="A27" s="11"/>
      <c r="B27" s="1" t="s">
        <v>33</v>
      </c>
      <c r="C27" s="3">
        <v>156000000</v>
      </c>
      <c r="D27" s="3">
        <v>156000000</v>
      </c>
      <c r="E27" s="3">
        <v>0</v>
      </c>
      <c r="F27" s="3">
        <v>14397.18</v>
      </c>
      <c r="G27" s="3">
        <v>-14397.18</v>
      </c>
      <c r="H27" s="3">
        <v>14397.18</v>
      </c>
      <c r="I27" s="3">
        <v>4.223782E-8</v>
      </c>
      <c r="J27" s="3">
        <v>340860000000</v>
      </c>
      <c r="K27" s="4">
        <v>0</v>
      </c>
      <c r="L27" s="3">
        <v>0.14396999999999999</v>
      </c>
      <c r="M27" s="3">
        <v>-186383.4</v>
      </c>
      <c r="N27" s="4">
        <v>-12.945823000000001</v>
      </c>
    </row>
    <row r="28" spans="1:14" x14ac:dyDescent="0.2">
      <c r="A28" s="10" t="s">
        <v>34</v>
      </c>
      <c r="B28" s="1" t="s">
        <v>35</v>
      </c>
      <c r="C28" s="3">
        <v>0</v>
      </c>
      <c r="D28" s="3">
        <v>0</v>
      </c>
      <c r="E28" s="3">
        <v>0</v>
      </c>
      <c r="F28" s="3">
        <v>1877549</v>
      </c>
      <c r="G28" s="3">
        <v>-1877549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-25324800</v>
      </c>
      <c r="N28" s="4">
        <v>-13.488222</v>
      </c>
    </row>
    <row r="29" spans="1:14" x14ac:dyDescent="0.2">
      <c r="A29" s="11"/>
      <c r="B29" s="1" t="s">
        <v>36</v>
      </c>
      <c r="C29" s="3">
        <v>0</v>
      </c>
      <c r="D29" s="3">
        <v>0</v>
      </c>
      <c r="E29" s="3">
        <v>0</v>
      </c>
      <c r="F29" s="3">
        <v>61882950</v>
      </c>
      <c r="G29" s="3">
        <v>-61882950</v>
      </c>
      <c r="H29" s="3">
        <v>0</v>
      </c>
      <c r="I29" s="4" t="s">
        <v>21</v>
      </c>
      <c r="J29" s="3">
        <v>0</v>
      </c>
      <c r="K29" s="4">
        <v>0</v>
      </c>
      <c r="L29" s="3">
        <v>0</v>
      </c>
      <c r="M29" s="3">
        <v>-896280100</v>
      </c>
      <c r="N29" s="4">
        <v>-14.483473999999999</v>
      </c>
    </row>
    <row r="30" spans="1:14" x14ac:dyDescent="0.2">
      <c r="A30" s="10" t="s">
        <v>37</v>
      </c>
      <c r="B30" s="1" t="s">
        <v>38</v>
      </c>
      <c r="C30" s="3">
        <v>26471.97</v>
      </c>
      <c r="D30" s="3">
        <v>26471.97</v>
      </c>
      <c r="E30" s="3">
        <v>3188596</v>
      </c>
      <c r="F30" s="3">
        <v>7120497</v>
      </c>
      <c r="G30" s="3">
        <v>-3931901</v>
      </c>
      <c r="H30" s="3">
        <v>0</v>
      </c>
      <c r="I30" s="3">
        <v>0.17823079999999999</v>
      </c>
      <c r="J30" s="3">
        <v>61773160</v>
      </c>
      <c r="K30" s="4">
        <v>0</v>
      </c>
      <c r="L30" s="3">
        <v>0</v>
      </c>
      <c r="M30" s="3">
        <v>28408730</v>
      </c>
      <c r="N30" s="4">
        <v>2.7556959999999999</v>
      </c>
    </row>
    <row r="31" spans="1:14" ht="30" x14ac:dyDescent="0.2">
      <c r="A31" s="12"/>
      <c r="B31" s="1" t="s">
        <v>57</v>
      </c>
      <c r="C31" s="3">
        <v>857.70799999999997</v>
      </c>
      <c r="D31" s="3">
        <v>857.70799999999997</v>
      </c>
      <c r="E31" s="3">
        <v>185694.1</v>
      </c>
      <c r="F31" s="3">
        <v>324857.09999999998</v>
      </c>
      <c r="G31" s="3">
        <v>-139163</v>
      </c>
      <c r="H31" s="3">
        <v>0</v>
      </c>
      <c r="I31" s="3">
        <v>0.2724259</v>
      </c>
      <c r="J31" s="3">
        <v>2013255</v>
      </c>
      <c r="K31" s="4">
        <v>0</v>
      </c>
      <c r="L31" s="3">
        <v>0</v>
      </c>
      <c r="M31" s="3">
        <v>929190.8</v>
      </c>
      <c r="N31" s="4">
        <v>1.819976</v>
      </c>
    </row>
    <row r="32" spans="1:14" ht="30" x14ac:dyDescent="0.2">
      <c r="A32" s="12"/>
      <c r="B32" s="1" t="s">
        <v>58</v>
      </c>
      <c r="C32" s="3">
        <v>457.99400000000003</v>
      </c>
      <c r="D32" s="3">
        <v>457.99400000000003</v>
      </c>
      <c r="E32" s="3">
        <v>36803.919999999998</v>
      </c>
      <c r="F32" s="3">
        <v>297899.90000000002</v>
      </c>
      <c r="G32" s="3">
        <v>-261096</v>
      </c>
      <c r="H32" s="3">
        <v>0</v>
      </c>
      <c r="I32" s="3">
        <v>0.33446409999999999</v>
      </c>
      <c r="J32" s="3">
        <v>1261813</v>
      </c>
      <c r="K32" s="4">
        <v>0</v>
      </c>
      <c r="L32" s="3">
        <v>0</v>
      </c>
      <c r="M32" s="3">
        <v>912606</v>
      </c>
      <c r="N32" s="4">
        <v>2.7266080000000001</v>
      </c>
    </row>
    <row r="33" spans="1:14" ht="30" x14ac:dyDescent="0.2">
      <c r="A33" s="11"/>
      <c r="B33" s="1" t="s">
        <v>39</v>
      </c>
      <c r="C33" s="3">
        <v>5300</v>
      </c>
      <c r="D33" s="3">
        <v>5300</v>
      </c>
      <c r="E33" s="3">
        <v>1096127</v>
      </c>
      <c r="F33" s="3">
        <v>2584279</v>
      </c>
      <c r="G33" s="3">
        <v>-1488152</v>
      </c>
      <c r="H33" s="3">
        <v>0</v>
      </c>
      <c r="I33" s="3">
        <v>0.3178107</v>
      </c>
      <c r="J33" s="3">
        <v>13068650</v>
      </c>
      <c r="K33" s="4">
        <v>0</v>
      </c>
      <c r="L33" s="3">
        <v>0</v>
      </c>
      <c r="M33" s="3">
        <v>18168430</v>
      </c>
      <c r="N33" s="4">
        <v>4.936528</v>
      </c>
    </row>
    <row r="34" spans="1:14" x14ac:dyDescent="0.2">
      <c r="A34" s="10" t="s">
        <v>41</v>
      </c>
      <c r="B34" s="1" t="s">
        <v>40</v>
      </c>
      <c r="C34" s="3">
        <v>13000000</v>
      </c>
      <c r="D34" s="3">
        <v>13000000</v>
      </c>
      <c r="E34" s="3">
        <v>45578.74</v>
      </c>
      <c r="F34" s="3">
        <v>45578.74</v>
      </c>
      <c r="G34" s="3">
        <v>0</v>
      </c>
      <c r="H34" s="3">
        <v>0</v>
      </c>
      <c r="I34" s="3">
        <v>0.99993120000000002</v>
      </c>
      <c r="J34" s="3">
        <v>0</v>
      </c>
      <c r="K34" s="4">
        <v>0</v>
      </c>
      <c r="L34" s="3">
        <v>0</v>
      </c>
      <c r="M34" s="3">
        <v>0</v>
      </c>
      <c r="N34" s="4" t="s">
        <v>21</v>
      </c>
    </row>
    <row r="35" spans="1:14" x14ac:dyDescent="0.2">
      <c r="A35" s="11"/>
      <c r="B35" s="1" t="s">
        <v>59</v>
      </c>
      <c r="C35" s="3">
        <v>46768.01</v>
      </c>
      <c r="D35" s="3">
        <v>46768.01</v>
      </c>
      <c r="E35" s="3">
        <v>101964.5</v>
      </c>
      <c r="F35" s="3">
        <v>107685.8</v>
      </c>
      <c r="G35" s="3">
        <v>-5721.3410000000003</v>
      </c>
      <c r="H35" s="3">
        <v>0</v>
      </c>
      <c r="I35" s="3">
        <v>0.55988329999999997</v>
      </c>
      <c r="J35" s="3">
        <v>0</v>
      </c>
      <c r="K35" s="4">
        <v>0</v>
      </c>
      <c r="L35" s="3">
        <v>0</v>
      </c>
      <c r="M35" s="3">
        <v>0</v>
      </c>
      <c r="N35" s="4" t="s">
        <v>21</v>
      </c>
    </row>
    <row r="36" spans="1:14" x14ac:dyDescent="0.2">
      <c r="I36" s="9" t="s">
        <v>42</v>
      </c>
      <c r="J36" s="7">
        <f>SUM(J3:J33)</f>
        <v>398008981571.78998</v>
      </c>
      <c r="K36" s="5" t="s">
        <v>45</v>
      </c>
      <c r="L36" s="2">
        <f>SUM(L4:L33)</f>
        <v>212295348.61554003</v>
      </c>
      <c r="M36" s="2">
        <f>SUM(M4:M33)</f>
        <v>652988883.79839993</v>
      </c>
      <c r="N36" s="2">
        <f>SUM(N4:N33)</f>
        <v>464.66560099999987</v>
      </c>
    </row>
    <row r="37" spans="1:14" x14ac:dyDescent="0.2">
      <c r="I37" s="8" t="s">
        <v>43</v>
      </c>
      <c r="J37" s="2">
        <f>SUM(J15,J17)</f>
        <v>14463682</v>
      </c>
    </row>
    <row r="38" spans="1:14" x14ac:dyDescent="0.2">
      <c r="A38" t="s">
        <v>46</v>
      </c>
      <c r="I38" s="8" t="s">
        <v>44</v>
      </c>
      <c r="J38" s="2">
        <f>SUM(J20)</f>
        <v>649636.5</v>
      </c>
    </row>
    <row r="39" spans="1:14" x14ac:dyDescent="0.2">
      <c r="A39" t="s">
        <v>49</v>
      </c>
      <c r="C39" s="2">
        <f>SUMIFS($D$2:$D$32,$B$2:$B$32, "Solar PV")+SUMIFS($D$2:$D$32,$B$2:$B$32, "Offshore Wind")+SUMIFS($D$2:$D$32,$B$2:$B$32, "Onshore Wind")+SUMIFS($D$2:$D$32,$B$2:$B$32, "Sewage Gas")</f>
        <v>121341.17939</v>
      </c>
    </row>
    <row r="40" spans="1:14" x14ac:dyDescent="0.2">
      <c r="A40" t="s">
        <v>47</v>
      </c>
      <c r="C40" s="2">
        <f>SUMIFS($J$2:$J$32,$B$2:$B$32, "Solar PV")+SUMIFS($J$2:$J$32,$B$2:$B$32, "Offshore Wind")+SUMIFS($J$2:$J$32,$B$2:$B$32, "Onshore Wind")+SUMIFS($J$2:$J$32,$B$2:$B$32, "Sewage Gas")</f>
        <v>15226966.800000001</v>
      </c>
    </row>
    <row r="41" spans="1:14" x14ac:dyDescent="0.2">
      <c r="A41" t="s">
        <v>48</v>
      </c>
      <c r="C41" s="2">
        <f>SUMIFS($J$2:$J$32,$B$2:$B$32, "Offshore Wind")+SUMIFS($J$2:$J$32,$B$2:$B$32, "Onshore Wind")</f>
        <v>14463682</v>
      </c>
    </row>
    <row r="43" spans="1:14" x14ac:dyDescent="0.2">
      <c r="A43" t="s">
        <v>61</v>
      </c>
    </row>
  </sheetData>
  <autoFilter ref="A1:N41" xr:uid="{9B4D27E0-A6E7-0A4E-A9C8-EA69BF34BB6E}"/>
  <mergeCells count="5">
    <mergeCell ref="A34:A35"/>
    <mergeCell ref="A2:A21"/>
    <mergeCell ref="A23:A27"/>
    <mergeCell ref="A28:A29"/>
    <mergeCell ref="A30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Inflexible</vt:lpstr>
      <vt:lpstr>Temporal</vt:lpstr>
      <vt:lpstr>Spatial</vt:lpstr>
      <vt:lpstr>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2026-08-16T15:56:19Z</dcterms:modified>
</cp:coreProperties>
</file>