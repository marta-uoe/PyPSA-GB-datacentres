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a/Documents/MSc CAM/Dissertation/PyPSA-GB/notebooks/results/"/>
    </mc:Choice>
  </mc:AlternateContent>
  <xr:revisionPtr revIDLastSave="0" documentId="13_ncr:1_{55A7A79D-6103-5346-8ECD-BE4128AE893C}" xr6:coauthVersionLast="47" xr6:coauthVersionMax="47" xr10:uidLastSave="{00000000-0000-0000-0000-000000000000}"/>
  <bookViews>
    <workbookView xWindow="10260" yWindow="700" windowWidth="20620" windowHeight="17400" xr2:uid="{D4188A73-9F76-7B43-A2AE-82D891E862BC}"/>
  </bookViews>
  <sheets>
    <sheet name="Summary" sheetId="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" i="8" l="1"/>
  <c r="F23" i="8"/>
  <c r="E23" i="8"/>
  <c r="D23" i="8"/>
  <c r="C23" i="8"/>
  <c r="B13" i="8"/>
  <c r="C11" i="8"/>
  <c r="G13" i="8"/>
  <c r="D12" i="8"/>
  <c r="F14" i="8"/>
  <c r="G11" i="8"/>
  <c r="D11" i="8"/>
  <c r="E12" i="8"/>
  <c r="E14" i="8"/>
  <c r="D13" i="8"/>
  <c r="D15" i="8"/>
  <c r="B7" i="8"/>
  <c r="F12" i="8"/>
  <c r="C13" i="8"/>
  <c r="D14" i="8"/>
  <c r="G12" i="8"/>
  <c r="B14" i="8"/>
  <c r="B12" i="8"/>
  <c r="G15" i="8"/>
  <c r="F15" i="8"/>
  <c r="B15" i="8"/>
  <c r="B8" i="8"/>
  <c r="B11" i="8"/>
  <c r="G14" i="8"/>
  <c r="C12" i="8"/>
  <c r="C15" i="8"/>
  <c r="E11" i="8"/>
  <c r="E13" i="8"/>
  <c r="E15" i="8"/>
  <c r="F13" i="8"/>
  <c r="C14" i="8"/>
  <c r="F11" i="8"/>
  <c r="F20" i="8" l="1"/>
  <c r="C21" i="8"/>
  <c r="C18" i="8"/>
  <c r="C20" i="8"/>
  <c r="D20" i="8"/>
  <c r="D21" i="8"/>
  <c r="F21" i="8"/>
  <c r="E18" i="8"/>
  <c r="D19" i="8"/>
  <c r="E22" i="8"/>
  <c r="C22" i="8"/>
  <c r="E20" i="8"/>
  <c r="E19" i="8"/>
  <c r="G20" i="8"/>
  <c r="G22" i="8"/>
  <c r="F18" i="8"/>
  <c r="F19" i="8"/>
  <c r="G18" i="8"/>
  <c r="F22" i="8"/>
  <c r="C19" i="8"/>
  <c r="E21" i="8"/>
  <c r="G21" i="8"/>
  <c r="G19" i="8"/>
  <c r="D22" i="8"/>
  <c r="D18" i="8"/>
</calcChain>
</file>

<file path=xl/sharedStrings.xml><?xml version="1.0" encoding="utf-8"?>
<sst xmlns="http://schemas.openxmlformats.org/spreadsheetml/2006/main" count="26" uniqueCount="26">
  <si>
    <t>BIG SUMMARY</t>
  </si>
  <si>
    <t xml:space="preserve">Data Centre Allocation: </t>
  </si>
  <si>
    <t>Flexibility:</t>
  </si>
  <si>
    <t>x_CFE:</t>
  </si>
  <si>
    <t>Total Capacity [GW]:</t>
  </si>
  <si>
    <t>Total Green Energy</t>
  </si>
  <si>
    <t>Total Green Energy Curtailment</t>
  </si>
  <si>
    <t>Total Wind Offshore Curtailment</t>
  </si>
  <si>
    <t>Total Wind Onshore Curtailment</t>
  </si>
  <si>
    <t>Total Solar PV Curtailment</t>
  </si>
  <si>
    <t xml:space="preserve"> Network objective</t>
  </si>
  <si>
    <t>Inflexible</t>
  </si>
  <si>
    <t>Temporal</t>
  </si>
  <si>
    <t>Spatial</t>
  </si>
  <si>
    <t>Both</t>
  </si>
  <si>
    <t>CFE</t>
  </si>
  <si>
    <t>Total Storage</t>
  </si>
  <si>
    <t>DC Cost</t>
  </si>
  <si>
    <t>CFE_both</t>
  </si>
  <si>
    <t>Objective Reduction w.r.t. Inflexible</t>
  </si>
  <si>
    <t>DC Cost Reduction w.r.t. Inflexible</t>
  </si>
  <si>
    <t>Tot Green En Curtailment Reduction w.r.t. Inflexible</t>
  </si>
  <si>
    <t>Total Wind Offshore Curtailment Reduction</t>
  </si>
  <si>
    <t>Total Wind Onshore Curtailment Reduction</t>
  </si>
  <si>
    <t>Total Solar PV Curtailment Reduction</t>
  </si>
  <si>
    <t>Scotland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</si>
</sst>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5" fillId="0" borderId="0"/>
  </cellStyleXfs>
  <cellXfs count="10">
    <xf numFmtId="0" fontId="0" fillId="0" borderId="0" xfId="0"/>
    <xf numFmtId="43" fontId="1" fillId="0" borderId="0" xfId="1" applyFont="1" applyBorder="1" applyAlignment="1">
      <alignment horizontal="center" vertical="center" wrapText="1"/>
    </xf>
    <xf numFmtId="0" fontId="2" fillId="0" borderId="0" xfId="2"/>
    <xf numFmtId="43" fontId="2" fillId="0" borderId="0" xfId="2" applyNumberFormat="1"/>
    <xf numFmtId="0" fontId="3" fillId="0" borderId="0" xfId="2" applyFont="1"/>
    <xf numFmtId="43" fontId="0" fillId="0" borderId="0" xfId="3" applyFont="1"/>
    <xf numFmtId="9" fontId="2" fillId="0" borderId="0" xfId="2" applyNumberFormat="1"/>
    <xf numFmtId="0" fontId="4" fillId="0" borderId="0" xfId="2" applyFont="1"/>
    <xf numFmtId="0" fontId="6" fillId="0" borderId="0" xfId="2" applyFont="1"/>
    <xf numFmtId="10" fontId="2" fillId="0" borderId="0" xfId="2" applyNumberFormat="1"/>
  </cellXfs>
  <cellStyles count="5">
    <cellStyle name="Comma" xfId="1" builtinId="3"/>
    <cellStyle name="Comma 2" xfId="3" xr:uid="{4ECBB75D-054E-8047-9F29-ED070BEE1A4F}"/>
    <cellStyle name="Normal" xfId="0" builtinId="0"/>
    <cellStyle name="Normal 2" xfId="2" xr:uid="{D95309A0-E12C-3645-8A11-EF473EFC6DF8}"/>
    <cellStyle name="Normal 3" xfId="4" xr:uid="{D5582847-43D2-AD43-8DA4-CD8D7BB3075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AA3D4-8BC0-0947-8077-374B2710F049}">
  <dimension ref="A1:G24"/>
  <sheetViews>
    <sheetView tabSelected="1" workbookViewId="0">
      <selection activeCell="B16" sqref="B16:G16"/>
    </sheetView>
  </sheetViews>
  <sheetFormatPr baseColWidth="10" defaultRowHeight="16" x14ac:dyDescent="0.2"/>
  <cols>
    <col min="1" max="1" width="45.1640625" style="2" customWidth="1"/>
    <col min="2" max="2" width="17.83203125" style="2" customWidth="1"/>
    <col min="3" max="3" width="17" style="2" customWidth="1"/>
    <col min="4" max="4" width="20" style="2" customWidth="1"/>
    <col min="5" max="5" width="17.1640625" style="2" customWidth="1"/>
    <col min="6" max="6" width="16.5" style="2" customWidth="1"/>
    <col min="7" max="7" width="16.6640625" style="2" customWidth="1"/>
    <col min="8" max="16384" width="10.83203125" style="2"/>
  </cols>
  <sheetData>
    <row r="1" spans="1:7" ht="27" x14ac:dyDescent="0.35">
      <c r="A1" s="7" t="s">
        <v>0</v>
      </c>
    </row>
    <row r="3" spans="1:7" x14ac:dyDescent="0.2">
      <c r="A3" s="4" t="s">
        <v>1</v>
      </c>
      <c r="B3" s="2" t="s">
        <v>25</v>
      </c>
    </row>
    <row r="4" spans="1:7" x14ac:dyDescent="0.2">
      <c r="A4" s="4" t="s">
        <v>4</v>
      </c>
      <c r="B4" s="2">
        <v>10</v>
      </c>
      <c r="D4" s="1"/>
    </row>
    <row r="5" spans="1:7" x14ac:dyDescent="0.2">
      <c r="A5" s="4" t="s">
        <v>2</v>
      </c>
      <c r="B5" s="6">
        <v>0.1</v>
      </c>
      <c r="D5" s="1"/>
    </row>
    <row r="6" spans="1:7" x14ac:dyDescent="0.2">
      <c r="A6" s="4" t="s">
        <v>3</v>
      </c>
      <c r="B6" s="6">
        <v>0.03</v>
      </c>
      <c r="D6" s="1"/>
    </row>
    <row r="7" spans="1:7" x14ac:dyDescent="0.2">
      <c r="A7" s="4" t="s">
        <v>5</v>
      </c>
      <c r="B7" s="3" t="e">
        <f ca="1">SUMIFS(INDIRECT(B$10&amp;"!$D$2:$D$35"), INDIRECT(B$10&amp;"!$B$2:$B$35"), "Solar PV")
+SUMIFS(INDIRECT(B$10&amp;"!$D$2:$D$35"), INDIRECT(B$10&amp;"!$B$2:$B$35"), "Offshore Wind")
+SUMIFS(INDIRECT(B$10&amp;"!$D$2:$D$35"), INDIRECT(B$10&amp;"!$B$2:$B$35"), "Onshore Wind")
+SUMIFS(INDIRECT(B$10&amp;"!$D$2:$D$35"), INDIRECT(B$10&amp;"!$B$2:$B$35"), "Large Hydro")
+SUMIFS(INDIRECT(B$10&amp;"!$D$2:$D$35"), INDIRECT(B$10&amp;"!$B$2:$B$35"), "Marine Energy")</f>
        <v>#REF!</v>
      </c>
      <c r="D7" s="1"/>
    </row>
    <row r="8" spans="1:7" x14ac:dyDescent="0.2">
      <c r="A8" s="4" t="s">
        <v>16</v>
      </c>
      <c r="B8" s="3" t="e">
        <f ca="1">SUMIFS(INDIRECT(B$10&amp;"!$D$2:$D$35"), INDIRECT(B$10&amp;"!$B$2:$B$35"), "Battery Storage")
+SUMIFS(INDIRECT(B$10&amp;"!$D$2:$D$35"), INDIRECT(B$10&amp;"!$B$2:$B$35"), "Domestic Battery Storage")
+SUMIFS(INDIRECT(B$10&amp;"!$D$2:$D$35"), INDIRECT(B$10&amp;"!$B$2:$B$35"), "Liquid Air Energy Storage")
+SUMIFS(INDIRECT(B$10&amp;"!$D$2:$D$35"), INDIRECT(B$10&amp;"!$B$2:$B$35"), "Pumped Storage Hydroelectricity")</f>
        <v>#REF!</v>
      </c>
      <c r="D8" s="1"/>
    </row>
    <row r="10" spans="1:7" x14ac:dyDescent="0.2">
      <c r="B10" s="4" t="s">
        <v>11</v>
      </c>
      <c r="C10" s="4" t="s">
        <v>12</v>
      </c>
      <c r="D10" s="4" t="s">
        <v>13</v>
      </c>
      <c r="E10" s="4" t="s">
        <v>14</v>
      </c>
      <c r="F10" s="4" t="s">
        <v>15</v>
      </c>
      <c r="G10" s="4" t="s">
        <v>18</v>
      </c>
    </row>
    <row r="11" spans="1:7" x14ac:dyDescent="0.2">
      <c r="A11" s="4" t="s">
        <v>6</v>
      </c>
      <c r="B11" s="3" t="e">
        <f ca="1">SUMIFS(INDIRECT(B$10&amp;"!$J$2:$J$35"), INDIRECT(B$10&amp;"!$B$2:$B$35"), "Solar PV")
+SUMIFS(INDIRECT(B$10&amp;"!$J$2:$J$35"), INDIRECT(B$10&amp;"!$B$2:$B$35"), "Offshore Wind")
+SUMIFS(INDIRECT(B$10&amp;"!$J$2:$J$35"), INDIRECT(B$10&amp;"!$B$2:$B$35"), "Onshore Wind")
+SUMIFS(INDIRECT(B$10&amp;"!$J$2:$J$35"), INDIRECT(B$10&amp;"!$B$2:$B$35"), "Large Hydro")
+SUMIFS(INDIRECT(B$10&amp;"!$J$2:$J$35"), INDIRECT(B$10&amp;"!$B$2:$B$35"), "Marine Energy")</f>
        <v>#REF!</v>
      </c>
      <c r="C11" s="3" t="e">
        <f t="shared" ref="C11:G11" ca="1" si="0">SUMIFS(INDIRECT(C$10&amp;"!$J$2:$J$35"), INDIRECT(C$10&amp;"!$B$2:$B$35"), "Solar PV")
+SUMIFS(INDIRECT(C$10&amp;"!$J$2:$J$35"), INDIRECT(C$10&amp;"!$B$2:$B$35"), "Offshore Wind")
+SUMIFS(INDIRECT(C$10&amp;"!$J$2:$J$35"), INDIRECT(C$10&amp;"!$B$2:$B$35"), "Onshore Wind")
+SUMIFS(INDIRECT(C$10&amp;"!$J$2:$J$35"), INDIRECT(C$10&amp;"!$B$2:$B$35"), "Large Hydro")
+SUMIFS(INDIRECT(C$10&amp;"!$J$2:$J$35"), INDIRECT(C$10&amp;"!$B$2:$B$35"), "Marine Energy")</f>
        <v>#REF!</v>
      </c>
      <c r="D11" s="3" t="e">
        <f t="shared" ca="1" si="0"/>
        <v>#REF!</v>
      </c>
      <c r="E11" s="3" t="e">
        <f t="shared" ca="1" si="0"/>
        <v>#REF!</v>
      </c>
      <c r="F11" s="3" t="e">
        <f t="shared" ca="1" si="0"/>
        <v>#REF!</v>
      </c>
      <c r="G11" s="3" t="e">
        <f t="shared" ca="1" si="0"/>
        <v>#REF!</v>
      </c>
    </row>
    <row r="12" spans="1:7" x14ac:dyDescent="0.2">
      <c r="A12" s="4" t="s">
        <v>7</v>
      </c>
      <c r="B12" s="3" t="e">
        <f ca="1">SUMIFS(INDIRECT(B$10&amp;"!$J$2:$J$35"), INDIRECT(B$10&amp;"!$B$2:$B$35"), "Offshore Wind")</f>
        <v>#REF!</v>
      </c>
      <c r="C12" s="3" t="e">
        <f t="shared" ref="C12:G12" ca="1" si="1">SUMIFS(INDIRECT(C$10&amp;"!$J$2:$J$35"), INDIRECT(C$10&amp;"!$B$2:$B$35"), "Offshore Wind")</f>
        <v>#REF!</v>
      </c>
      <c r="D12" s="3" t="e">
        <f t="shared" ca="1" si="1"/>
        <v>#REF!</v>
      </c>
      <c r="E12" s="3" t="e">
        <f t="shared" ca="1" si="1"/>
        <v>#REF!</v>
      </c>
      <c r="F12" s="3" t="e">
        <f t="shared" ca="1" si="1"/>
        <v>#REF!</v>
      </c>
      <c r="G12" s="3" t="e">
        <f t="shared" ca="1" si="1"/>
        <v>#REF!</v>
      </c>
    </row>
    <row r="13" spans="1:7" x14ac:dyDescent="0.2">
      <c r="A13" s="4" t="s">
        <v>8</v>
      </c>
      <c r="B13" s="5" t="e">
        <f ca="1">SUMIFS(INDIRECT(B$10&amp;"!$J$2:$J$35"), INDIRECT(B$10&amp;"!$B$2:$B$35"), "Onshore Wind")</f>
        <v>#REF!</v>
      </c>
      <c r="C13" s="5" t="e">
        <f t="shared" ref="C13:G13" ca="1" si="2">SUMIFS(INDIRECT(C$10&amp;"!$J$2:$J$35"), INDIRECT(C$10&amp;"!$B$2:$B$35"), "Onshore Wind")</f>
        <v>#REF!</v>
      </c>
      <c r="D13" s="5" t="e">
        <f t="shared" ca="1" si="2"/>
        <v>#REF!</v>
      </c>
      <c r="E13" s="5" t="e">
        <f t="shared" ca="1" si="2"/>
        <v>#REF!</v>
      </c>
      <c r="F13" s="5" t="e">
        <f t="shared" ca="1" si="2"/>
        <v>#REF!</v>
      </c>
      <c r="G13" s="5" t="e">
        <f t="shared" ca="1" si="2"/>
        <v>#REF!</v>
      </c>
    </row>
    <row r="14" spans="1:7" x14ac:dyDescent="0.2">
      <c r="A14" s="4" t="s">
        <v>9</v>
      </c>
      <c r="B14" s="5" t="e">
        <f ca="1">SUMIFS(INDIRECT(B$10&amp;"!$J$2:$J$35"), INDIRECT(B$10&amp;"!$B$2:$B$35"), "Solar PV")</f>
        <v>#REF!</v>
      </c>
      <c r="C14" s="5" t="e">
        <f t="shared" ref="C14:G14" ca="1" si="3">SUMIFS(INDIRECT(C$10&amp;"!$J$2:$J$35"), INDIRECT(C$10&amp;"!$B$2:$B$35"), "Solar PV")</f>
        <v>#REF!</v>
      </c>
      <c r="D14" s="5" t="e">
        <f t="shared" ca="1" si="3"/>
        <v>#REF!</v>
      </c>
      <c r="E14" s="5" t="e">
        <f t="shared" ca="1" si="3"/>
        <v>#REF!</v>
      </c>
      <c r="F14" s="5" t="e">
        <f t="shared" ca="1" si="3"/>
        <v>#REF!</v>
      </c>
      <c r="G14" s="5" t="e">
        <f t="shared" ca="1" si="3"/>
        <v>#REF!</v>
      </c>
    </row>
    <row r="15" spans="1:7" x14ac:dyDescent="0.2">
      <c r="A15" s="4" t="s">
        <v>17</v>
      </c>
      <c r="B15" s="3" t="e">
        <f ca="1">-SUMIFS(INDIRECT(B$10&amp;"!$M$2:$M$35"), INDIRECT(B$10&amp;"!$B$2:$B$35"), "Data Centre")</f>
        <v>#REF!</v>
      </c>
      <c r="C15" s="3" t="e">
        <f t="shared" ref="C15:G15" ca="1" si="4">-SUMIFS(INDIRECT(C$10&amp;"!$M$2:$M$35"), INDIRECT(C$10&amp;"!$B$2:$B$35"), "Data Centre")</f>
        <v>#REF!</v>
      </c>
      <c r="D15" s="3" t="e">
        <f t="shared" ca="1" si="4"/>
        <v>#REF!</v>
      </c>
      <c r="E15" s="3" t="e">
        <f t="shared" ca="1" si="4"/>
        <v>#REF!</v>
      </c>
      <c r="F15" s="3" t="e">
        <f t="shared" ca="1" si="4"/>
        <v>#REF!</v>
      </c>
      <c r="G15" s="3" t="e">
        <f t="shared" ca="1" si="4"/>
        <v>#REF!</v>
      </c>
    </row>
    <row r="16" spans="1:7" x14ac:dyDescent="0.2">
      <c r="A16" s="4" t="s">
        <v>10</v>
      </c>
      <c r="B16" s="3"/>
      <c r="C16" s="3"/>
      <c r="D16" s="3"/>
      <c r="E16" s="3"/>
      <c r="F16" s="3"/>
      <c r="G16" s="3"/>
    </row>
    <row r="17" spans="1:7" x14ac:dyDescent="0.2">
      <c r="A17" s="4"/>
      <c r="B17" s="3"/>
      <c r="C17" s="3"/>
      <c r="D17" s="3"/>
      <c r="E17" s="3"/>
      <c r="F17" s="3"/>
      <c r="G17" s="3"/>
    </row>
    <row r="18" spans="1:7" x14ac:dyDescent="0.2">
      <c r="A18" s="8" t="s">
        <v>21</v>
      </c>
      <c r="C18" s="9" t="e">
        <f ca="1">1-C$11/$B$11</f>
        <v>#REF!</v>
      </c>
      <c r="D18" s="9" t="e">
        <f t="shared" ref="D18:G18" ca="1" si="5">1-D$11/$B$11</f>
        <v>#REF!</v>
      </c>
      <c r="E18" s="9" t="e">
        <f t="shared" ca="1" si="5"/>
        <v>#REF!</v>
      </c>
      <c r="F18" s="9" t="e">
        <f t="shared" ca="1" si="5"/>
        <v>#REF!</v>
      </c>
      <c r="G18" s="9" t="e">
        <f t="shared" ca="1" si="5"/>
        <v>#REF!</v>
      </c>
    </row>
    <row r="19" spans="1:7" x14ac:dyDescent="0.2">
      <c r="A19" s="8" t="s">
        <v>22</v>
      </c>
      <c r="C19" s="9" t="e">
        <f ca="1">1-C$12/$B$12</f>
        <v>#REF!</v>
      </c>
      <c r="D19" s="9" t="e">
        <f t="shared" ref="D19:G19" ca="1" si="6">1-D$12/$B$12</f>
        <v>#REF!</v>
      </c>
      <c r="E19" s="9" t="e">
        <f t="shared" ca="1" si="6"/>
        <v>#REF!</v>
      </c>
      <c r="F19" s="9" t="e">
        <f t="shared" ca="1" si="6"/>
        <v>#REF!</v>
      </c>
      <c r="G19" s="9" t="e">
        <f t="shared" ca="1" si="6"/>
        <v>#REF!</v>
      </c>
    </row>
    <row r="20" spans="1:7" x14ac:dyDescent="0.2">
      <c r="A20" s="8" t="s">
        <v>23</v>
      </c>
      <c r="C20" s="9" t="e">
        <f ca="1">1-C$13/$B$13</f>
        <v>#REF!</v>
      </c>
      <c r="D20" s="9" t="e">
        <f t="shared" ref="D20:G20" ca="1" si="7">1-D$13/$B$13</f>
        <v>#REF!</v>
      </c>
      <c r="E20" s="9" t="e">
        <f t="shared" ca="1" si="7"/>
        <v>#REF!</v>
      </c>
      <c r="F20" s="9" t="e">
        <f t="shared" ca="1" si="7"/>
        <v>#REF!</v>
      </c>
      <c r="G20" s="9" t="e">
        <f t="shared" ca="1" si="7"/>
        <v>#REF!</v>
      </c>
    </row>
    <row r="21" spans="1:7" x14ac:dyDescent="0.2">
      <c r="A21" s="8" t="s">
        <v>24</v>
      </c>
      <c r="C21" s="9" t="e">
        <f ca="1">1-C$14/$B$14</f>
        <v>#REF!</v>
      </c>
      <c r="D21" s="9" t="e">
        <f t="shared" ref="D21:G21" ca="1" si="8">1-D$14/$B$14</f>
        <v>#REF!</v>
      </c>
      <c r="E21" s="9" t="e">
        <f t="shared" ca="1" si="8"/>
        <v>#REF!</v>
      </c>
      <c r="F21" s="9" t="e">
        <f t="shared" ca="1" si="8"/>
        <v>#REF!</v>
      </c>
      <c r="G21" s="9" t="e">
        <f t="shared" ca="1" si="8"/>
        <v>#REF!</v>
      </c>
    </row>
    <row r="22" spans="1:7" x14ac:dyDescent="0.2">
      <c r="A22" s="8" t="s">
        <v>20</v>
      </c>
      <c r="C22" s="9" t="e">
        <f ca="1">1-C$15/$B$15</f>
        <v>#REF!</v>
      </c>
      <c r="D22" s="9" t="e">
        <f t="shared" ref="D22:G22" ca="1" si="9">1-D$15/$B$15</f>
        <v>#REF!</v>
      </c>
      <c r="E22" s="9" t="e">
        <f t="shared" ca="1" si="9"/>
        <v>#REF!</v>
      </c>
      <c r="F22" s="9" t="e">
        <f t="shared" ca="1" si="9"/>
        <v>#REF!</v>
      </c>
      <c r="G22" s="9" t="e">
        <f t="shared" ca="1" si="9"/>
        <v>#REF!</v>
      </c>
    </row>
    <row r="23" spans="1:7" x14ac:dyDescent="0.2">
      <c r="A23" s="8" t="s">
        <v>19</v>
      </c>
      <c r="C23" s="9" t="e">
        <f>1-C$16/$B$16</f>
        <v>#DIV/0!</v>
      </c>
      <c r="D23" s="9" t="e">
        <f t="shared" ref="D23:G23" si="10">1-D$16/$B$16</f>
        <v>#DIV/0!</v>
      </c>
      <c r="E23" s="9" t="e">
        <f t="shared" si="10"/>
        <v>#DIV/0!</v>
      </c>
      <c r="F23" s="9" t="e">
        <f t="shared" si="10"/>
        <v>#DIV/0!</v>
      </c>
      <c r="G23" s="9" t="e">
        <f t="shared" si="10"/>
        <v>#DIV/0!</v>
      </c>
    </row>
    <row r="24" spans="1:7" x14ac:dyDescent="0.2">
      <c r="A24" s="8"/>
    </row>
  </sheetData>
  <conditionalFormatting sqref="B11:G1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G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Marta Górecka</dc:creator>
  <cp:lastModifiedBy>Marta Górecka</cp:lastModifiedBy>
  <dcterms:created xsi:type="dcterms:W3CDTF">2026-08-14T09:11:44Z</dcterms:created>
  <dcterms:modified xsi:type="dcterms:W3CDTF">2026-08-20T08:23:40Z</dcterms:modified>
</cp:coreProperties>
</file>