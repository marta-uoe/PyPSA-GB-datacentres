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"/>
    </mc:Choice>
  </mc:AlternateContent>
  <xr:revisionPtr revIDLastSave="0" documentId="13_ncr:1_{5D9CBB54-400A-4C4F-897A-A48263A4D999}" xr6:coauthVersionLast="47" xr6:coauthVersionMax="47" xr10:uidLastSave="{00000000-0000-0000-0000-000000000000}"/>
  <bookViews>
    <workbookView xWindow="0" yWindow="660" windowWidth="30240" windowHeight="17400" xr2:uid="{D4188A73-9F76-7B43-A2AE-82D891E862BC}"/>
  </bookViews>
  <sheets>
    <sheet name="Summary" sheetId="8" r:id="rId1"/>
    <sheet name="Inflexible" sheetId="4" r:id="rId2"/>
    <sheet name="Temporal" sheetId="2" r:id="rId3"/>
    <sheet name="Spatial" sheetId="1" r:id="rId4"/>
    <sheet name="Both" sheetId="3" r:id="rId5"/>
    <sheet name="CFE" sheetId="5" r:id="rId6"/>
    <sheet name="CFE_both" sheetId="6" r:id="rId7"/>
  </sheets>
  <definedNames>
    <definedName name="_xlnm._FilterDatabase" localSheetId="4" hidden="1">Both!$A$1:$N$41</definedName>
    <definedName name="_xlnm._FilterDatabase" localSheetId="5" hidden="1">CFE!$A$1:$N$32</definedName>
    <definedName name="_xlnm._FilterDatabase" localSheetId="6" hidden="1">CFE_both!$A$1:$N$32</definedName>
    <definedName name="_xlnm._FilterDatabase" localSheetId="1" hidden="1">Inflexible!$A$1:$N$35</definedName>
    <definedName name="_xlnm._FilterDatabase" localSheetId="3" hidden="1">Spatial!$A$1:$N$36</definedName>
    <definedName name="_xlnm._FilterDatabase" localSheetId="2" hidden="1">Temporal!$A$1:$N$37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8" l="1"/>
  <c r="B7" i="8"/>
  <c r="B11" i="8"/>
  <c r="C11" i="8"/>
  <c r="D11" i="8"/>
  <c r="E11" i="8"/>
  <c r="F11" i="8"/>
  <c r="G11" i="8"/>
  <c r="B12" i="8"/>
  <c r="C12" i="8"/>
  <c r="D12" i="8"/>
  <c r="E12" i="8"/>
  <c r="F12" i="8"/>
  <c r="G12" i="8"/>
  <c r="B13" i="8"/>
  <c r="C13" i="8"/>
  <c r="D13" i="8"/>
  <c r="E13" i="8"/>
  <c r="F13" i="8"/>
  <c r="G13" i="8"/>
  <c r="B14" i="8"/>
  <c r="C14" i="8"/>
  <c r="D14" i="8"/>
  <c r="E14" i="8"/>
  <c r="F14" i="8"/>
  <c r="G14" i="8"/>
  <c r="B15" i="8"/>
  <c r="C15" i="8"/>
  <c r="D15" i="8"/>
  <c r="E15" i="8"/>
  <c r="F15" i="8"/>
  <c r="G15" i="8"/>
</calcChain>
</file>

<file path=xl/sharedStrings.xml><?xml version="1.0" encoding="utf-8"?>
<sst xmlns="http://schemas.openxmlformats.org/spreadsheetml/2006/main" count="422" uniqueCount="72">
  <si>
    <t>Optimal Capacity</t>
  </si>
  <si>
    <t>Installed Capacity</t>
  </si>
  <si>
    <t>Supply</t>
  </si>
  <si>
    <t>Withdrawal</t>
  </si>
  <si>
    <t>Energy Balance</t>
  </si>
  <si>
    <t>Transmission</t>
  </si>
  <si>
    <t>Capacity Factor</t>
  </si>
  <si>
    <t>Curtailment</t>
  </si>
  <si>
    <t>Capital Expenditure</t>
  </si>
  <si>
    <t>Operational Expenditure</t>
  </si>
  <si>
    <t>Revenue</t>
  </si>
  <si>
    <t>Market Value</t>
  </si>
  <si>
    <t>Generator</t>
  </si>
  <si>
    <t>Advanced Biofuel</t>
  </si>
  <si>
    <t>Biogas</t>
  </si>
  <si>
    <t>Biomass</t>
  </si>
  <si>
    <t>Combined Cycle Gas Turbine</t>
  </si>
  <si>
    <t>European Imports</t>
  </si>
  <si>
    <t>Landfill Gas</t>
  </si>
  <si>
    <t>Large Hydro</t>
  </si>
  <si>
    <t>Load Shedding</t>
  </si>
  <si>
    <t>NaN</t>
  </si>
  <si>
    <t>Nuclear</t>
  </si>
  <si>
    <t>Offshore Wind</t>
  </si>
  <si>
    <t>Oil</t>
  </si>
  <si>
    <t>Onshore Wind</t>
  </si>
  <si>
    <t>Open Cycle Gas Turbine</t>
  </si>
  <si>
    <t>Sewage Gas</t>
  </si>
  <si>
    <t>Solar PV</t>
  </si>
  <si>
    <t>Waste to Energy</t>
  </si>
  <si>
    <t>Link</t>
  </si>
  <si>
    <t>AC</t>
  </si>
  <si>
    <t>DC</t>
  </si>
  <si>
    <t>Virtual Link</t>
  </si>
  <si>
    <t>Load</t>
  </si>
  <si>
    <t>Data Centre</t>
  </si>
  <si>
    <t>Electricity</t>
  </si>
  <si>
    <t>StorageUnit</t>
  </si>
  <si>
    <t>Battery Storage</t>
  </si>
  <si>
    <t>Pumped Storage Hydroelectricity</t>
  </si>
  <si>
    <t>DSM</t>
  </si>
  <si>
    <t>Store</t>
  </si>
  <si>
    <t>Combined Heat &amp; Power</t>
  </si>
  <si>
    <t>Gas Engine</t>
  </si>
  <si>
    <t>Geothermal</t>
  </si>
  <si>
    <t>Marine Energy</t>
  </si>
  <si>
    <t>Line</t>
  </si>
  <si>
    <t>Electrolysis</t>
  </si>
  <si>
    <t>H2 Power Generation</t>
  </si>
  <si>
    <t>Domestic Battery Storage</t>
  </si>
  <si>
    <t>Liquid Air Energy Storage</t>
  </si>
  <si>
    <t>Hydrogen Gas</t>
  </si>
  <si>
    <t>BIG SUMMARY</t>
  </si>
  <si>
    <t xml:space="preserve">Data Centre Allocation: </t>
  </si>
  <si>
    <t>Flexibility:</t>
  </si>
  <si>
    <t>x_CFE:</t>
  </si>
  <si>
    <t>Scotland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</si>
  <si>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</si>
  <si>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</si>
  <si>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</si>
  <si>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</si>
  <si>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</si>
  <si>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</si>
  <si>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</si>
  <si>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</si>
  <si>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</si>
  <si>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</si>
  <si>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</si>
  <si>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</si>
  <si>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CFE + Both</t>
  </si>
  <si>
    <t>Total Storage</t>
  </si>
  <si>
    <t>DC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</si>
</sst>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1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3" fontId="0" fillId="0" borderId="0" xfId="1" applyFont="1"/>
    <xf numFmtId="43" fontId="2" fillId="0" borderId="1" xfId="1" applyFont="1" applyBorder="1" applyAlignment="1">
      <alignment horizontal="center" vertical="center" wrapText="1"/>
    </xf>
    <xf numFmtId="43" fontId="1" fillId="0" borderId="1" xfId="1" applyFont="1" applyBorder="1" applyAlignment="1">
      <alignment vertical="center" wrapText="1"/>
    </xf>
    <xf numFmtId="43" fontId="1" fillId="0" borderId="5" xfId="1" applyFont="1" applyBorder="1" applyAlignment="1">
      <alignment vertical="center" wrapText="1"/>
    </xf>
    <xf numFmtId="43" fontId="0" fillId="0" borderId="6" xfId="1" applyFont="1" applyBorder="1"/>
    <xf numFmtId="43" fontId="0" fillId="0" borderId="0" xfId="1" applyFont="1" applyAlignment="1">
      <alignment horizontal="right"/>
    </xf>
    <xf numFmtId="43" fontId="1" fillId="0" borderId="0" xfId="1" applyFont="1" applyAlignment="1">
      <alignment vertical="center" wrapText="1"/>
    </xf>
    <xf numFmtId="43" fontId="0" fillId="0" borderId="5" xfId="1" applyFont="1" applyBorder="1"/>
    <xf numFmtId="43" fontId="2" fillId="0" borderId="0" xfId="1" applyFont="1" applyBorder="1" applyAlignment="1">
      <alignment horizontal="center" vertical="center" wrapText="1"/>
    </xf>
    <xf numFmtId="43" fontId="1" fillId="0" borderId="0" xfId="1" applyFont="1" applyBorder="1" applyAlignment="1">
      <alignment vertical="center" wrapText="1"/>
    </xf>
    <xf numFmtId="43" fontId="1" fillId="0" borderId="6" xfId="1" applyFont="1" applyBorder="1" applyAlignment="1">
      <alignment vertical="center" wrapText="1"/>
    </xf>
    <xf numFmtId="43" fontId="0" fillId="0" borderId="0" xfId="1" applyFont="1" applyBorder="1"/>
    <xf numFmtId="43" fontId="0" fillId="0" borderId="0" xfId="1" applyFont="1" applyBorder="1" applyAlignment="1">
      <alignment horizontal="right"/>
    </xf>
    <xf numFmtId="0" fontId="3" fillId="0" borderId="0" xfId="2"/>
    <xf numFmtId="43" fontId="3" fillId="0" borderId="0" xfId="2" applyNumberFormat="1"/>
    <xf numFmtId="0" fontId="4" fillId="0" borderId="0" xfId="2" applyFont="1"/>
    <xf numFmtId="43" fontId="0" fillId="0" borderId="0" xfId="3" applyFont="1"/>
    <xf numFmtId="9" fontId="3" fillId="0" borderId="0" xfId="2" applyNumberFormat="1"/>
    <xf numFmtId="0" fontId="5" fillId="0" borderId="0" xfId="2" applyFont="1"/>
    <xf numFmtId="43" fontId="2" fillId="0" borderId="2" xfId="1" applyFont="1" applyBorder="1" applyAlignment="1">
      <alignment horizontal="center" vertical="top" wrapText="1"/>
    </xf>
    <xf numFmtId="43" fontId="2" fillId="0" borderId="3" xfId="1" applyFont="1" applyBorder="1" applyAlignment="1">
      <alignment horizontal="center" vertical="top" wrapText="1"/>
    </xf>
    <xf numFmtId="43" fontId="2" fillId="0" borderId="4" xfId="1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0" xfId="2" applyBorder="1"/>
  </cellXfs>
  <cellStyles count="4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16"/>
  <sheetViews>
    <sheetView tabSelected="1" workbookViewId="0">
      <selection activeCell="D25" sqref="D25"/>
    </sheetView>
  </sheetViews>
  <sheetFormatPr baseColWidth="10" defaultRowHeight="16" x14ac:dyDescent="0.2"/>
  <cols>
    <col min="1" max="1" width="31.6640625" style="17" customWidth="1"/>
    <col min="2" max="2" width="17.83203125" style="17" customWidth="1"/>
    <col min="3" max="3" width="17" style="17" customWidth="1"/>
    <col min="4" max="4" width="20" style="17" customWidth="1"/>
    <col min="5" max="5" width="17.1640625" style="17" customWidth="1"/>
    <col min="6" max="6" width="16.5" style="17" customWidth="1"/>
    <col min="7" max="7" width="16.6640625" style="17" customWidth="1"/>
    <col min="8" max="16384" width="10.83203125" style="17"/>
  </cols>
  <sheetData>
    <row r="1" spans="1:7" ht="27" x14ac:dyDescent="0.35">
      <c r="A1" s="22" t="s">
        <v>52</v>
      </c>
    </row>
    <row r="3" spans="1:7" x14ac:dyDescent="0.2">
      <c r="A3" s="19" t="s">
        <v>53</v>
      </c>
      <c r="B3" s="17" t="s">
        <v>56</v>
      </c>
      <c r="D3" s="29"/>
    </row>
    <row r="4" spans="1:7" x14ac:dyDescent="0.2">
      <c r="A4" s="19" t="s">
        <v>57</v>
      </c>
      <c r="B4" s="17">
        <v>4</v>
      </c>
      <c r="D4" s="12"/>
    </row>
    <row r="5" spans="1:7" x14ac:dyDescent="0.2">
      <c r="A5" s="19" t="s">
        <v>54</v>
      </c>
      <c r="B5" s="21">
        <v>0.1</v>
      </c>
      <c r="D5" s="12"/>
    </row>
    <row r="6" spans="1:7" x14ac:dyDescent="0.2">
      <c r="A6" s="19" t="s">
        <v>55</v>
      </c>
      <c r="B6" s="21">
        <v>0.03</v>
      </c>
      <c r="D6" s="12"/>
    </row>
    <row r="7" spans="1:7" x14ac:dyDescent="0.2">
      <c r="A7" s="19" t="s">
        <v>58</v>
      </c>
      <c r="B7" s="18">
        <f>SUMIFS(Inflexible!$D$2:$D$32,Inflexible!$B$2:$B$32,"Solar PV")+SUMIFS(Inflexible!$D$2:$D$32,Inflexible!$B$2:$B$32,"Offshore Wind")+SUMIFS(Inflexible!$D$2:$D$32,Inflexible!$B$2:$B$32,"Onshore Wind")+SUMIFS(Inflexible!$D$2:$D$32,Inflexible!$B$2:$B$32,"Large Hydro")</f>
        <v>123182.66099999999</v>
      </c>
      <c r="D7" s="12"/>
    </row>
    <row r="8" spans="1:7" x14ac:dyDescent="0.2">
      <c r="A8" s="19" t="s">
        <v>70</v>
      </c>
      <c r="B8" s="18">
        <f>SUMIFS(Inflexible!$D$2:$D$32,Inflexible!$B$2:$B$32,"Battery Storage")+SUMIFS(Inflexible!$D$2:$D$32,Inflexible!$B$2:$B$32,"Domestic Battery Storage")+SUMIFS(Inflexible!$D$2:$D$32,Inflexible!$B$2:$B$32,"Liquid Air Energy Storage")+SUMIFS(Inflexible!$D$2:$D$32,Inflexible!$B$2:$B$32,"Pumped Storage Hydroelectricity")+SUMIFS(Inflexible!$D$2:$D$32,Inflexible!$B$2:$B$32,"Hydrogen Gas")</f>
        <v>79855.683000000005</v>
      </c>
      <c r="D8" s="12"/>
    </row>
    <row r="10" spans="1:7" x14ac:dyDescent="0.2">
      <c r="B10" s="19" t="s">
        <v>64</v>
      </c>
      <c r="C10" s="19" t="s">
        <v>65</v>
      </c>
      <c r="D10" s="19" t="s">
        <v>66</v>
      </c>
      <c r="E10" s="19" t="s">
        <v>67</v>
      </c>
      <c r="F10" s="19" t="s">
        <v>68</v>
      </c>
      <c r="G10" s="19" t="s">
        <v>69</v>
      </c>
    </row>
    <row r="11" spans="1:7" x14ac:dyDescent="0.2">
      <c r="A11" s="19" t="s">
        <v>59</v>
      </c>
      <c r="B11" s="18">
        <f>SUMIFS(Inflexible!$J$2:$J$34,Inflexible!$B$2:$B$34, "Solar PV")+SUMIFS(Inflexible!$J$2:$J$34,Inflexible!$B$2:$B$34, "Offshore Wind")+SUMIFS(Inflexible!$J$2:$J$34,Inflexible!$B$2:$B$34, "Onshore Wind")+SUMIFS(Inflexible!$J$2:$J$34,Inflexible!$B$2:$B$34, "Large Hydro")+SUMIFS(Inflexible!$J$2:$J$34,Inflexible!$B$2:$B$34, "Marine Energy")</f>
        <v>11412215.559999999</v>
      </c>
      <c r="C11" s="18">
        <f>SUMIFS(Temporal!$J$2:$J$34,Inflexible!$B$2:$B$34, "Solar PV")+SUMIFS(Temporal!$J$2:$J$34,Temporal!$B$2:$B$34, "Offshore Wind")+SUMIFS(Temporal!$J$2:$J$34,Temporal!$B$2:$B$34, "Onshore Wind")+SUMIFS(Temporal!$J$2:$J$34,Temporal!$B$2:$B$34, "Large Hydro")+SUMIFS(Inflexible!$J$2:$J$34,Temporal!$B$2:$B$34, "Marine Energy")</f>
        <v>11383407.76</v>
      </c>
      <c r="D11" s="18">
        <f>SUMIFS(Spatial!$J$2:$J$34,Spatial!$B$2:$B$34, "Solar PV")+SUMIFS(Spatial!$J$2:$J$34,Spatial!$B$2:$B$34, "Offshore Wind")+SUMIFS(Spatial!$J$2:$J$34,Spatial!$B$2:$B$34, "Onshore Wind")+SUMIFS(Spatial!$J$2:$J$34,Spatial!$B$2:$B$34, "Large Hydro")+SUMIFS(Spatial!$J$2:$J$34,Spatial!$B$2:$B$34, "Marine Energy")</f>
        <v>11631524.700000001</v>
      </c>
      <c r="E11" s="18">
        <f>SUMIFS(Both!$J$2:$J$35,Both!$B$2:$B$35, "Solar PV")+SUMIFS(Both!$J$2:$J$35,Both!$B$2:$B$35, "Offshore Wind")+SUMIFS(Both!$J$2:$J$35,Both!$B$2:$B$35, "Onshore Wind")+SUMIFS(Both!$J$2:$J$35,Both!$B$2:$B$35, "Large Hydro")+SUMIFS(Both!$J$2:$J$35,Both!$B$2:$B$35, "Marine Energy")</f>
        <v>11705346.49</v>
      </c>
      <c r="F11" s="18">
        <f>SUMIFS(CFE!$J$2:$J$34,CFE!$B$2:$B$34, "Solar PV")+SUMIFS(CFE!$J$2:$J$34,CFE!$B$2:$B$34, "Offshore Wind")+SUMIFS(CFE!$J$2:$J$34,CFE!$B$2:$B$34, "Onshore Wind")+SUMIFS(CFE!$J$2:$J$34,CFE!$B$2:$B$34, "Large Hydro")+SUMIFS(CFE!$J$2:$J$34,CFE!$B$2:$B$34, "Marine Energy")</f>
        <v>11295554.08</v>
      </c>
      <c r="G11" s="18">
        <f>SUMIFS(CFE_both!$J$2:$J$35,CFE_both!$B$2:$B$35, "Solar PV")+SUMIFS(CFE_both!$J$2:$J$35,CFE_both!$B$2:$B$35, "Offshore Wind")+SUMIFS(CFE_both!$J$2:$J$35,CFE_both!$B$2:$B$35, "Onshore Wind")+SUMIFS(CFE_both!$J$2:$J$35,CFE_both!$B$2:$B$35, "Large Hydro")+SUMIFS(CFE_both!$J$2:$J$35,CFE_both!$B$2:$B$35, "Marine Energy")</f>
        <v>11608799</v>
      </c>
    </row>
    <row r="12" spans="1:7" x14ac:dyDescent="0.2">
      <c r="A12" s="19" t="s">
        <v>60</v>
      </c>
      <c r="B12" s="18">
        <f>SUMIFS(Inflexible!$J$2:$J$34,Inflexible!$B$2:$B$34, "Offshore Wind")</f>
        <v>6642041</v>
      </c>
      <c r="C12" s="18">
        <f>SUMIFS(Temporal!$J$2:$J$34,Temporal!$B$2:$B$34, "Offshore Wind")</f>
        <v>6615477</v>
      </c>
      <c r="D12" s="18">
        <f>SUMIFS(Spatial!$J$2:$J$34,Spatial!$B$2:$B$34, "Offshore Wind")</f>
        <v>6930775</v>
      </c>
      <c r="E12" s="18">
        <f>SUMIFS(Both!$J$2:$J$35,Both!$B$2:$B$35, "Offshore Wind")</f>
        <v>6816858</v>
      </c>
      <c r="F12" s="18">
        <f>SUMIFS(CFE!$J$2:$J$34,CFE!$B$2:$B$34, "Offshore Wind")</f>
        <v>6546350</v>
      </c>
      <c r="G12" s="18">
        <f>SUMIFS(CFE_both!$J$2:$J$35,CFE_both!$B$2:$B$35, "Offshore Wind")</f>
        <v>6855179</v>
      </c>
    </row>
    <row r="13" spans="1:7" x14ac:dyDescent="0.2">
      <c r="A13" s="19" t="s">
        <v>61</v>
      </c>
      <c r="B13" s="20">
        <f>SUMIFS(Inflexible!$J$2:$J$34,Inflexible!$B$2:$B$34, "Onshore Wind")</f>
        <v>3145740</v>
      </c>
      <c r="C13" s="20">
        <f>SUMIFS(Temporal!$J$2:$J$34,Temporal!$B$2:$B$34, "Onshore Wind")</f>
        <v>2920392</v>
      </c>
      <c r="D13" s="20">
        <f>SUMIFS(Spatial!$J$2:$J$34,Spatial!$B$2:$B$34, "Onshore Wind")</f>
        <v>3064199</v>
      </c>
      <c r="E13" s="20">
        <f>SUMIFS(Both!$J$2:$J$35,Both!$B$2:$B$35, "Onshore Wind")</f>
        <v>3168929</v>
      </c>
      <c r="F13" s="20">
        <f>SUMIFS(CFE!$J$2:$J$34,CFE!$B$2:$B$34, "Onshore Wind")</f>
        <v>3116530</v>
      </c>
      <c r="G13" s="20">
        <f>SUMIFS(CFE_both!$J$2:$J$35,CFE_both!$B$2:$B$35, "Onshore Wind")</f>
        <v>3078499</v>
      </c>
    </row>
    <row r="14" spans="1:7" x14ac:dyDescent="0.2">
      <c r="A14" s="19" t="s">
        <v>62</v>
      </c>
      <c r="B14" s="20">
        <f>SUMIFS(Inflexible!$J$2:$J$34,Inflexible!$B$2:$B$34, "Solar PV")</f>
        <v>1348080</v>
      </c>
      <c r="C14" s="20">
        <f>SUMIFS(Temporal!$J$2:$J$34,Temporal!$B$2:$B$34, "Solar PV")</f>
        <v>1570499</v>
      </c>
      <c r="D14" s="20">
        <f>SUMIFS(Spatial!$J$2:$J$34,Spatial!$B$2:$B$34, "Solar PV")</f>
        <v>1344158</v>
      </c>
      <c r="E14" s="20">
        <f>SUMIFS(Both!$J$2:$J$35,Both!$B$2:$B$35, "Solar PV")</f>
        <v>1412444</v>
      </c>
      <c r="F14" s="20">
        <f>SUMIFS(CFE!$J$2:$J$34,CFE!$B$2:$B$34, "Solar PV")</f>
        <v>1349598</v>
      </c>
      <c r="G14" s="20">
        <f>SUMIFS(CFE_both!$J$2:$J$35,CFE_both!$B$2:$B$35, "Solar PV")</f>
        <v>1380241</v>
      </c>
    </row>
    <row r="15" spans="1:7" x14ac:dyDescent="0.2">
      <c r="A15" s="19" t="s">
        <v>71</v>
      </c>
      <c r="B15" s="18">
        <f>-Inflexible!$M$26</f>
        <v>14118940</v>
      </c>
      <c r="C15" s="18">
        <f>-Temporal!$M$27</f>
        <v>14097900</v>
      </c>
      <c r="D15" s="18">
        <f>-Spatial!$M$27</f>
        <v>14124690</v>
      </c>
      <c r="E15" s="18">
        <f>-Both!$M$28</f>
        <v>14080300</v>
      </c>
      <c r="F15" s="18">
        <f>-CFE!$M$26</f>
        <v>14118940</v>
      </c>
      <c r="G15" s="20">
        <f>-CFE_both!$M$28</f>
        <v>13965940</v>
      </c>
    </row>
    <row r="16" spans="1:7" x14ac:dyDescent="0.2">
      <c r="A16" s="19" t="s">
        <v>63</v>
      </c>
      <c r="B16" s="18">
        <v>81875276.025471702</v>
      </c>
      <c r="C16" s="18">
        <v>81501280.325065807</v>
      </c>
      <c r="D16" s="18">
        <v>81690989.652186498</v>
      </c>
      <c r="E16" s="18">
        <v>81316953.880585298</v>
      </c>
      <c r="F16" s="18">
        <v>81875276.025472298</v>
      </c>
      <c r="G16" s="18">
        <v>80486835.0225036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2E32-7E17-D640-8808-61170EE7E9D2}">
  <dimension ref="A1:N35"/>
  <sheetViews>
    <sheetView workbookViewId="0">
      <selection activeCell="C23" sqref="C23"/>
    </sheetView>
  </sheetViews>
  <sheetFormatPr baseColWidth="10" defaultColWidth="16" defaultRowHeight="16" x14ac:dyDescent="0.2"/>
  <cols>
    <col min="1" max="1" width="8.5" style="4" customWidth="1"/>
    <col min="2" max="2" width="19.5" style="4" customWidth="1"/>
    <col min="3" max="3" width="21.33203125" style="4" customWidth="1"/>
    <col min="4" max="4" width="22.6640625" style="4" customWidth="1"/>
    <col min="5" max="16384" width="16" style="4"/>
  </cols>
  <sheetData>
    <row r="1" spans="1:14" ht="30" x14ac:dyDescent="0.2">
      <c r="A1" s="5"/>
      <c r="B1" s="5"/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</row>
    <row r="2" spans="1:14" x14ac:dyDescent="0.2">
      <c r="A2" s="23" t="s">
        <v>12</v>
      </c>
      <c r="B2" s="5" t="s">
        <v>13</v>
      </c>
      <c r="C2" s="6">
        <v>372.43929000000003</v>
      </c>
      <c r="D2" s="6">
        <v>372.43929000000003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813779.8</v>
      </c>
      <c r="K2" s="6">
        <v>0</v>
      </c>
      <c r="L2" s="6">
        <v>0</v>
      </c>
      <c r="M2" s="6">
        <v>0</v>
      </c>
      <c r="N2" s="6" t="s">
        <v>21</v>
      </c>
    </row>
    <row r="3" spans="1:14" x14ac:dyDescent="0.2">
      <c r="A3" s="24"/>
      <c r="B3" s="5" t="s">
        <v>14</v>
      </c>
      <c r="C3" s="6">
        <v>1642.8915400000001</v>
      </c>
      <c r="D3" s="6">
        <v>1642.8915400000001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3589718</v>
      </c>
      <c r="K3" s="6">
        <v>0</v>
      </c>
      <c r="L3" s="6">
        <v>0</v>
      </c>
      <c r="M3" s="6">
        <v>0</v>
      </c>
      <c r="N3" s="6" t="s">
        <v>21</v>
      </c>
    </row>
    <row r="4" spans="1:14" x14ac:dyDescent="0.2">
      <c r="A4" s="24"/>
      <c r="B4" s="5" t="s">
        <v>15</v>
      </c>
      <c r="C4" s="6">
        <v>9185.8067100000007</v>
      </c>
      <c r="D4" s="6">
        <v>9185.8067100000007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20070990</v>
      </c>
      <c r="K4" s="6">
        <v>0</v>
      </c>
      <c r="L4" s="6">
        <v>0</v>
      </c>
      <c r="M4" s="6">
        <v>0</v>
      </c>
      <c r="N4" s="6" t="s">
        <v>21</v>
      </c>
    </row>
    <row r="5" spans="1:14" ht="30" x14ac:dyDescent="0.2">
      <c r="A5" s="24"/>
      <c r="B5" s="5" t="s">
        <v>16</v>
      </c>
      <c r="C5" s="6">
        <v>23586</v>
      </c>
      <c r="D5" s="6">
        <v>23586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51535410</v>
      </c>
      <c r="K5" s="6">
        <v>0</v>
      </c>
      <c r="L5" s="6">
        <v>0</v>
      </c>
      <c r="M5" s="6">
        <v>0</v>
      </c>
      <c r="N5" s="6" t="s">
        <v>21</v>
      </c>
    </row>
    <row r="6" spans="1:14" x14ac:dyDescent="0.2">
      <c r="A6" s="24"/>
      <c r="B6" s="5" t="s">
        <v>42</v>
      </c>
      <c r="C6" s="6">
        <v>3534.0360000000001</v>
      </c>
      <c r="D6" s="6">
        <v>3534.0360000000001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7721869</v>
      </c>
      <c r="K6" s="6">
        <v>0</v>
      </c>
      <c r="L6" s="6">
        <v>0</v>
      </c>
      <c r="M6" s="6">
        <v>0</v>
      </c>
      <c r="N6" s="6" t="s">
        <v>21</v>
      </c>
    </row>
    <row r="7" spans="1:14" x14ac:dyDescent="0.2">
      <c r="A7" s="24"/>
      <c r="B7" s="5" t="s">
        <v>17</v>
      </c>
      <c r="C7" s="6">
        <v>13695</v>
      </c>
      <c r="D7" s="6">
        <v>13695</v>
      </c>
      <c r="E7" s="6">
        <v>3571751</v>
      </c>
      <c r="F7" s="6">
        <v>0</v>
      </c>
      <c r="G7" s="6">
        <v>3571751</v>
      </c>
      <c r="H7" s="6">
        <v>0</v>
      </c>
      <c r="I7" s="6">
        <v>0.119362</v>
      </c>
      <c r="J7" s="6">
        <v>26351820</v>
      </c>
      <c r="K7" s="6">
        <v>0</v>
      </c>
      <c r="L7" s="6">
        <v>40697210</v>
      </c>
      <c r="M7" s="6">
        <v>40697210</v>
      </c>
      <c r="N7" s="6">
        <v>11.394189000000001</v>
      </c>
    </row>
    <row r="8" spans="1:14" x14ac:dyDescent="0.2">
      <c r="A8" s="24"/>
      <c r="B8" s="5" t="s">
        <v>43</v>
      </c>
      <c r="C8" s="6">
        <v>4067.2939999999999</v>
      </c>
      <c r="D8" s="6">
        <v>4067.2939999999999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8887037</v>
      </c>
      <c r="K8" s="6">
        <v>0</v>
      </c>
      <c r="L8" s="6">
        <v>0</v>
      </c>
      <c r="M8" s="6">
        <v>0</v>
      </c>
      <c r="N8" s="6" t="s">
        <v>21</v>
      </c>
    </row>
    <row r="9" spans="1:14" x14ac:dyDescent="0.2">
      <c r="A9" s="24"/>
      <c r="B9" s="5" t="s">
        <v>44</v>
      </c>
      <c r="C9" s="6">
        <v>11</v>
      </c>
      <c r="D9" s="6">
        <v>11</v>
      </c>
      <c r="E9" s="6">
        <v>4643.509</v>
      </c>
      <c r="F9" s="6">
        <v>0</v>
      </c>
      <c r="G9" s="6">
        <v>4643.509</v>
      </c>
      <c r="H9" s="6">
        <v>0</v>
      </c>
      <c r="I9" s="6">
        <v>0.19319800000000001</v>
      </c>
      <c r="J9" s="6">
        <v>19391.490000000002</v>
      </c>
      <c r="K9" s="6">
        <v>0</v>
      </c>
      <c r="L9" s="6">
        <v>57858.12</v>
      </c>
      <c r="M9" s="6">
        <v>99256.85</v>
      </c>
      <c r="N9" s="6">
        <v>21.375356</v>
      </c>
    </row>
    <row r="10" spans="1:14" x14ac:dyDescent="0.2">
      <c r="A10" s="24"/>
      <c r="B10" s="5" t="s">
        <v>18</v>
      </c>
      <c r="C10" s="6">
        <v>834.51107000000002</v>
      </c>
      <c r="D10" s="6">
        <v>834.51107000000002</v>
      </c>
      <c r="E10" s="6">
        <v>1327.7829999999999</v>
      </c>
      <c r="F10" s="6">
        <v>0</v>
      </c>
      <c r="G10" s="6">
        <v>1327.7829999999999</v>
      </c>
      <c r="H10" s="6">
        <v>0</v>
      </c>
      <c r="I10" s="6">
        <v>7.2800000000000002E-4</v>
      </c>
      <c r="J10" s="6">
        <v>1822079</v>
      </c>
      <c r="K10" s="6">
        <v>0</v>
      </c>
      <c r="L10" s="6">
        <v>71700.3</v>
      </c>
      <c r="M10" s="6">
        <v>71876.929999999993</v>
      </c>
      <c r="N10" s="6">
        <v>54.133128999999997</v>
      </c>
    </row>
    <row r="11" spans="1:14" x14ac:dyDescent="0.2">
      <c r="A11" s="24"/>
      <c r="B11" s="5" t="s">
        <v>19</v>
      </c>
      <c r="C11" s="6">
        <v>1897.296</v>
      </c>
      <c r="D11" s="6">
        <v>1897.296</v>
      </c>
      <c r="E11" s="6">
        <v>1417072</v>
      </c>
      <c r="F11" s="6">
        <v>0</v>
      </c>
      <c r="G11" s="6">
        <v>1417072</v>
      </c>
      <c r="H11" s="6">
        <v>0</v>
      </c>
      <c r="I11" s="6">
        <v>0.34182600000000002</v>
      </c>
      <c r="J11" s="6">
        <v>241164.7</v>
      </c>
      <c r="K11" s="6">
        <v>0</v>
      </c>
      <c r="L11" s="6">
        <v>0</v>
      </c>
      <c r="M11" s="6">
        <v>9471836</v>
      </c>
      <c r="N11" s="6">
        <v>6.6840890000000002</v>
      </c>
    </row>
    <row r="12" spans="1:14" x14ac:dyDescent="0.2">
      <c r="A12" s="24"/>
      <c r="B12" s="5" t="s">
        <v>20</v>
      </c>
      <c r="C12" s="6">
        <v>48629.190949999997</v>
      </c>
      <c r="D12" s="6">
        <v>48629.190949999997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52178340</v>
      </c>
      <c r="K12" s="6">
        <v>0</v>
      </c>
      <c r="L12" s="6">
        <v>0</v>
      </c>
      <c r="M12" s="6">
        <v>0</v>
      </c>
      <c r="N12" s="6" t="s">
        <v>21</v>
      </c>
    </row>
    <row r="13" spans="1:14" x14ac:dyDescent="0.2">
      <c r="A13" s="24"/>
      <c r="B13" s="5" t="s">
        <v>45</v>
      </c>
      <c r="C13" s="6">
        <v>254.358</v>
      </c>
      <c r="D13" s="6">
        <v>254.358</v>
      </c>
      <c r="E13" s="6">
        <v>238579.7</v>
      </c>
      <c r="F13" s="6">
        <v>0</v>
      </c>
      <c r="G13" s="6">
        <v>238579.7</v>
      </c>
      <c r="H13" s="6">
        <v>0</v>
      </c>
      <c r="I13" s="6">
        <v>0.42927599999999999</v>
      </c>
      <c r="J13" s="6">
        <v>35189.86</v>
      </c>
      <c r="K13" s="6">
        <v>0</v>
      </c>
      <c r="L13" s="6">
        <v>0</v>
      </c>
      <c r="M13" s="6">
        <v>2000389</v>
      </c>
      <c r="N13" s="6">
        <v>8.3845720000000004</v>
      </c>
    </row>
    <row r="14" spans="1:14" x14ac:dyDescent="0.2">
      <c r="A14" s="24"/>
      <c r="B14" s="5" t="s">
        <v>22</v>
      </c>
      <c r="C14" s="6">
        <v>4570</v>
      </c>
      <c r="D14" s="6">
        <v>4570</v>
      </c>
      <c r="E14" s="6">
        <v>4061356</v>
      </c>
      <c r="F14" s="6">
        <v>0</v>
      </c>
      <c r="G14" s="6">
        <v>4061356</v>
      </c>
      <c r="H14" s="6">
        <v>0</v>
      </c>
      <c r="I14" s="6">
        <v>0.40672700000000001</v>
      </c>
      <c r="J14" s="6">
        <v>5924094</v>
      </c>
      <c r="K14" s="6">
        <v>0</v>
      </c>
      <c r="L14" s="6">
        <v>40613560</v>
      </c>
      <c r="M14" s="6">
        <v>68047740</v>
      </c>
      <c r="N14" s="6">
        <v>16.754933000000001</v>
      </c>
    </row>
    <row r="15" spans="1:14" x14ac:dyDescent="0.2">
      <c r="A15" s="24"/>
      <c r="B15" s="5" t="s">
        <v>23</v>
      </c>
      <c r="C15" s="6">
        <v>53544.201999999997</v>
      </c>
      <c r="D15" s="6">
        <v>53544.201999999997</v>
      </c>
      <c r="E15" s="6">
        <v>25472810</v>
      </c>
      <c r="F15" s="6">
        <v>0</v>
      </c>
      <c r="G15" s="6">
        <v>25472810</v>
      </c>
      <c r="H15" s="6">
        <v>0</v>
      </c>
      <c r="I15" s="6">
        <v>0.217727</v>
      </c>
      <c r="J15" s="6">
        <v>6642041</v>
      </c>
      <c r="K15" s="6">
        <v>0</v>
      </c>
      <c r="L15" s="6">
        <v>0</v>
      </c>
      <c r="M15" s="6">
        <v>102405100</v>
      </c>
      <c r="N15" s="6">
        <v>4.0201739999999999</v>
      </c>
    </row>
    <row r="16" spans="1:14" x14ac:dyDescent="0.2">
      <c r="A16" s="24"/>
      <c r="B16" s="5" t="s">
        <v>24</v>
      </c>
      <c r="C16" s="6">
        <v>78.5</v>
      </c>
      <c r="D16" s="6">
        <v>78.5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171522.5</v>
      </c>
      <c r="K16" s="6">
        <v>0</v>
      </c>
      <c r="L16" s="6">
        <v>0</v>
      </c>
      <c r="M16" s="6">
        <v>0</v>
      </c>
      <c r="N16" s="6" t="s">
        <v>21</v>
      </c>
    </row>
    <row r="17" spans="1:14" ht="30" customHeight="1" x14ac:dyDescent="0.2">
      <c r="A17" s="24"/>
      <c r="B17" s="5" t="s">
        <v>25</v>
      </c>
      <c r="C17" s="6">
        <v>27270.741000000002</v>
      </c>
      <c r="D17" s="6">
        <v>27270.741000000002</v>
      </c>
      <c r="E17" s="6">
        <v>11189390</v>
      </c>
      <c r="F17" s="6">
        <v>0</v>
      </c>
      <c r="G17" s="6">
        <v>11189390</v>
      </c>
      <c r="H17" s="6">
        <v>0</v>
      </c>
      <c r="I17" s="6">
        <v>0.18778400000000001</v>
      </c>
      <c r="J17" s="6">
        <v>3145740</v>
      </c>
      <c r="K17" s="6">
        <v>0</v>
      </c>
      <c r="L17" s="6">
        <v>0</v>
      </c>
      <c r="M17" s="6">
        <v>42150350</v>
      </c>
      <c r="N17" s="6">
        <v>3.7669920000000001</v>
      </c>
    </row>
    <row r="18" spans="1:14" x14ac:dyDescent="0.2">
      <c r="A18" s="24"/>
      <c r="B18" s="5" t="s">
        <v>26</v>
      </c>
      <c r="C18" s="6">
        <v>3662.89</v>
      </c>
      <c r="D18" s="6">
        <v>3662.89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8003415</v>
      </c>
      <c r="K18" s="6">
        <v>0</v>
      </c>
      <c r="L18" s="6">
        <v>0</v>
      </c>
      <c r="M18" s="6">
        <v>0</v>
      </c>
      <c r="N18" s="6" t="s">
        <v>21</v>
      </c>
    </row>
    <row r="19" spans="1:14" x14ac:dyDescent="0.2">
      <c r="A19" s="24"/>
      <c r="B19" s="5" t="s">
        <v>27</v>
      </c>
      <c r="C19" s="6">
        <v>55.819389999999999</v>
      </c>
      <c r="D19" s="6">
        <v>55.819389999999999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121965.4</v>
      </c>
      <c r="K19" s="6">
        <v>0</v>
      </c>
      <c r="L19" s="6">
        <v>0</v>
      </c>
      <c r="M19" s="6">
        <v>0</v>
      </c>
      <c r="N19" s="6" t="s">
        <v>21</v>
      </c>
    </row>
    <row r="20" spans="1:14" x14ac:dyDescent="0.2">
      <c r="A20" s="24"/>
      <c r="B20" s="5" t="s">
        <v>28</v>
      </c>
      <c r="C20" s="6">
        <v>40470.421999999999</v>
      </c>
      <c r="D20" s="6">
        <v>40470.421999999999</v>
      </c>
      <c r="E20" s="6">
        <v>13217460</v>
      </c>
      <c r="F20" s="6">
        <v>0</v>
      </c>
      <c r="G20" s="6">
        <v>13217460</v>
      </c>
      <c r="H20" s="6">
        <v>0</v>
      </c>
      <c r="I20" s="6">
        <v>0.14947199999999999</v>
      </c>
      <c r="J20" s="6">
        <v>1348080</v>
      </c>
      <c r="K20" s="6">
        <v>0</v>
      </c>
      <c r="L20" s="6">
        <v>0</v>
      </c>
      <c r="M20" s="6">
        <v>90278670</v>
      </c>
      <c r="N20" s="6">
        <v>6.8302579999999997</v>
      </c>
    </row>
    <row r="21" spans="1:14" x14ac:dyDescent="0.2">
      <c r="A21" s="25"/>
      <c r="B21" s="5" t="s">
        <v>29</v>
      </c>
      <c r="C21" s="6">
        <v>4643.1779999999999</v>
      </c>
      <c r="D21" s="6">
        <v>4643.1779999999999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10145340</v>
      </c>
      <c r="K21" s="6">
        <v>0</v>
      </c>
      <c r="L21" s="6">
        <v>0</v>
      </c>
      <c r="M21" s="6">
        <v>0</v>
      </c>
      <c r="N21" s="6" t="s">
        <v>21</v>
      </c>
    </row>
    <row r="22" spans="1:14" x14ac:dyDescent="0.2">
      <c r="A22" s="5" t="s">
        <v>46</v>
      </c>
      <c r="B22" s="5" t="s">
        <v>31</v>
      </c>
      <c r="C22" s="6">
        <v>230800</v>
      </c>
      <c r="D22" s="6">
        <v>230800</v>
      </c>
      <c r="E22" s="6">
        <v>35023140</v>
      </c>
      <c r="F22" s="6">
        <v>21829910</v>
      </c>
      <c r="G22" s="6">
        <v>13193230</v>
      </c>
      <c r="H22" s="6">
        <v>-13193230</v>
      </c>
      <c r="I22" s="6">
        <v>0.112737</v>
      </c>
      <c r="J22" s="6">
        <v>0</v>
      </c>
      <c r="K22" s="6">
        <v>0</v>
      </c>
      <c r="L22" s="6">
        <v>0</v>
      </c>
      <c r="M22" s="6">
        <v>135731500</v>
      </c>
      <c r="N22" s="6">
        <v>2.38741</v>
      </c>
    </row>
    <row r="23" spans="1:14" x14ac:dyDescent="0.2">
      <c r="A23" s="23" t="s">
        <v>30</v>
      </c>
      <c r="B23" s="5" t="s">
        <v>32</v>
      </c>
      <c r="C23" s="6">
        <v>12450</v>
      </c>
      <c r="D23" s="6">
        <v>12450</v>
      </c>
      <c r="E23" s="6">
        <v>9549085</v>
      </c>
      <c r="F23" s="6">
        <v>5885750</v>
      </c>
      <c r="G23" s="6">
        <v>3663335</v>
      </c>
      <c r="H23" s="6">
        <v>-3663335</v>
      </c>
      <c r="I23" s="6">
        <v>0.56738900000000003</v>
      </c>
      <c r="J23" s="6">
        <v>30866580</v>
      </c>
      <c r="K23" s="6">
        <v>0</v>
      </c>
      <c r="L23" s="6">
        <v>0</v>
      </c>
      <c r="M23" s="6">
        <v>70784100</v>
      </c>
      <c r="N23" s="6">
        <v>4.5859969999999999</v>
      </c>
    </row>
    <row r="24" spans="1:14" x14ac:dyDescent="0.2">
      <c r="A24" s="24"/>
      <c r="B24" s="5" t="s">
        <v>47</v>
      </c>
      <c r="C24" s="6">
        <v>3653.0947500000002</v>
      </c>
      <c r="D24" s="6">
        <v>3653.0947500000002</v>
      </c>
      <c r="E24" s="6">
        <v>0</v>
      </c>
      <c r="F24" s="6">
        <v>134827.9</v>
      </c>
      <c r="G24" s="6">
        <v>-134827.9</v>
      </c>
      <c r="H24" s="6">
        <v>0</v>
      </c>
      <c r="I24" s="6">
        <v>1.6891E-2</v>
      </c>
      <c r="J24" s="6">
        <v>7847184</v>
      </c>
      <c r="K24" s="6">
        <v>0</v>
      </c>
      <c r="L24" s="6">
        <v>0</v>
      </c>
      <c r="M24" s="6">
        <v>0</v>
      </c>
      <c r="N24" s="6" t="s">
        <v>21</v>
      </c>
    </row>
    <row r="25" spans="1:14" x14ac:dyDescent="0.2">
      <c r="A25" s="25"/>
      <c r="B25" s="5" t="s">
        <v>48</v>
      </c>
      <c r="C25" s="6">
        <v>278.38099999999997</v>
      </c>
      <c r="D25" s="6">
        <v>278.38099999999997</v>
      </c>
      <c r="E25" s="6">
        <v>0</v>
      </c>
      <c r="F25" s="6">
        <v>86990.56</v>
      </c>
      <c r="G25" s="6">
        <v>-86990.56</v>
      </c>
      <c r="H25" s="6">
        <v>0</v>
      </c>
      <c r="I25" s="6">
        <v>0.143015</v>
      </c>
      <c r="J25" s="6">
        <v>521271.9</v>
      </c>
      <c r="K25" s="6">
        <v>0</v>
      </c>
      <c r="L25" s="6">
        <v>434952.8</v>
      </c>
      <c r="M25" s="6">
        <v>0</v>
      </c>
      <c r="N25" s="6" t="s">
        <v>21</v>
      </c>
    </row>
    <row r="26" spans="1:14" x14ac:dyDescent="0.2">
      <c r="A26" s="23" t="s">
        <v>34</v>
      </c>
      <c r="B26" s="5" t="s">
        <v>35</v>
      </c>
      <c r="C26" s="6">
        <v>0</v>
      </c>
      <c r="D26" s="6">
        <v>0</v>
      </c>
      <c r="E26" s="6">
        <v>0</v>
      </c>
      <c r="F26" s="6">
        <v>1877543</v>
      </c>
      <c r="G26" s="6">
        <v>-1877543</v>
      </c>
      <c r="H26" s="6">
        <v>0</v>
      </c>
      <c r="I26" s="6" t="s">
        <v>21</v>
      </c>
      <c r="J26" s="6">
        <v>0</v>
      </c>
      <c r="K26" s="6">
        <v>0</v>
      </c>
      <c r="L26" s="6">
        <v>0</v>
      </c>
      <c r="M26" s="6">
        <v>-14118940</v>
      </c>
      <c r="N26" s="6">
        <v>-7.5199040000000004</v>
      </c>
    </row>
    <row r="27" spans="1:14" x14ac:dyDescent="0.2">
      <c r="A27" s="25"/>
      <c r="B27" s="5" t="s">
        <v>36</v>
      </c>
      <c r="C27" s="6">
        <v>0</v>
      </c>
      <c r="D27" s="6">
        <v>0</v>
      </c>
      <c r="E27" s="6">
        <v>0</v>
      </c>
      <c r="F27" s="6">
        <v>52178340</v>
      </c>
      <c r="G27" s="6">
        <v>-52178340</v>
      </c>
      <c r="H27" s="6">
        <v>0</v>
      </c>
      <c r="I27" s="6" t="s">
        <v>21</v>
      </c>
      <c r="J27" s="6">
        <v>0</v>
      </c>
      <c r="K27" s="6">
        <v>0</v>
      </c>
      <c r="L27" s="6">
        <v>0</v>
      </c>
      <c r="M27" s="6">
        <v>-411891500</v>
      </c>
      <c r="N27" s="6">
        <v>-7.8939170000000001</v>
      </c>
    </row>
    <row r="28" spans="1:14" ht="16" customHeight="1" x14ac:dyDescent="0.2">
      <c r="A28" s="23" t="s">
        <v>37</v>
      </c>
      <c r="B28" s="5" t="s">
        <v>38</v>
      </c>
      <c r="C28" s="6">
        <v>26471.973000000002</v>
      </c>
      <c r="D28" s="6">
        <v>26471.973000000002</v>
      </c>
      <c r="E28" s="6">
        <v>2729198</v>
      </c>
      <c r="F28" s="6">
        <v>6114821</v>
      </c>
      <c r="G28" s="6">
        <v>-3385623</v>
      </c>
      <c r="H28" s="6">
        <v>0</v>
      </c>
      <c r="I28" s="6">
        <v>0.15290200000000001</v>
      </c>
      <c r="J28" s="6">
        <v>61226880</v>
      </c>
      <c r="K28" s="6">
        <v>0</v>
      </c>
      <c r="L28" s="6">
        <v>0</v>
      </c>
      <c r="M28" s="6">
        <v>16741690</v>
      </c>
      <c r="N28" s="6">
        <v>1.8929959999999999</v>
      </c>
    </row>
    <row r="29" spans="1:14" x14ac:dyDescent="0.2">
      <c r="A29" s="24"/>
      <c r="B29" s="5" t="s">
        <v>49</v>
      </c>
      <c r="C29" s="6">
        <v>857.70799999999997</v>
      </c>
      <c r="D29" s="6">
        <v>857.70799999999997</v>
      </c>
      <c r="E29" s="6">
        <v>142784.79999999999</v>
      </c>
      <c r="F29" s="6">
        <v>270758.7</v>
      </c>
      <c r="G29" s="6">
        <v>-127974</v>
      </c>
      <c r="H29" s="6">
        <v>0</v>
      </c>
      <c r="I29" s="6">
        <v>0.220663</v>
      </c>
      <c r="J29" s="6">
        <v>2002066</v>
      </c>
      <c r="K29" s="6">
        <v>0</v>
      </c>
      <c r="L29" s="6">
        <v>0</v>
      </c>
      <c r="M29" s="6">
        <v>548921.5</v>
      </c>
      <c r="N29" s="6">
        <v>1.327361</v>
      </c>
    </row>
    <row r="30" spans="1:14" x14ac:dyDescent="0.2">
      <c r="A30" s="24"/>
      <c r="B30" s="5" t="s">
        <v>50</v>
      </c>
      <c r="C30" s="6">
        <v>457.99400000000003</v>
      </c>
      <c r="D30" s="6">
        <v>457.99400000000003</v>
      </c>
      <c r="E30" s="6">
        <v>31042.26</v>
      </c>
      <c r="F30" s="6">
        <v>250613</v>
      </c>
      <c r="G30" s="6">
        <v>-219570.7</v>
      </c>
      <c r="H30" s="6">
        <v>0</v>
      </c>
      <c r="I30" s="6">
        <v>0.28145300000000001</v>
      </c>
      <c r="J30" s="6">
        <v>1220288</v>
      </c>
      <c r="K30" s="6">
        <v>0</v>
      </c>
      <c r="L30" s="6">
        <v>0</v>
      </c>
      <c r="M30" s="6">
        <v>549749.4</v>
      </c>
      <c r="N30" s="6">
        <v>1.9518519999999999</v>
      </c>
    </row>
    <row r="31" spans="1:14" ht="30" x14ac:dyDescent="0.2">
      <c r="A31" s="25"/>
      <c r="B31" s="5" t="s">
        <v>39</v>
      </c>
      <c r="C31" s="6">
        <v>5300</v>
      </c>
      <c r="D31" s="6">
        <v>5300</v>
      </c>
      <c r="E31" s="6">
        <v>846578.6</v>
      </c>
      <c r="F31" s="6">
        <v>2232174</v>
      </c>
      <c r="G31" s="6">
        <v>-1385595</v>
      </c>
      <c r="H31" s="6">
        <v>0</v>
      </c>
      <c r="I31" s="6">
        <v>0.26585700000000001</v>
      </c>
      <c r="J31" s="6">
        <v>12966100</v>
      </c>
      <c r="K31" s="6">
        <v>0</v>
      </c>
      <c r="L31" s="6">
        <v>0</v>
      </c>
      <c r="M31" s="6">
        <v>10545950</v>
      </c>
      <c r="N31" s="6">
        <v>3.4253960000000001</v>
      </c>
    </row>
    <row r="32" spans="1:14" x14ac:dyDescent="0.2">
      <c r="A32" s="5" t="s">
        <v>41</v>
      </c>
      <c r="B32" s="5" t="s">
        <v>51</v>
      </c>
      <c r="C32" s="6">
        <v>46768.008000000002</v>
      </c>
      <c r="D32" s="6">
        <v>46768.008000000002</v>
      </c>
      <c r="E32" s="6">
        <v>86120.38</v>
      </c>
      <c r="F32" s="6">
        <v>93509.37</v>
      </c>
      <c r="G32" s="6">
        <v>-7388.9840000000004</v>
      </c>
      <c r="H32" s="6">
        <v>0</v>
      </c>
      <c r="I32" s="6">
        <v>0.72307699999999997</v>
      </c>
      <c r="J32" s="6">
        <v>0</v>
      </c>
      <c r="K32" s="6">
        <v>0</v>
      </c>
      <c r="L32" s="6">
        <v>0</v>
      </c>
      <c r="M32" s="6">
        <v>0</v>
      </c>
      <c r="N32" s="6" t="s">
        <v>21</v>
      </c>
    </row>
    <row r="33" spans="9:11" x14ac:dyDescent="0.2">
      <c r="I33" s="7"/>
      <c r="J33" s="8"/>
      <c r="K33" s="9"/>
    </row>
    <row r="34" spans="9:11" x14ac:dyDescent="0.2">
      <c r="I34" s="10"/>
    </row>
    <row r="35" spans="9:11" x14ac:dyDescent="0.2">
      <c r="I35" s="10"/>
    </row>
  </sheetData>
  <autoFilter ref="A1:N35" xr:uid="{F4972E32-7E17-D640-8808-61170EE7E9D2}"/>
  <mergeCells count="4">
    <mergeCell ref="A2:A21"/>
    <mergeCell ref="A23:A25"/>
    <mergeCell ref="A26:A27"/>
    <mergeCell ref="A28:A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F803-EC4E-F842-B68E-528EC71F1DE9}">
  <dimension ref="A1:N42"/>
  <sheetViews>
    <sheetView topLeftCell="A16" workbookViewId="0">
      <selection activeCell="A35" sqref="A35:N43"/>
    </sheetView>
  </sheetViews>
  <sheetFormatPr baseColWidth="10" defaultRowHeight="16" x14ac:dyDescent="0.2"/>
  <cols>
    <col min="2" max="2" width="16.1640625" customWidth="1"/>
    <col min="3" max="3" width="19.1640625" customWidth="1"/>
    <col min="4" max="4" width="14.6640625" customWidth="1"/>
    <col min="5" max="5" width="13.5" customWidth="1"/>
    <col min="6" max="6" width="14.83203125" customWidth="1"/>
    <col min="7" max="7" width="14.6640625" customWidth="1"/>
    <col min="8" max="8" width="18.6640625" customWidth="1"/>
    <col min="9" max="9" width="20.33203125" customWidth="1"/>
    <col min="10" max="10" width="18.1640625" customWidth="1"/>
    <col min="11" max="11" width="17.5" customWidth="1"/>
    <col min="12" max="12" width="24.5" customWidth="1"/>
    <col min="13" max="13" width="17.5" customWidth="1"/>
    <col min="14" max="14" width="18.1640625" customWidth="1"/>
  </cols>
  <sheetData>
    <row r="1" spans="1:14" x14ac:dyDescent="0.2">
      <c r="A1" s="5"/>
      <c r="B1" s="5"/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</row>
    <row r="2" spans="1:14" x14ac:dyDescent="0.2">
      <c r="A2" s="23" t="s">
        <v>12</v>
      </c>
      <c r="B2" s="5" t="s">
        <v>13</v>
      </c>
      <c r="C2" s="6">
        <v>372.4393</v>
      </c>
      <c r="D2" s="6">
        <v>372.4393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813779.8</v>
      </c>
      <c r="K2" s="6">
        <v>0</v>
      </c>
      <c r="L2" s="6">
        <v>0</v>
      </c>
      <c r="M2" s="6">
        <v>0</v>
      </c>
      <c r="N2" s="6" t="s">
        <v>21</v>
      </c>
    </row>
    <row r="3" spans="1:14" x14ac:dyDescent="0.2">
      <c r="A3" s="24"/>
      <c r="B3" s="5" t="s">
        <v>14</v>
      </c>
      <c r="C3" s="6">
        <v>1642.8920000000001</v>
      </c>
      <c r="D3" s="6">
        <v>1642.8920000000001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3589718</v>
      </c>
      <c r="K3" s="6">
        <v>0</v>
      </c>
      <c r="L3" s="6">
        <v>0</v>
      </c>
      <c r="M3" s="6">
        <v>0</v>
      </c>
      <c r="N3" s="6" t="s">
        <v>21</v>
      </c>
    </row>
    <row r="4" spans="1:14" x14ac:dyDescent="0.2">
      <c r="A4" s="24"/>
      <c r="B4" s="5" t="s">
        <v>15</v>
      </c>
      <c r="C4" s="6">
        <v>9185.8070000000007</v>
      </c>
      <c r="D4" s="6">
        <v>9185.8070000000007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20070990</v>
      </c>
      <c r="K4" s="6">
        <v>0</v>
      </c>
      <c r="L4" s="6">
        <v>0</v>
      </c>
      <c r="M4" s="6">
        <v>0</v>
      </c>
      <c r="N4" s="6" t="s">
        <v>21</v>
      </c>
    </row>
    <row r="5" spans="1:14" ht="30" x14ac:dyDescent="0.2">
      <c r="A5" s="24"/>
      <c r="B5" s="5" t="s">
        <v>16</v>
      </c>
      <c r="C5" s="6">
        <v>23586</v>
      </c>
      <c r="D5" s="6">
        <v>23586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51535410</v>
      </c>
      <c r="K5" s="6">
        <v>0</v>
      </c>
      <c r="L5" s="6">
        <v>0</v>
      </c>
      <c r="M5" s="6">
        <v>0</v>
      </c>
      <c r="N5" s="6" t="s">
        <v>21</v>
      </c>
    </row>
    <row r="6" spans="1:14" ht="30" x14ac:dyDescent="0.2">
      <c r="A6" s="24"/>
      <c r="B6" s="5" t="s">
        <v>42</v>
      </c>
      <c r="C6" s="6">
        <v>3534.0360000000001</v>
      </c>
      <c r="D6" s="6">
        <v>3534.0360000000001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7721869</v>
      </c>
      <c r="K6" s="6">
        <v>0</v>
      </c>
      <c r="L6" s="6">
        <v>0</v>
      </c>
      <c r="M6" s="6">
        <v>0</v>
      </c>
      <c r="N6" s="6" t="s">
        <v>21</v>
      </c>
    </row>
    <row r="7" spans="1:14" x14ac:dyDescent="0.2">
      <c r="A7" s="24"/>
      <c r="B7" s="5" t="s">
        <v>17</v>
      </c>
      <c r="C7" s="6">
        <v>13695</v>
      </c>
      <c r="D7" s="6">
        <v>13695</v>
      </c>
      <c r="E7" s="6">
        <v>3544252</v>
      </c>
      <c r="F7" s="6">
        <v>0</v>
      </c>
      <c r="G7" s="6">
        <v>3544252</v>
      </c>
      <c r="H7" s="6">
        <v>0</v>
      </c>
      <c r="I7" s="6">
        <v>0.11844300000000001</v>
      </c>
      <c r="J7" s="6">
        <v>26379320</v>
      </c>
      <c r="K7" s="6">
        <v>0</v>
      </c>
      <c r="L7" s="6">
        <v>40348850</v>
      </c>
      <c r="M7" s="6">
        <v>40348850</v>
      </c>
      <c r="N7" s="6">
        <v>11.384308000000001</v>
      </c>
    </row>
    <row r="8" spans="1:14" x14ac:dyDescent="0.2">
      <c r="A8" s="24"/>
      <c r="B8" s="5" t="s">
        <v>43</v>
      </c>
      <c r="C8" s="6">
        <v>4067.2939999999999</v>
      </c>
      <c r="D8" s="6">
        <v>4067.2939999999999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8887037</v>
      </c>
      <c r="K8" s="6">
        <v>0</v>
      </c>
      <c r="L8" s="6">
        <v>0</v>
      </c>
      <c r="M8" s="6">
        <v>0</v>
      </c>
      <c r="N8" s="6" t="s">
        <v>21</v>
      </c>
    </row>
    <row r="9" spans="1:14" x14ac:dyDescent="0.2">
      <c r="A9" s="24"/>
      <c r="B9" s="5" t="s">
        <v>44</v>
      </c>
      <c r="C9" s="6">
        <v>11</v>
      </c>
      <c r="D9" s="6">
        <v>11</v>
      </c>
      <c r="E9" s="6">
        <v>4559.6049999999996</v>
      </c>
      <c r="F9" s="6">
        <v>0</v>
      </c>
      <c r="G9" s="6">
        <v>4559.6049999999996</v>
      </c>
      <c r="H9" s="6">
        <v>0</v>
      </c>
      <c r="I9" s="6">
        <v>0.18970699999999999</v>
      </c>
      <c r="J9" s="6">
        <v>19475.39</v>
      </c>
      <c r="K9" s="6">
        <v>0</v>
      </c>
      <c r="L9" s="6">
        <v>56812.68</v>
      </c>
      <c r="M9" s="6">
        <v>97821.15</v>
      </c>
      <c r="N9" s="6">
        <v>21.453818999999999</v>
      </c>
    </row>
    <row r="10" spans="1:14" x14ac:dyDescent="0.2">
      <c r="A10" s="24"/>
      <c r="B10" s="5" t="s">
        <v>18</v>
      </c>
      <c r="C10" s="6">
        <v>834.51110000000006</v>
      </c>
      <c r="D10" s="6">
        <v>834.51110000000006</v>
      </c>
      <c r="E10" s="6">
        <v>985.98009999999999</v>
      </c>
      <c r="F10" s="6">
        <v>0</v>
      </c>
      <c r="G10" s="6">
        <v>985.98009999999999</v>
      </c>
      <c r="H10" s="6">
        <v>0</v>
      </c>
      <c r="I10" s="6">
        <v>5.4100000000000003E-4</v>
      </c>
      <c r="J10" s="6">
        <v>1822421</v>
      </c>
      <c r="K10" s="6">
        <v>0</v>
      </c>
      <c r="L10" s="6">
        <v>53242.93</v>
      </c>
      <c r="M10" s="6">
        <v>53415.83</v>
      </c>
      <c r="N10" s="6">
        <v>54.175313000000003</v>
      </c>
    </row>
    <row r="11" spans="1:14" x14ac:dyDescent="0.2">
      <c r="A11" s="24"/>
      <c r="B11" s="5" t="s">
        <v>19</v>
      </c>
      <c r="C11" s="6">
        <v>1897.296</v>
      </c>
      <c r="D11" s="6">
        <v>1897.296</v>
      </c>
      <c r="E11" s="6">
        <v>1416387</v>
      </c>
      <c r="F11" s="6">
        <v>0</v>
      </c>
      <c r="G11" s="6">
        <v>1416387</v>
      </c>
      <c r="H11" s="6">
        <v>0</v>
      </c>
      <c r="I11" s="6">
        <v>0.34166099999999999</v>
      </c>
      <c r="J11" s="6">
        <v>241849.9</v>
      </c>
      <c r="K11" s="6">
        <v>0</v>
      </c>
      <c r="L11" s="6">
        <v>0</v>
      </c>
      <c r="M11" s="6">
        <v>9439016</v>
      </c>
      <c r="N11" s="6">
        <v>6.6641510000000004</v>
      </c>
    </row>
    <row r="12" spans="1:14" x14ac:dyDescent="0.2">
      <c r="A12" s="24"/>
      <c r="B12" s="5" t="s">
        <v>20</v>
      </c>
      <c r="C12" s="6">
        <v>48629.19</v>
      </c>
      <c r="D12" s="6">
        <v>48629.19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52178340</v>
      </c>
      <c r="K12" s="6">
        <v>0</v>
      </c>
      <c r="L12" s="6">
        <v>0</v>
      </c>
      <c r="M12" s="6">
        <v>0</v>
      </c>
      <c r="N12" s="6" t="s">
        <v>21</v>
      </c>
    </row>
    <row r="13" spans="1:14" x14ac:dyDescent="0.2">
      <c r="A13" s="24"/>
      <c r="B13" s="5" t="s">
        <v>45</v>
      </c>
      <c r="C13" s="6">
        <v>254.358</v>
      </c>
      <c r="D13" s="6">
        <v>254.358</v>
      </c>
      <c r="E13" s="6">
        <v>237103</v>
      </c>
      <c r="F13" s="6">
        <v>0</v>
      </c>
      <c r="G13" s="6">
        <v>237103</v>
      </c>
      <c r="H13" s="6">
        <v>0</v>
      </c>
      <c r="I13" s="6">
        <v>0.42661900000000003</v>
      </c>
      <c r="J13" s="6">
        <v>36666.589999999997</v>
      </c>
      <c r="K13" s="6">
        <v>0</v>
      </c>
      <c r="L13" s="6">
        <v>0</v>
      </c>
      <c r="M13" s="6">
        <v>1996544</v>
      </c>
      <c r="N13" s="6">
        <v>8.4205780000000008</v>
      </c>
    </row>
    <row r="14" spans="1:14" x14ac:dyDescent="0.2">
      <c r="A14" s="24"/>
      <c r="B14" s="5" t="s">
        <v>22</v>
      </c>
      <c r="C14" s="6">
        <v>4570</v>
      </c>
      <c r="D14" s="6">
        <v>4570</v>
      </c>
      <c r="E14" s="6">
        <v>4060086</v>
      </c>
      <c r="F14" s="6">
        <v>0</v>
      </c>
      <c r="G14" s="6">
        <v>4060086</v>
      </c>
      <c r="H14" s="6">
        <v>0</v>
      </c>
      <c r="I14" s="6">
        <v>0.40660000000000002</v>
      </c>
      <c r="J14" s="6">
        <v>5925364</v>
      </c>
      <c r="K14" s="6">
        <v>0</v>
      </c>
      <c r="L14" s="6">
        <v>40600860</v>
      </c>
      <c r="M14" s="6">
        <v>67848500</v>
      </c>
      <c r="N14" s="6">
        <v>16.711099999999998</v>
      </c>
    </row>
    <row r="15" spans="1:14" x14ac:dyDescent="0.2">
      <c r="A15" s="24"/>
      <c r="B15" s="5" t="s">
        <v>23</v>
      </c>
      <c r="C15" s="6">
        <v>53544.2</v>
      </c>
      <c r="D15" s="6">
        <v>53544.2</v>
      </c>
      <c r="E15" s="6">
        <v>25499370</v>
      </c>
      <c r="F15" s="6">
        <v>0</v>
      </c>
      <c r="G15" s="6">
        <v>25499370</v>
      </c>
      <c r="H15" s="6">
        <v>0</v>
      </c>
      <c r="I15" s="6">
        <v>0.21795400000000001</v>
      </c>
      <c r="J15" s="6">
        <v>6615477</v>
      </c>
      <c r="K15" s="6">
        <v>0</v>
      </c>
      <c r="L15" s="6">
        <v>0</v>
      </c>
      <c r="M15" s="6">
        <v>102437800</v>
      </c>
      <c r="N15" s="6">
        <v>4.0172679999999996</v>
      </c>
    </row>
    <row r="16" spans="1:14" x14ac:dyDescent="0.2">
      <c r="A16" s="24"/>
      <c r="B16" s="5" t="s">
        <v>24</v>
      </c>
      <c r="C16" s="6">
        <v>78.5</v>
      </c>
      <c r="D16" s="6">
        <v>78.5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171522.5</v>
      </c>
      <c r="K16" s="6">
        <v>0</v>
      </c>
      <c r="L16" s="6">
        <v>0</v>
      </c>
      <c r="M16" s="6">
        <v>0</v>
      </c>
      <c r="N16" s="6" t="s">
        <v>21</v>
      </c>
    </row>
    <row r="17" spans="1:14" x14ac:dyDescent="0.2">
      <c r="A17" s="24"/>
      <c r="B17" s="5" t="s">
        <v>25</v>
      </c>
      <c r="C17" s="6">
        <v>27270.74</v>
      </c>
      <c r="D17" s="6">
        <v>27270.74</v>
      </c>
      <c r="E17" s="6">
        <v>11414740</v>
      </c>
      <c r="F17" s="6">
        <v>0</v>
      </c>
      <c r="G17" s="6">
        <v>11414740</v>
      </c>
      <c r="H17" s="6">
        <v>0</v>
      </c>
      <c r="I17" s="6">
        <v>0.19156599999999999</v>
      </c>
      <c r="J17" s="6">
        <v>2920392</v>
      </c>
      <c r="K17" s="6">
        <v>0</v>
      </c>
      <c r="L17" s="6">
        <v>0</v>
      </c>
      <c r="M17" s="6">
        <v>42126150</v>
      </c>
      <c r="N17" s="6">
        <v>3.6905039999999998</v>
      </c>
    </row>
    <row r="18" spans="1:14" ht="30" x14ac:dyDescent="0.2">
      <c r="A18" s="24"/>
      <c r="B18" s="5" t="s">
        <v>26</v>
      </c>
      <c r="C18" s="6">
        <v>3662.89</v>
      </c>
      <c r="D18" s="6">
        <v>3662.89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8003415</v>
      </c>
      <c r="K18" s="6">
        <v>0</v>
      </c>
      <c r="L18" s="6">
        <v>0</v>
      </c>
      <c r="M18" s="6">
        <v>0</v>
      </c>
      <c r="N18" s="6" t="s">
        <v>21</v>
      </c>
    </row>
    <row r="19" spans="1:14" x14ac:dyDescent="0.2">
      <c r="A19" s="24"/>
      <c r="B19" s="5" t="s">
        <v>27</v>
      </c>
      <c r="C19" s="6">
        <v>55.819389999999999</v>
      </c>
      <c r="D19" s="6">
        <v>55.819389999999999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121965.4</v>
      </c>
      <c r="K19" s="6">
        <v>0</v>
      </c>
      <c r="L19" s="6">
        <v>0</v>
      </c>
      <c r="M19" s="6">
        <v>0</v>
      </c>
      <c r="N19" s="6" t="s">
        <v>21</v>
      </c>
    </row>
    <row r="20" spans="1:14" x14ac:dyDescent="0.2">
      <c r="A20" s="24"/>
      <c r="B20" s="5" t="s">
        <v>28</v>
      </c>
      <c r="C20" s="6">
        <v>40470.42</v>
      </c>
      <c r="D20" s="6">
        <v>40470.42</v>
      </c>
      <c r="E20" s="6">
        <v>12995040</v>
      </c>
      <c r="F20" s="6">
        <v>0</v>
      </c>
      <c r="G20" s="6">
        <v>12995040</v>
      </c>
      <c r="H20" s="6">
        <v>0</v>
      </c>
      <c r="I20" s="6">
        <v>0.146956</v>
      </c>
      <c r="J20" s="6">
        <v>1570499</v>
      </c>
      <c r="K20" s="6">
        <v>0</v>
      </c>
      <c r="L20" s="6">
        <v>0</v>
      </c>
      <c r="M20" s="6">
        <v>90210550</v>
      </c>
      <c r="N20" s="6">
        <v>6.9419209999999998</v>
      </c>
    </row>
    <row r="21" spans="1:14" x14ac:dyDescent="0.2">
      <c r="A21" s="25"/>
      <c r="B21" s="5" t="s">
        <v>29</v>
      </c>
      <c r="C21" s="6">
        <v>4643.1779999999999</v>
      </c>
      <c r="D21" s="6">
        <v>4643.1779999999999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10145340</v>
      </c>
      <c r="K21" s="6">
        <v>0</v>
      </c>
      <c r="L21" s="6">
        <v>0</v>
      </c>
      <c r="M21" s="6">
        <v>0</v>
      </c>
      <c r="N21" s="6" t="s">
        <v>21</v>
      </c>
    </row>
    <row r="22" spans="1:14" x14ac:dyDescent="0.2">
      <c r="A22" s="5" t="s">
        <v>46</v>
      </c>
      <c r="B22" s="5" t="s">
        <v>31</v>
      </c>
      <c r="C22" s="6">
        <v>230800</v>
      </c>
      <c r="D22" s="6">
        <v>230800</v>
      </c>
      <c r="E22" s="6">
        <v>35364110</v>
      </c>
      <c r="F22" s="6">
        <v>21540860</v>
      </c>
      <c r="G22" s="6">
        <v>13823250</v>
      </c>
      <c r="H22" s="6">
        <v>-13823250</v>
      </c>
      <c r="I22" s="6">
        <v>0.11284</v>
      </c>
      <c r="J22" s="6">
        <v>0</v>
      </c>
      <c r="K22" s="6">
        <v>0</v>
      </c>
      <c r="L22" s="6">
        <v>0</v>
      </c>
      <c r="M22" s="6">
        <v>133319500</v>
      </c>
      <c r="N22" s="6">
        <v>2.3428450000000001</v>
      </c>
    </row>
    <row r="23" spans="1:14" x14ac:dyDescent="0.2">
      <c r="A23" s="23" t="s">
        <v>30</v>
      </c>
      <c r="B23" s="5" t="s">
        <v>32</v>
      </c>
      <c r="C23" s="6">
        <v>12450</v>
      </c>
      <c r="D23" s="6">
        <v>12450</v>
      </c>
      <c r="E23" s="6">
        <v>9582992</v>
      </c>
      <c r="F23" s="6">
        <v>5947862</v>
      </c>
      <c r="G23" s="6">
        <v>3635130</v>
      </c>
      <c r="H23" s="6">
        <v>-3635130</v>
      </c>
      <c r="I23" s="6">
        <v>0.57091899999999995</v>
      </c>
      <c r="J23" s="6">
        <v>30838380</v>
      </c>
      <c r="K23" s="6">
        <v>0</v>
      </c>
      <c r="L23" s="6">
        <v>0</v>
      </c>
      <c r="M23" s="6">
        <v>70335700</v>
      </c>
      <c r="N23" s="6">
        <v>4.528772</v>
      </c>
    </row>
    <row r="24" spans="1:14" x14ac:dyDescent="0.2">
      <c r="A24" s="24"/>
      <c r="B24" s="5" t="s">
        <v>40</v>
      </c>
      <c r="C24" s="6">
        <v>26000000</v>
      </c>
      <c r="D24" s="6">
        <v>26000000</v>
      </c>
      <c r="E24" s="6">
        <v>0</v>
      </c>
      <c r="F24" s="6">
        <v>109235.3</v>
      </c>
      <c r="G24" s="6">
        <v>-109235.3</v>
      </c>
      <c r="H24" s="6">
        <v>0</v>
      </c>
      <c r="I24" s="6">
        <v>1.9999999999999999E-6</v>
      </c>
      <c r="J24" s="6">
        <v>56809890000</v>
      </c>
      <c r="K24" s="6">
        <v>0</v>
      </c>
      <c r="L24" s="6">
        <v>1.0923499999999999</v>
      </c>
      <c r="M24" s="6">
        <v>-882868.5</v>
      </c>
      <c r="N24" s="6">
        <v>-8.0822660000000006</v>
      </c>
    </row>
    <row r="25" spans="1:14" x14ac:dyDescent="0.2">
      <c r="A25" s="24"/>
      <c r="B25" s="5" t="s">
        <v>47</v>
      </c>
      <c r="C25" s="6">
        <v>3653.0949999999998</v>
      </c>
      <c r="D25" s="6">
        <v>3653.0949999999998</v>
      </c>
      <c r="E25" s="6">
        <v>0</v>
      </c>
      <c r="F25" s="6">
        <v>131416.1</v>
      </c>
      <c r="G25" s="6">
        <v>-131416.1</v>
      </c>
      <c r="H25" s="6">
        <v>0</v>
      </c>
      <c r="I25" s="6">
        <v>1.6463999999999999E-2</v>
      </c>
      <c r="J25" s="6">
        <v>7850596</v>
      </c>
      <c r="K25" s="6">
        <v>0</v>
      </c>
      <c r="L25" s="6">
        <v>0</v>
      </c>
      <c r="M25" s="6">
        <v>0</v>
      </c>
      <c r="N25" s="6" t="s">
        <v>21</v>
      </c>
    </row>
    <row r="26" spans="1:14" x14ac:dyDescent="0.2">
      <c r="A26" s="25"/>
      <c r="B26" s="5" t="s">
        <v>48</v>
      </c>
      <c r="C26" s="6">
        <v>278.38099999999997</v>
      </c>
      <c r="D26" s="6">
        <v>278.38099999999997</v>
      </c>
      <c r="E26" s="6">
        <v>0</v>
      </c>
      <c r="F26" s="6">
        <v>88302.75</v>
      </c>
      <c r="G26" s="6">
        <v>-88302.75</v>
      </c>
      <c r="H26" s="6">
        <v>0</v>
      </c>
      <c r="I26" s="6">
        <v>0.145172</v>
      </c>
      <c r="J26" s="6">
        <v>519959.7</v>
      </c>
      <c r="K26" s="6">
        <v>0</v>
      </c>
      <c r="L26" s="6">
        <v>441513.7</v>
      </c>
      <c r="M26" s="6">
        <v>0</v>
      </c>
      <c r="N26" s="6" t="s">
        <v>21</v>
      </c>
    </row>
    <row r="27" spans="1:14" x14ac:dyDescent="0.2">
      <c r="A27" s="23" t="s">
        <v>34</v>
      </c>
      <c r="B27" s="5" t="s">
        <v>35</v>
      </c>
      <c r="C27" s="6">
        <v>0</v>
      </c>
      <c r="D27" s="6">
        <v>0</v>
      </c>
      <c r="E27" s="6">
        <v>0</v>
      </c>
      <c r="F27" s="6">
        <v>1877543</v>
      </c>
      <c r="G27" s="6">
        <v>-1877543</v>
      </c>
      <c r="H27" s="6">
        <v>0</v>
      </c>
      <c r="I27" s="6" t="s">
        <v>21</v>
      </c>
      <c r="J27" s="6">
        <v>0</v>
      </c>
      <c r="K27" s="6">
        <v>0</v>
      </c>
      <c r="L27" s="6">
        <v>0</v>
      </c>
      <c r="M27" s="6">
        <v>-14097900</v>
      </c>
      <c r="N27" s="6">
        <v>-7.5086969999999997</v>
      </c>
    </row>
    <row r="28" spans="1:14" x14ac:dyDescent="0.2">
      <c r="A28" s="25"/>
      <c r="B28" s="5" t="s">
        <v>36</v>
      </c>
      <c r="C28" s="6">
        <v>0</v>
      </c>
      <c r="D28" s="6">
        <v>0</v>
      </c>
      <c r="E28" s="6">
        <v>0</v>
      </c>
      <c r="F28" s="6">
        <v>52178340</v>
      </c>
      <c r="G28" s="6">
        <v>-52178340</v>
      </c>
      <c r="H28" s="6">
        <v>0</v>
      </c>
      <c r="I28" s="6" t="s">
        <v>21</v>
      </c>
      <c r="J28" s="6">
        <v>0</v>
      </c>
      <c r="K28" s="6">
        <v>0</v>
      </c>
      <c r="L28" s="6">
        <v>0</v>
      </c>
      <c r="M28" s="6">
        <v>-411303000</v>
      </c>
      <c r="N28" s="6">
        <v>-7.8826400000000003</v>
      </c>
    </row>
    <row r="29" spans="1:14" x14ac:dyDescent="0.2">
      <c r="A29" s="23" t="s">
        <v>37</v>
      </c>
      <c r="B29" s="5" t="s">
        <v>38</v>
      </c>
      <c r="C29" s="6">
        <v>26471.97</v>
      </c>
      <c r="D29" s="6">
        <v>26471.97</v>
      </c>
      <c r="E29" s="6">
        <v>2741421</v>
      </c>
      <c r="F29" s="6">
        <v>6133689</v>
      </c>
      <c r="G29" s="6">
        <v>-3392268</v>
      </c>
      <c r="H29" s="6">
        <v>0</v>
      </c>
      <c r="I29" s="6">
        <v>0.15343899999999999</v>
      </c>
      <c r="J29" s="6">
        <v>61233530</v>
      </c>
      <c r="K29" s="6">
        <v>0</v>
      </c>
      <c r="L29" s="6">
        <v>0</v>
      </c>
      <c r="M29" s="6">
        <v>16580990</v>
      </c>
      <c r="N29" s="6">
        <v>1.8682570000000001</v>
      </c>
    </row>
    <row r="30" spans="1:14" ht="30" x14ac:dyDescent="0.2">
      <c r="A30" s="24"/>
      <c r="B30" s="5" t="s">
        <v>49</v>
      </c>
      <c r="C30" s="6">
        <v>857.70799999999997</v>
      </c>
      <c r="D30" s="6">
        <v>857.70799999999997</v>
      </c>
      <c r="E30" s="6">
        <v>143178.5</v>
      </c>
      <c r="F30" s="6">
        <v>273329.3</v>
      </c>
      <c r="G30" s="6">
        <v>-130150.8</v>
      </c>
      <c r="H30" s="6">
        <v>0</v>
      </c>
      <c r="I30" s="6">
        <v>0.222245</v>
      </c>
      <c r="J30" s="6">
        <v>2004243</v>
      </c>
      <c r="K30" s="6">
        <v>0</v>
      </c>
      <c r="L30" s="6">
        <v>0</v>
      </c>
      <c r="M30" s="6">
        <v>543694.1</v>
      </c>
      <c r="N30" s="6">
        <v>1.305364</v>
      </c>
    </row>
    <row r="31" spans="1:14" ht="30" x14ac:dyDescent="0.2">
      <c r="A31" s="24"/>
      <c r="B31" s="5" t="s">
        <v>50</v>
      </c>
      <c r="C31" s="6">
        <v>457.99400000000003</v>
      </c>
      <c r="D31" s="6">
        <v>457.99400000000003</v>
      </c>
      <c r="E31" s="6">
        <v>31291.71</v>
      </c>
      <c r="F31" s="6">
        <v>253075.20000000001</v>
      </c>
      <c r="G31" s="6">
        <v>-221783.5</v>
      </c>
      <c r="H31" s="6">
        <v>0</v>
      </c>
      <c r="I31" s="6">
        <v>0.284163</v>
      </c>
      <c r="J31" s="6">
        <v>1222500</v>
      </c>
      <c r="K31" s="6">
        <v>0</v>
      </c>
      <c r="L31" s="6">
        <v>0</v>
      </c>
      <c r="M31" s="6">
        <v>544677.80000000005</v>
      </c>
      <c r="N31" s="6">
        <v>1.915405</v>
      </c>
    </row>
    <row r="32" spans="1:14" ht="30" x14ac:dyDescent="0.2">
      <c r="A32" s="25"/>
      <c r="B32" s="5" t="s">
        <v>39</v>
      </c>
      <c r="C32" s="6">
        <v>5300</v>
      </c>
      <c r="D32" s="6">
        <v>5300</v>
      </c>
      <c r="E32" s="6">
        <v>863060.3</v>
      </c>
      <c r="F32" s="6">
        <v>2239119</v>
      </c>
      <c r="G32" s="6">
        <v>-1376059</v>
      </c>
      <c r="H32" s="6">
        <v>0</v>
      </c>
      <c r="I32" s="6">
        <v>0.26788000000000001</v>
      </c>
      <c r="J32" s="6">
        <v>12956560</v>
      </c>
      <c r="K32" s="6">
        <v>0</v>
      </c>
      <c r="L32" s="6">
        <v>0</v>
      </c>
      <c r="M32" s="6">
        <v>10420020</v>
      </c>
      <c r="N32" s="6">
        <v>3.3589359999999999</v>
      </c>
    </row>
    <row r="33" spans="1:14" x14ac:dyDescent="0.2">
      <c r="A33" s="23" t="s">
        <v>41</v>
      </c>
      <c r="B33" s="5" t="s">
        <v>40</v>
      </c>
      <c r="C33" s="6">
        <v>13000000</v>
      </c>
      <c r="D33" s="6">
        <v>13000000</v>
      </c>
      <c r="E33" s="6">
        <v>54617.63</v>
      </c>
      <c r="F33" s="6">
        <v>54617.63</v>
      </c>
      <c r="G33" s="6">
        <v>0</v>
      </c>
      <c r="H33" s="6">
        <v>0</v>
      </c>
      <c r="I33" s="6">
        <v>0.99992599999999998</v>
      </c>
      <c r="J33" s="6">
        <v>0</v>
      </c>
      <c r="K33" s="6">
        <v>0</v>
      </c>
      <c r="L33" s="6">
        <v>0</v>
      </c>
      <c r="M33" s="6">
        <v>0</v>
      </c>
      <c r="N33" s="6" t="s">
        <v>21</v>
      </c>
    </row>
    <row r="34" spans="1:14" x14ac:dyDescent="0.2">
      <c r="A34" s="25"/>
      <c r="B34" s="5" t="s">
        <v>51</v>
      </c>
      <c r="C34" s="6">
        <v>46768.01</v>
      </c>
      <c r="D34" s="6">
        <v>46768.01</v>
      </c>
      <c r="E34" s="6">
        <v>86530.8</v>
      </c>
      <c r="F34" s="6">
        <v>90219.3</v>
      </c>
      <c r="G34" s="6">
        <v>-3688.498</v>
      </c>
      <c r="H34" s="6">
        <v>0</v>
      </c>
      <c r="I34" s="6">
        <v>0.360952</v>
      </c>
      <c r="J34" s="6">
        <v>0</v>
      </c>
      <c r="K34" s="6">
        <v>0</v>
      </c>
      <c r="L34" s="6">
        <v>0</v>
      </c>
      <c r="M34" s="6">
        <v>0</v>
      </c>
      <c r="N34" s="6" t="s">
        <v>21</v>
      </c>
    </row>
    <row r="35" spans="1:14" x14ac:dyDescent="0.2">
      <c r="A35" s="4"/>
      <c r="B35" s="4"/>
      <c r="C35" s="4"/>
      <c r="D35" s="4"/>
      <c r="E35" s="4"/>
      <c r="F35" s="4"/>
      <c r="G35" s="4"/>
      <c r="H35" s="4"/>
      <c r="I35" s="7"/>
      <c r="J35" s="8"/>
      <c r="K35" s="9"/>
      <c r="L35" s="4"/>
      <c r="M35" s="4"/>
      <c r="N35" s="4"/>
    </row>
    <row r="36" spans="1:14" x14ac:dyDescent="0.2">
      <c r="A36" s="4"/>
      <c r="B36" s="4"/>
      <c r="C36" s="4"/>
      <c r="D36" s="4"/>
      <c r="E36" s="4"/>
      <c r="F36" s="4"/>
      <c r="G36" s="4"/>
      <c r="H36" s="4"/>
      <c r="I36" s="10"/>
      <c r="J36" s="4"/>
      <c r="K36" s="4"/>
      <c r="L36" s="4"/>
      <c r="M36" s="4"/>
      <c r="N36" s="4"/>
    </row>
    <row r="37" spans="1:14" x14ac:dyDescent="0.2">
      <c r="A37" s="4"/>
      <c r="B37" s="4"/>
      <c r="C37" s="4"/>
      <c r="D37" s="4"/>
      <c r="E37" s="4"/>
      <c r="F37" s="4"/>
      <c r="G37" s="4"/>
      <c r="H37" s="4"/>
      <c r="I37" s="10"/>
      <c r="J37" s="4"/>
      <c r="K37" s="4"/>
      <c r="L37" s="4"/>
      <c r="M37" s="4"/>
      <c r="N37" s="4"/>
    </row>
    <row r="38" spans="1:14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</sheetData>
  <autoFilter ref="A1:N37" xr:uid="{4D4BF803-EC4E-F842-B68E-528EC71F1DE9}"/>
  <mergeCells count="5">
    <mergeCell ref="A33:A34"/>
    <mergeCell ref="A2:A21"/>
    <mergeCell ref="A23:A26"/>
    <mergeCell ref="A27:A28"/>
    <mergeCell ref="A29:A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0A62-B14B-AA4E-B6C1-C6D101FC58CC}">
  <dimension ref="A1:N36"/>
  <sheetViews>
    <sheetView topLeftCell="A13" workbookViewId="0">
      <selection activeCell="A34" sqref="A34:N42"/>
    </sheetView>
  </sheetViews>
  <sheetFormatPr baseColWidth="10" defaultColWidth="16.83203125" defaultRowHeight="16" x14ac:dyDescent="0.2"/>
  <cols>
    <col min="1" max="1" width="10.33203125" style="4" customWidth="1"/>
    <col min="2" max="2" width="16.83203125" style="4"/>
    <col min="3" max="3" width="18.83203125" style="4" customWidth="1"/>
    <col min="4" max="4" width="20" style="4" customWidth="1"/>
    <col min="5" max="9" width="17" style="4" bestFit="1" customWidth="1"/>
    <col min="10" max="10" width="18.6640625" style="4" bestFit="1" customWidth="1"/>
    <col min="11" max="14" width="17" style="4" bestFit="1" customWidth="1"/>
    <col min="15" max="16384" width="16.83203125" style="4"/>
  </cols>
  <sheetData>
    <row r="1" spans="1:14" ht="30" x14ac:dyDescent="0.2">
      <c r="A1" s="5"/>
      <c r="B1" s="5"/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</row>
    <row r="2" spans="1:14" x14ac:dyDescent="0.2">
      <c r="A2" s="23" t="s">
        <v>12</v>
      </c>
      <c r="B2" s="5" t="s">
        <v>13</v>
      </c>
      <c r="C2" s="6">
        <v>372.4393</v>
      </c>
      <c r="D2" s="6">
        <v>372.4393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813779.8</v>
      </c>
      <c r="K2" s="6">
        <v>0</v>
      </c>
      <c r="L2" s="6">
        <v>0</v>
      </c>
      <c r="M2" s="6">
        <v>0</v>
      </c>
      <c r="N2" s="6" t="s">
        <v>21</v>
      </c>
    </row>
    <row r="3" spans="1:14" x14ac:dyDescent="0.2">
      <c r="A3" s="24"/>
      <c r="B3" s="5" t="s">
        <v>14</v>
      </c>
      <c r="C3" s="6">
        <v>1642.8920000000001</v>
      </c>
      <c r="D3" s="6">
        <v>1642.8920000000001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3589718</v>
      </c>
      <c r="K3" s="6">
        <v>0</v>
      </c>
      <c r="L3" s="6">
        <v>0</v>
      </c>
      <c r="M3" s="6">
        <v>0</v>
      </c>
      <c r="N3" s="6" t="s">
        <v>21</v>
      </c>
    </row>
    <row r="4" spans="1:14" x14ac:dyDescent="0.2">
      <c r="A4" s="24"/>
      <c r="B4" s="5" t="s">
        <v>15</v>
      </c>
      <c r="C4" s="6">
        <v>9185.8070000000007</v>
      </c>
      <c r="D4" s="6">
        <v>9185.8070000000007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20070990</v>
      </c>
      <c r="K4" s="6">
        <v>0</v>
      </c>
      <c r="L4" s="6">
        <v>0</v>
      </c>
      <c r="M4" s="6">
        <v>0</v>
      </c>
      <c r="N4" s="6" t="s">
        <v>21</v>
      </c>
    </row>
    <row r="5" spans="1:14" ht="30" x14ac:dyDescent="0.2">
      <c r="A5" s="24"/>
      <c r="B5" s="5" t="s">
        <v>16</v>
      </c>
      <c r="C5" s="6">
        <v>23586</v>
      </c>
      <c r="D5" s="6">
        <v>23586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51535410</v>
      </c>
      <c r="K5" s="6">
        <v>0</v>
      </c>
      <c r="L5" s="6">
        <v>0</v>
      </c>
      <c r="M5" s="6">
        <v>0</v>
      </c>
      <c r="N5" s="6" t="s">
        <v>21</v>
      </c>
    </row>
    <row r="6" spans="1:14" ht="30" x14ac:dyDescent="0.2">
      <c r="A6" s="24"/>
      <c r="B6" s="5" t="s">
        <v>42</v>
      </c>
      <c r="C6" s="6">
        <v>3534.0360000000001</v>
      </c>
      <c r="D6" s="6">
        <v>3534.0360000000001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7721869</v>
      </c>
      <c r="K6" s="6">
        <v>0</v>
      </c>
      <c r="L6" s="6">
        <v>0</v>
      </c>
      <c r="M6" s="6">
        <v>0</v>
      </c>
      <c r="N6" s="6" t="s">
        <v>21</v>
      </c>
    </row>
    <row r="7" spans="1:14" x14ac:dyDescent="0.2">
      <c r="A7" s="24"/>
      <c r="B7" s="5" t="s">
        <v>17</v>
      </c>
      <c r="C7" s="6">
        <v>13695</v>
      </c>
      <c r="D7" s="6">
        <v>13695</v>
      </c>
      <c r="E7" s="6">
        <v>3541053</v>
      </c>
      <c r="F7" s="6">
        <v>0</v>
      </c>
      <c r="G7" s="6">
        <v>3541053</v>
      </c>
      <c r="H7" s="6">
        <v>0</v>
      </c>
      <c r="I7" s="6">
        <v>0.1183365</v>
      </c>
      <c r="J7" s="6">
        <v>26382520</v>
      </c>
      <c r="K7" s="6">
        <v>0</v>
      </c>
      <c r="L7" s="6">
        <v>40561730</v>
      </c>
      <c r="M7" s="6">
        <v>40561730</v>
      </c>
      <c r="N7" s="6">
        <v>11.454711</v>
      </c>
    </row>
    <row r="8" spans="1:14" x14ac:dyDescent="0.2">
      <c r="A8" s="24"/>
      <c r="B8" s="5" t="s">
        <v>43</v>
      </c>
      <c r="C8" s="6">
        <v>4067.2939999999999</v>
      </c>
      <c r="D8" s="6">
        <v>4067.2939999999999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8887037</v>
      </c>
      <c r="K8" s="6">
        <v>0</v>
      </c>
      <c r="L8" s="6">
        <v>0</v>
      </c>
      <c r="M8" s="6">
        <v>0</v>
      </c>
      <c r="N8" s="6" t="s">
        <v>21</v>
      </c>
    </row>
    <row r="9" spans="1:14" x14ac:dyDescent="0.2">
      <c r="A9" s="24"/>
      <c r="B9" s="5" t="s">
        <v>44</v>
      </c>
      <c r="C9" s="6">
        <v>11</v>
      </c>
      <c r="D9" s="6">
        <v>11</v>
      </c>
      <c r="E9" s="6">
        <v>4643.509</v>
      </c>
      <c r="F9" s="6">
        <v>0</v>
      </c>
      <c r="G9" s="6">
        <v>4643.509</v>
      </c>
      <c r="H9" s="6">
        <v>0</v>
      </c>
      <c r="I9" s="6">
        <v>0.19319819999999999</v>
      </c>
      <c r="J9" s="6">
        <v>19391.490000000002</v>
      </c>
      <c r="K9" s="6">
        <v>0</v>
      </c>
      <c r="L9" s="6">
        <v>57858.12</v>
      </c>
      <c r="M9" s="6">
        <v>99417.85</v>
      </c>
      <c r="N9" s="6">
        <v>21.410025999999998</v>
      </c>
    </row>
    <row r="10" spans="1:14" x14ac:dyDescent="0.2">
      <c r="A10" s="24"/>
      <c r="B10" s="5" t="s">
        <v>18</v>
      </c>
      <c r="C10" s="6">
        <v>834.51110000000006</v>
      </c>
      <c r="D10" s="6">
        <v>834.51110000000006</v>
      </c>
      <c r="E10" s="6">
        <v>1373.6420000000001</v>
      </c>
      <c r="F10" s="6">
        <v>0</v>
      </c>
      <c r="G10" s="6">
        <v>1373.6420000000001</v>
      </c>
      <c r="H10" s="6">
        <v>0</v>
      </c>
      <c r="I10" s="6">
        <v>7.533393E-4</v>
      </c>
      <c r="J10" s="6">
        <v>1822033</v>
      </c>
      <c r="K10" s="6">
        <v>0</v>
      </c>
      <c r="L10" s="6">
        <v>74176.66</v>
      </c>
      <c r="M10" s="6">
        <v>74347.88</v>
      </c>
      <c r="N10" s="6">
        <v>54.124564999999997</v>
      </c>
    </row>
    <row r="11" spans="1:14" x14ac:dyDescent="0.2">
      <c r="A11" s="24"/>
      <c r="B11" s="5" t="s">
        <v>19</v>
      </c>
      <c r="C11" s="6">
        <v>1897.296</v>
      </c>
      <c r="D11" s="6">
        <v>1897.296</v>
      </c>
      <c r="E11" s="6">
        <v>1399606</v>
      </c>
      <c r="F11" s="6">
        <v>0</v>
      </c>
      <c r="G11" s="6">
        <v>1399606</v>
      </c>
      <c r="H11" s="6">
        <v>0</v>
      </c>
      <c r="I11" s="6">
        <v>0.3376132</v>
      </c>
      <c r="J11" s="6">
        <v>258630.3</v>
      </c>
      <c r="K11" s="6">
        <v>0</v>
      </c>
      <c r="L11" s="6">
        <v>0</v>
      </c>
      <c r="M11" s="6">
        <v>9528779</v>
      </c>
      <c r="N11" s="6">
        <v>6.8081849999999999</v>
      </c>
    </row>
    <row r="12" spans="1:14" x14ac:dyDescent="0.2">
      <c r="A12" s="24"/>
      <c r="B12" s="5" t="s">
        <v>20</v>
      </c>
      <c r="C12" s="6">
        <v>48629.19</v>
      </c>
      <c r="D12" s="6">
        <v>48629.19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52178340</v>
      </c>
      <c r="K12" s="6">
        <v>0</v>
      </c>
      <c r="L12" s="6">
        <v>0</v>
      </c>
      <c r="M12" s="6">
        <v>0</v>
      </c>
      <c r="N12" s="6" t="s">
        <v>21</v>
      </c>
    </row>
    <row r="13" spans="1:14" x14ac:dyDescent="0.2">
      <c r="A13" s="24"/>
      <c r="B13" s="5" t="s">
        <v>45</v>
      </c>
      <c r="C13" s="6">
        <v>254.358</v>
      </c>
      <c r="D13" s="6">
        <v>254.358</v>
      </c>
      <c r="E13" s="6">
        <v>240007.2</v>
      </c>
      <c r="F13" s="6">
        <v>0</v>
      </c>
      <c r="G13" s="6">
        <v>240007.2</v>
      </c>
      <c r="H13" s="6">
        <v>0</v>
      </c>
      <c r="I13" s="6">
        <v>0.43184440000000002</v>
      </c>
      <c r="J13" s="6">
        <v>33762.400000000001</v>
      </c>
      <c r="K13" s="6">
        <v>0</v>
      </c>
      <c r="L13" s="6">
        <v>0</v>
      </c>
      <c r="M13" s="6">
        <v>2004213</v>
      </c>
      <c r="N13" s="6">
        <v>8.3506409999999995</v>
      </c>
    </row>
    <row r="14" spans="1:14" x14ac:dyDescent="0.2">
      <c r="A14" s="24"/>
      <c r="B14" s="5" t="s">
        <v>22</v>
      </c>
      <c r="C14" s="6">
        <v>4570</v>
      </c>
      <c r="D14" s="6">
        <v>4570</v>
      </c>
      <c r="E14" s="6">
        <v>4053639</v>
      </c>
      <c r="F14" s="6">
        <v>0</v>
      </c>
      <c r="G14" s="6">
        <v>4053639</v>
      </c>
      <c r="H14" s="6">
        <v>0</v>
      </c>
      <c r="I14" s="6">
        <v>0.4059545</v>
      </c>
      <c r="J14" s="6">
        <v>5931811</v>
      </c>
      <c r="K14" s="6">
        <v>0</v>
      </c>
      <c r="L14" s="6">
        <v>40536390</v>
      </c>
      <c r="M14" s="6">
        <v>67962270</v>
      </c>
      <c r="N14" s="6">
        <v>16.765744999999999</v>
      </c>
    </row>
    <row r="15" spans="1:14" x14ac:dyDescent="0.2">
      <c r="A15" s="24"/>
      <c r="B15" s="5" t="s">
        <v>23</v>
      </c>
      <c r="C15" s="6">
        <v>53544.2</v>
      </c>
      <c r="D15" s="6">
        <v>53544.2</v>
      </c>
      <c r="E15" s="6">
        <v>25184070</v>
      </c>
      <c r="F15" s="6">
        <v>0</v>
      </c>
      <c r="G15" s="6">
        <v>25184070</v>
      </c>
      <c r="H15" s="6">
        <v>0</v>
      </c>
      <c r="I15" s="6">
        <v>0.21525939999999999</v>
      </c>
      <c r="J15" s="6">
        <v>6930775</v>
      </c>
      <c r="K15" s="6">
        <v>0</v>
      </c>
      <c r="L15" s="6">
        <v>0</v>
      </c>
      <c r="M15" s="6">
        <v>102429300</v>
      </c>
      <c r="N15" s="6">
        <v>4.0672249999999996</v>
      </c>
    </row>
    <row r="16" spans="1:14" x14ac:dyDescent="0.2">
      <c r="A16" s="24"/>
      <c r="B16" s="5" t="s">
        <v>24</v>
      </c>
      <c r="C16" s="6">
        <v>78.5</v>
      </c>
      <c r="D16" s="6">
        <v>78.5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171522.5</v>
      </c>
      <c r="K16" s="6">
        <v>0</v>
      </c>
      <c r="L16" s="6">
        <v>0</v>
      </c>
      <c r="M16" s="6">
        <v>0</v>
      </c>
      <c r="N16" s="6" t="s">
        <v>21</v>
      </c>
    </row>
    <row r="17" spans="1:14" x14ac:dyDescent="0.2">
      <c r="A17" s="24"/>
      <c r="B17" s="5" t="s">
        <v>25</v>
      </c>
      <c r="C17" s="6">
        <v>27270.74</v>
      </c>
      <c r="D17" s="6">
        <v>27270.74</v>
      </c>
      <c r="E17" s="6">
        <v>11270940</v>
      </c>
      <c r="F17" s="6">
        <v>0</v>
      </c>
      <c r="G17" s="6">
        <v>11270940</v>
      </c>
      <c r="H17" s="6">
        <v>0</v>
      </c>
      <c r="I17" s="6">
        <v>0.1891523</v>
      </c>
      <c r="J17" s="6">
        <v>3064199</v>
      </c>
      <c r="K17" s="6">
        <v>0</v>
      </c>
      <c r="L17" s="6">
        <v>0</v>
      </c>
      <c r="M17" s="6">
        <v>42266950</v>
      </c>
      <c r="N17" s="6">
        <v>3.7500840000000002</v>
      </c>
    </row>
    <row r="18" spans="1:14" ht="30" x14ac:dyDescent="0.2">
      <c r="A18" s="24"/>
      <c r="B18" s="5" t="s">
        <v>26</v>
      </c>
      <c r="C18" s="6">
        <v>3662.89</v>
      </c>
      <c r="D18" s="6">
        <v>3662.89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8003415</v>
      </c>
      <c r="K18" s="6">
        <v>0</v>
      </c>
      <c r="L18" s="6">
        <v>0</v>
      </c>
      <c r="M18" s="6">
        <v>0</v>
      </c>
      <c r="N18" s="6" t="s">
        <v>21</v>
      </c>
    </row>
    <row r="19" spans="1:14" x14ac:dyDescent="0.2">
      <c r="A19" s="24"/>
      <c r="B19" s="5" t="s">
        <v>27</v>
      </c>
      <c r="C19" s="6">
        <v>55.819389999999999</v>
      </c>
      <c r="D19" s="6">
        <v>55.819389999999999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121965.4</v>
      </c>
      <c r="K19" s="6">
        <v>0</v>
      </c>
      <c r="L19" s="6">
        <v>0</v>
      </c>
      <c r="M19" s="6">
        <v>0</v>
      </c>
      <c r="N19" s="6" t="s">
        <v>21</v>
      </c>
    </row>
    <row r="20" spans="1:14" x14ac:dyDescent="0.2">
      <c r="A20" s="24"/>
      <c r="B20" s="5" t="s">
        <v>28</v>
      </c>
      <c r="C20" s="6">
        <v>40470.42</v>
      </c>
      <c r="D20" s="6">
        <v>40470.42</v>
      </c>
      <c r="E20" s="6">
        <v>13221380</v>
      </c>
      <c r="F20" s="6">
        <v>0</v>
      </c>
      <c r="G20" s="6">
        <v>13221380</v>
      </c>
      <c r="H20" s="6">
        <v>0</v>
      </c>
      <c r="I20" s="6">
        <v>0.14951600000000001</v>
      </c>
      <c r="J20" s="6">
        <v>1344158</v>
      </c>
      <c r="K20" s="6">
        <v>0</v>
      </c>
      <c r="L20" s="6">
        <v>0</v>
      </c>
      <c r="M20" s="6">
        <v>90280280</v>
      </c>
      <c r="N20" s="6">
        <v>6.828354</v>
      </c>
    </row>
    <row r="21" spans="1:14" x14ac:dyDescent="0.2">
      <c r="A21" s="25"/>
      <c r="B21" s="5" t="s">
        <v>29</v>
      </c>
      <c r="C21" s="6">
        <v>4643.1779999999999</v>
      </c>
      <c r="D21" s="6">
        <v>4643.1779999999999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10145340</v>
      </c>
      <c r="K21" s="6">
        <v>0</v>
      </c>
      <c r="L21" s="6">
        <v>0</v>
      </c>
      <c r="M21" s="6">
        <v>0</v>
      </c>
      <c r="N21" s="6" t="s">
        <v>21</v>
      </c>
    </row>
    <row r="22" spans="1:14" x14ac:dyDescent="0.2">
      <c r="A22" s="5" t="s">
        <v>46</v>
      </c>
      <c r="B22" s="5" t="s">
        <v>31</v>
      </c>
      <c r="C22" s="6">
        <v>230800</v>
      </c>
      <c r="D22" s="6">
        <v>230800</v>
      </c>
      <c r="E22" s="6">
        <v>34790030</v>
      </c>
      <c r="F22" s="6">
        <v>21544090</v>
      </c>
      <c r="G22" s="6">
        <v>13245940</v>
      </c>
      <c r="H22" s="6">
        <v>-13245940</v>
      </c>
      <c r="I22" s="6">
        <v>0.111708</v>
      </c>
      <c r="J22" s="6">
        <v>0</v>
      </c>
      <c r="K22" s="6">
        <v>0</v>
      </c>
      <c r="L22" s="6">
        <v>0</v>
      </c>
      <c r="M22" s="6">
        <v>133333100</v>
      </c>
      <c r="N22" s="6">
        <v>2.3668269999999998</v>
      </c>
    </row>
    <row r="23" spans="1:14" x14ac:dyDescent="0.2">
      <c r="A23" s="23" t="s">
        <v>30</v>
      </c>
      <c r="B23" s="5" t="s">
        <v>32</v>
      </c>
      <c r="C23" s="6">
        <v>12450</v>
      </c>
      <c r="D23" s="6">
        <v>12450</v>
      </c>
      <c r="E23" s="6">
        <v>9526165</v>
      </c>
      <c r="F23" s="6">
        <v>5894316</v>
      </c>
      <c r="G23" s="6">
        <v>3631849</v>
      </c>
      <c r="H23" s="6">
        <v>-3631849</v>
      </c>
      <c r="I23" s="6">
        <v>0.56686170000000002</v>
      </c>
      <c r="J23" s="6">
        <v>30835100</v>
      </c>
      <c r="K23" s="6">
        <v>0</v>
      </c>
      <c r="L23" s="6">
        <v>0</v>
      </c>
      <c r="M23" s="6">
        <v>70623860</v>
      </c>
      <c r="N23" s="6">
        <v>4.5798740000000002</v>
      </c>
    </row>
    <row r="24" spans="1:14" x14ac:dyDescent="0.2">
      <c r="A24" s="24"/>
      <c r="B24" s="5" t="s">
        <v>47</v>
      </c>
      <c r="C24" s="6">
        <v>3653.0949999999998</v>
      </c>
      <c r="D24" s="6">
        <v>3653.0949999999998</v>
      </c>
      <c r="E24" s="6">
        <v>0</v>
      </c>
      <c r="F24" s="6">
        <v>137504.4</v>
      </c>
      <c r="G24" s="6">
        <v>-137504.4</v>
      </c>
      <c r="H24" s="6">
        <v>0</v>
      </c>
      <c r="I24" s="6">
        <v>1.7226789999999999E-2</v>
      </c>
      <c r="J24" s="6">
        <v>7844508</v>
      </c>
      <c r="K24" s="6">
        <v>0</v>
      </c>
      <c r="L24" s="6">
        <v>0</v>
      </c>
      <c r="M24" s="6">
        <v>0</v>
      </c>
      <c r="N24" s="6" t="s">
        <v>21</v>
      </c>
    </row>
    <row r="25" spans="1:14" x14ac:dyDescent="0.2">
      <c r="A25" s="24"/>
      <c r="B25" s="5" t="s">
        <v>48</v>
      </c>
      <c r="C25" s="6">
        <v>278.38099999999997</v>
      </c>
      <c r="D25" s="6">
        <v>278.38099999999997</v>
      </c>
      <c r="E25" s="6">
        <v>0</v>
      </c>
      <c r="F25" s="6">
        <v>92166.44</v>
      </c>
      <c r="G25" s="6">
        <v>-92166.44</v>
      </c>
      <c r="H25" s="6">
        <v>0</v>
      </c>
      <c r="I25" s="6">
        <v>0.15152409999999999</v>
      </c>
      <c r="J25" s="6">
        <v>516096</v>
      </c>
      <c r="K25" s="6">
        <v>0</v>
      </c>
      <c r="L25" s="6">
        <v>460832.2</v>
      </c>
      <c r="M25" s="6">
        <v>0</v>
      </c>
      <c r="N25" s="6" t="s">
        <v>21</v>
      </c>
    </row>
    <row r="26" spans="1:14" x14ac:dyDescent="0.2">
      <c r="A26" s="25"/>
      <c r="B26" s="5" t="s">
        <v>33</v>
      </c>
      <c r="C26" s="6">
        <v>156000000</v>
      </c>
      <c r="D26" s="6">
        <v>156000000</v>
      </c>
      <c r="E26" s="6">
        <v>0</v>
      </c>
      <c r="F26" s="6">
        <v>16445.91</v>
      </c>
      <c r="G26" s="6">
        <v>-16445.91</v>
      </c>
      <c r="H26" s="6">
        <v>16445.91</v>
      </c>
      <c r="I26" s="6">
        <v>4.8248270000000003E-8</v>
      </c>
      <c r="J26" s="6">
        <v>340860000000</v>
      </c>
      <c r="K26" s="6">
        <v>0</v>
      </c>
      <c r="L26" s="6">
        <v>0.16446</v>
      </c>
      <c r="M26" s="6">
        <v>-86144.25</v>
      </c>
      <c r="N26" s="6">
        <v>-5.2380370000000003</v>
      </c>
    </row>
    <row r="27" spans="1:14" x14ac:dyDescent="0.2">
      <c r="A27" s="23" t="s">
        <v>34</v>
      </c>
      <c r="B27" s="5" t="s">
        <v>35</v>
      </c>
      <c r="C27" s="6">
        <v>0</v>
      </c>
      <c r="D27" s="6">
        <v>0</v>
      </c>
      <c r="E27" s="6">
        <v>0</v>
      </c>
      <c r="F27" s="6">
        <v>1877543</v>
      </c>
      <c r="G27" s="6">
        <v>-1877543</v>
      </c>
      <c r="H27" s="6">
        <v>0</v>
      </c>
      <c r="I27" s="6" t="s">
        <v>21</v>
      </c>
      <c r="J27" s="6">
        <v>0</v>
      </c>
      <c r="K27" s="6">
        <v>0</v>
      </c>
      <c r="L27" s="6">
        <v>0</v>
      </c>
      <c r="M27" s="6">
        <v>-14124690</v>
      </c>
      <c r="N27" s="6">
        <v>-7.5229660000000003</v>
      </c>
    </row>
    <row r="28" spans="1:14" x14ac:dyDescent="0.2">
      <c r="A28" s="25"/>
      <c r="B28" s="5" t="s">
        <v>36</v>
      </c>
      <c r="C28" s="6">
        <v>0</v>
      </c>
      <c r="D28" s="6">
        <v>0</v>
      </c>
      <c r="E28" s="6">
        <v>0</v>
      </c>
      <c r="F28" s="6">
        <v>52178340</v>
      </c>
      <c r="G28" s="6">
        <v>-52178340</v>
      </c>
      <c r="H28" s="6">
        <v>0</v>
      </c>
      <c r="I28" s="6" t="s">
        <v>21</v>
      </c>
      <c r="J28" s="6">
        <v>0</v>
      </c>
      <c r="K28" s="6">
        <v>0</v>
      </c>
      <c r="L28" s="6">
        <v>0</v>
      </c>
      <c r="M28" s="6">
        <v>-411818900</v>
      </c>
      <c r="N28" s="6">
        <v>-7.8925270000000003</v>
      </c>
    </row>
    <row r="29" spans="1:14" x14ac:dyDescent="0.2">
      <c r="A29" s="23" t="s">
        <v>37</v>
      </c>
      <c r="B29" s="5" t="s">
        <v>38</v>
      </c>
      <c r="C29" s="6">
        <v>26471.97</v>
      </c>
      <c r="D29" s="6">
        <v>26471.97</v>
      </c>
      <c r="E29" s="6">
        <v>3422228</v>
      </c>
      <c r="F29" s="6">
        <v>6657994</v>
      </c>
      <c r="G29" s="6">
        <v>-3235766</v>
      </c>
      <c r="H29" s="6">
        <v>0</v>
      </c>
      <c r="I29" s="6">
        <v>0.17427390000000001</v>
      </c>
      <c r="J29" s="6">
        <v>61077030</v>
      </c>
      <c r="K29" s="6">
        <v>0</v>
      </c>
      <c r="L29" s="6">
        <v>0</v>
      </c>
      <c r="M29" s="6">
        <v>16733650</v>
      </c>
      <c r="N29" s="6">
        <v>1.660048</v>
      </c>
    </row>
    <row r="30" spans="1:14" ht="30" x14ac:dyDescent="0.2">
      <c r="A30" s="24"/>
      <c r="B30" s="5" t="s">
        <v>49</v>
      </c>
      <c r="C30" s="6">
        <v>857.70799999999997</v>
      </c>
      <c r="D30" s="6">
        <v>857.70799999999997</v>
      </c>
      <c r="E30" s="6">
        <v>178312</v>
      </c>
      <c r="F30" s="6">
        <v>299158.8</v>
      </c>
      <c r="G30" s="6">
        <v>-120846.8</v>
      </c>
      <c r="H30" s="6">
        <v>0</v>
      </c>
      <c r="I30" s="6">
        <v>0.25477450000000001</v>
      </c>
      <c r="J30" s="6">
        <v>1994939</v>
      </c>
      <c r="K30" s="6">
        <v>0</v>
      </c>
      <c r="L30" s="6">
        <v>0</v>
      </c>
      <c r="M30" s="6">
        <v>548845.80000000005</v>
      </c>
      <c r="N30" s="6">
        <v>1.149486</v>
      </c>
    </row>
    <row r="31" spans="1:14" ht="30" x14ac:dyDescent="0.2">
      <c r="A31" s="24"/>
      <c r="B31" s="5" t="s">
        <v>50</v>
      </c>
      <c r="C31" s="6">
        <v>457.99400000000003</v>
      </c>
      <c r="D31" s="6">
        <v>457.99400000000003</v>
      </c>
      <c r="E31" s="6">
        <v>32601.86</v>
      </c>
      <c r="F31" s="6">
        <v>245888.6</v>
      </c>
      <c r="G31" s="6">
        <v>-213286.7</v>
      </c>
      <c r="H31" s="6">
        <v>0</v>
      </c>
      <c r="I31" s="6">
        <v>0.27829090000000001</v>
      </c>
      <c r="J31" s="6">
        <v>1214004</v>
      </c>
      <c r="K31" s="6">
        <v>0</v>
      </c>
      <c r="L31" s="6">
        <v>0</v>
      </c>
      <c r="M31" s="6">
        <v>549093.30000000005</v>
      </c>
      <c r="N31" s="6">
        <v>1.971678</v>
      </c>
    </row>
    <row r="32" spans="1:14" ht="30" x14ac:dyDescent="0.2">
      <c r="A32" s="25"/>
      <c r="B32" s="5" t="s">
        <v>39</v>
      </c>
      <c r="C32" s="6">
        <v>5300</v>
      </c>
      <c r="D32" s="6">
        <v>5300</v>
      </c>
      <c r="E32" s="6">
        <v>997080.9</v>
      </c>
      <c r="F32" s="6">
        <v>2287389</v>
      </c>
      <c r="G32" s="6">
        <v>-1290308</v>
      </c>
      <c r="H32" s="6">
        <v>0</v>
      </c>
      <c r="I32" s="6">
        <v>0.28362080000000001</v>
      </c>
      <c r="J32" s="6">
        <v>12870810</v>
      </c>
      <c r="K32" s="6">
        <v>0</v>
      </c>
      <c r="L32" s="6">
        <v>0</v>
      </c>
      <c r="M32" s="6">
        <v>10511430</v>
      </c>
      <c r="N32" s="6">
        <v>3.2003430000000002</v>
      </c>
    </row>
    <row r="33" spans="1:14" x14ac:dyDescent="0.2">
      <c r="A33" s="5" t="s">
        <v>41</v>
      </c>
      <c r="B33" s="5" t="s">
        <v>51</v>
      </c>
      <c r="C33" s="6">
        <v>46768.01</v>
      </c>
      <c r="D33" s="6">
        <v>46768.01</v>
      </c>
      <c r="E33" s="6">
        <v>90821.73</v>
      </c>
      <c r="F33" s="6">
        <v>94908.4</v>
      </c>
      <c r="G33" s="6">
        <v>-4086.6709999999998</v>
      </c>
      <c r="H33" s="6">
        <v>0</v>
      </c>
      <c r="I33" s="6">
        <v>0.39991650000000001</v>
      </c>
      <c r="J33" s="6">
        <v>0</v>
      </c>
      <c r="K33" s="6">
        <v>0</v>
      </c>
      <c r="L33" s="6">
        <v>0</v>
      </c>
      <c r="M33" s="6">
        <v>0</v>
      </c>
      <c r="N33" s="6" t="s">
        <v>21</v>
      </c>
    </row>
    <row r="34" spans="1:14" x14ac:dyDescent="0.2">
      <c r="H34" s="11"/>
      <c r="I34" s="7"/>
      <c r="J34" s="8"/>
      <c r="K34" s="9"/>
    </row>
    <row r="35" spans="1:14" x14ac:dyDescent="0.2">
      <c r="I35" s="10"/>
    </row>
    <row r="36" spans="1:14" x14ac:dyDescent="0.2">
      <c r="I36" s="10"/>
    </row>
  </sheetData>
  <autoFilter ref="A1:N36" xr:uid="{274D0A62-B14B-AA4E-B6C1-C6D101FC58CC}"/>
  <mergeCells count="4">
    <mergeCell ref="A2:A21"/>
    <mergeCell ref="A23:A26"/>
    <mergeCell ref="A27:A28"/>
    <mergeCell ref="A29:A32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27E0-A6E7-0A4E-A9C8-EA69BF34BB6E}">
  <dimension ref="A1:N38"/>
  <sheetViews>
    <sheetView topLeftCell="A22" workbookViewId="0">
      <selection activeCell="A36" sqref="A36:N44"/>
    </sheetView>
  </sheetViews>
  <sheetFormatPr baseColWidth="10" defaultColWidth="17.5" defaultRowHeight="16" x14ac:dyDescent="0.2"/>
  <cols>
    <col min="1" max="1" width="11.6640625" style="4" customWidth="1"/>
    <col min="2" max="2" width="15.1640625" style="4" customWidth="1"/>
    <col min="3" max="9" width="17.6640625" style="4" bestFit="1" customWidth="1"/>
    <col min="10" max="10" width="18.6640625" style="4" bestFit="1" customWidth="1"/>
    <col min="11" max="14" width="17.6640625" style="4" bestFit="1" customWidth="1"/>
    <col min="15" max="16384" width="17.5" style="4"/>
  </cols>
  <sheetData>
    <row r="1" spans="1:14" ht="30" x14ac:dyDescent="0.2">
      <c r="A1" s="5"/>
      <c r="B1" s="5"/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</row>
    <row r="2" spans="1:14" x14ac:dyDescent="0.2">
      <c r="A2" s="23" t="s">
        <v>12</v>
      </c>
      <c r="B2" s="5" t="s">
        <v>13</v>
      </c>
      <c r="C2" s="6">
        <v>372.4393</v>
      </c>
      <c r="D2" s="6">
        <v>372.4393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813779.8</v>
      </c>
      <c r="K2" s="6">
        <v>0</v>
      </c>
      <c r="L2" s="6">
        <v>0</v>
      </c>
      <c r="M2" s="6">
        <v>0</v>
      </c>
      <c r="N2" s="6" t="s">
        <v>21</v>
      </c>
    </row>
    <row r="3" spans="1:14" x14ac:dyDescent="0.2">
      <c r="A3" s="24"/>
      <c r="B3" s="5" t="s">
        <v>14</v>
      </c>
      <c r="C3" s="6">
        <v>1642.8920000000001</v>
      </c>
      <c r="D3" s="6">
        <v>1642.8920000000001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3589718</v>
      </c>
      <c r="K3" s="6">
        <v>0</v>
      </c>
      <c r="L3" s="6">
        <v>0</v>
      </c>
      <c r="M3" s="6">
        <v>0</v>
      </c>
      <c r="N3" s="6" t="s">
        <v>21</v>
      </c>
    </row>
    <row r="4" spans="1:14" x14ac:dyDescent="0.2">
      <c r="A4" s="24"/>
      <c r="B4" s="5" t="s">
        <v>15</v>
      </c>
      <c r="C4" s="6">
        <v>9185.8070000000007</v>
      </c>
      <c r="D4" s="6">
        <v>9185.8070000000007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20070990</v>
      </c>
      <c r="K4" s="6">
        <v>0</v>
      </c>
      <c r="L4" s="6">
        <v>0</v>
      </c>
      <c r="M4" s="6">
        <v>0</v>
      </c>
      <c r="N4" s="6" t="s">
        <v>21</v>
      </c>
    </row>
    <row r="5" spans="1:14" ht="30" x14ac:dyDescent="0.2">
      <c r="A5" s="24"/>
      <c r="B5" s="5" t="s">
        <v>16</v>
      </c>
      <c r="C5" s="6">
        <v>23586</v>
      </c>
      <c r="D5" s="6">
        <v>23586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51535410</v>
      </c>
      <c r="K5" s="6">
        <v>0</v>
      </c>
      <c r="L5" s="6">
        <v>0</v>
      </c>
      <c r="M5" s="6">
        <v>0</v>
      </c>
      <c r="N5" s="6" t="s">
        <v>21</v>
      </c>
    </row>
    <row r="6" spans="1:14" ht="30" x14ac:dyDescent="0.2">
      <c r="A6" s="24"/>
      <c r="B6" s="5" t="s">
        <v>42</v>
      </c>
      <c r="C6" s="6">
        <v>3534.0360000000001</v>
      </c>
      <c r="D6" s="6">
        <v>3534.0360000000001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7721869</v>
      </c>
      <c r="K6" s="6">
        <v>0</v>
      </c>
      <c r="L6" s="6">
        <v>0</v>
      </c>
      <c r="M6" s="6">
        <v>0</v>
      </c>
      <c r="N6" s="6" t="s">
        <v>21</v>
      </c>
    </row>
    <row r="7" spans="1:14" x14ac:dyDescent="0.2">
      <c r="A7" s="24"/>
      <c r="B7" s="5" t="s">
        <v>17</v>
      </c>
      <c r="C7" s="6">
        <v>13695</v>
      </c>
      <c r="D7" s="6">
        <v>13695</v>
      </c>
      <c r="E7" s="6">
        <v>3522451</v>
      </c>
      <c r="F7" s="6">
        <v>0</v>
      </c>
      <c r="G7" s="6">
        <v>3522451</v>
      </c>
      <c r="H7" s="6">
        <v>0</v>
      </c>
      <c r="I7" s="6">
        <v>0.1177149</v>
      </c>
      <c r="J7" s="6">
        <v>26401120</v>
      </c>
      <c r="K7" s="6">
        <v>0</v>
      </c>
      <c r="L7" s="6">
        <v>40227900</v>
      </c>
      <c r="M7" s="6">
        <v>40227900</v>
      </c>
      <c r="N7" s="6">
        <v>11.420431000000001</v>
      </c>
    </row>
    <row r="8" spans="1:14" x14ac:dyDescent="0.2">
      <c r="A8" s="24"/>
      <c r="B8" s="5" t="s">
        <v>43</v>
      </c>
      <c r="C8" s="6">
        <v>4067.2939999999999</v>
      </c>
      <c r="D8" s="6">
        <v>4067.2939999999999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8887037</v>
      </c>
      <c r="K8" s="6">
        <v>0</v>
      </c>
      <c r="L8" s="6">
        <v>0</v>
      </c>
      <c r="M8" s="6">
        <v>0</v>
      </c>
      <c r="N8" s="6" t="s">
        <v>21</v>
      </c>
    </row>
    <row r="9" spans="1:14" x14ac:dyDescent="0.2">
      <c r="A9" s="24"/>
      <c r="B9" s="5" t="s">
        <v>44</v>
      </c>
      <c r="C9" s="6">
        <v>11</v>
      </c>
      <c r="D9" s="6">
        <v>11</v>
      </c>
      <c r="E9" s="6">
        <v>4564.6790000000001</v>
      </c>
      <c r="F9" s="6">
        <v>0</v>
      </c>
      <c r="G9" s="6">
        <v>4564.6790000000001</v>
      </c>
      <c r="H9" s="6">
        <v>0</v>
      </c>
      <c r="I9" s="6">
        <v>0.18991820000000001</v>
      </c>
      <c r="J9" s="6">
        <v>19470.32</v>
      </c>
      <c r="K9" s="6">
        <v>0</v>
      </c>
      <c r="L9" s="6">
        <v>56875.9</v>
      </c>
      <c r="M9" s="6">
        <v>97976.78</v>
      </c>
      <c r="N9" s="6">
        <v>21.464089999999999</v>
      </c>
    </row>
    <row r="10" spans="1:14" x14ac:dyDescent="0.2">
      <c r="A10" s="24"/>
      <c r="B10" s="5" t="s">
        <v>18</v>
      </c>
      <c r="C10" s="6">
        <v>834.51110000000006</v>
      </c>
      <c r="D10" s="6">
        <v>834.51110000000006</v>
      </c>
      <c r="E10" s="6">
        <v>939.55420000000004</v>
      </c>
      <c r="F10" s="6">
        <v>0</v>
      </c>
      <c r="G10" s="6">
        <v>939.55420000000004</v>
      </c>
      <c r="H10" s="6">
        <v>0</v>
      </c>
      <c r="I10" s="6">
        <v>5.1527180000000004E-4</v>
      </c>
      <c r="J10" s="6">
        <v>1822467</v>
      </c>
      <c r="K10" s="6">
        <v>0</v>
      </c>
      <c r="L10" s="6">
        <v>50735.92</v>
      </c>
      <c r="M10" s="6">
        <v>50908.45</v>
      </c>
      <c r="N10" s="6">
        <v>54.183860000000003</v>
      </c>
    </row>
    <row r="11" spans="1:14" x14ac:dyDescent="0.2">
      <c r="A11" s="24"/>
      <c r="B11" s="5" t="s">
        <v>19</v>
      </c>
      <c r="C11" s="6">
        <v>1897.296</v>
      </c>
      <c r="D11" s="6">
        <v>1897.296</v>
      </c>
      <c r="E11" s="6">
        <v>1385678</v>
      </c>
      <c r="F11" s="6">
        <v>0</v>
      </c>
      <c r="G11" s="6">
        <v>1385678</v>
      </c>
      <c r="H11" s="6">
        <v>0</v>
      </c>
      <c r="I11" s="6">
        <v>0.33425339999999998</v>
      </c>
      <c r="J11" s="6">
        <v>272558.8</v>
      </c>
      <c r="K11" s="6">
        <v>0</v>
      </c>
      <c r="L11" s="6">
        <v>0</v>
      </c>
      <c r="M11" s="6">
        <v>9492907</v>
      </c>
      <c r="N11" s="6">
        <v>6.8507309999999997</v>
      </c>
    </row>
    <row r="12" spans="1:14" x14ac:dyDescent="0.2">
      <c r="A12" s="24"/>
      <c r="B12" s="5" t="s">
        <v>20</v>
      </c>
      <c r="C12" s="6">
        <v>48629.19</v>
      </c>
      <c r="D12" s="6">
        <v>48629.19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52178340</v>
      </c>
      <c r="K12" s="6">
        <v>0</v>
      </c>
      <c r="L12" s="6">
        <v>0</v>
      </c>
      <c r="M12" s="6">
        <v>0</v>
      </c>
      <c r="N12" s="6" t="s">
        <v>21</v>
      </c>
    </row>
    <row r="13" spans="1:14" x14ac:dyDescent="0.2">
      <c r="A13" s="24"/>
      <c r="B13" s="5" t="s">
        <v>45</v>
      </c>
      <c r="C13" s="6">
        <v>254.358</v>
      </c>
      <c r="D13" s="6">
        <v>254.358</v>
      </c>
      <c r="E13" s="6">
        <v>239212.9</v>
      </c>
      <c r="F13" s="6">
        <v>0</v>
      </c>
      <c r="G13" s="6">
        <v>239212.9</v>
      </c>
      <c r="H13" s="6">
        <v>0</v>
      </c>
      <c r="I13" s="6">
        <v>0.4304153</v>
      </c>
      <c r="J13" s="6">
        <v>34556.69</v>
      </c>
      <c r="K13" s="6">
        <v>0</v>
      </c>
      <c r="L13" s="6">
        <v>0</v>
      </c>
      <c r="M13" s="6">
        <v>1997884</v>
      </c>
      <c r="N13" s="6">
        <v>8.3519100000000002</v>
      </c>
    </row>
    <row r="14" spans="1:14" x14ac:dyDescent="0.2">
      <c r="A14" s="24"/>
      <c r="B14" s="5" t="s">
        <v>22</v>
      </c>
      <c r="C14" s="6">
        <v>4570</v>
      </c>
      <c r="D14" s="6">
        <v>4570</v>
      </c>
      <c r="E14" s="6">
        <v>4052395</v>
      </c>
      <c r="F14" s="6">
        <v>0</v>
      </c>
      <c r="G14" s="6">
        <v>4052395</v>
      </c>
      <c r="H14" s="6">
        <v>0</v>
      </c>
      <c r="I14" s="6">
        <v>0.40583000000000002</v>
      </c>
      <c r="J14" s="6">
        <v>5933055</v>
      </c>
      <c r="K14" s="6">
        <v>0</v>
      </c>
      <c r="L14" s="6">
        <v>40523950</v>
      </c>
      <c r="M14" s="6">
        <v>67645010</v>
      </c>
      <c r="N14" s="6">
        <v>16.692602000000001</v>
      </c>
    </row>
    <row r="15" spans="1:14" x14ac:dyDescent="0.2">
      <c r="A15" s="24"/>
      <c r="B15" s="5" t="s">
        <v>23</v>
      </c>
      <c r="C15" s="6">
        <v>53544.2</v>
      </c>
      <c r="D15" s="6">
        <v>53544.2</v>
      </c>
      <c r="E15" s="6">
        <v>25297990</v>
      </c>
      <c r="F15" s="6">
        <v>0</v>
      </c>
      <c r="G15" s="6">
        <v>25297990</v>
      </c>
      <c r="H15" s="6">
        <v>0</v>
      </c>
      <c r="I15" s="6">
        <v>0.21623310000000001</v>
      </c>
      <c r="J15" s="6">
        <v>6816858</v>
      </c>
      <c r="K15" s="6">
        <v>0</v>
      </c>
      <c r="L15" s="6">
        <v>0</v>
      </c>
      <c r="M15" s="6">
        <v>102337400</v>
      </c>
      <c r="N15" s="6">
        <v>4.0452769999999996</v>
      </c>
    </row>
    <row r="16" spans="1:14" x14ac:dyDescent="0.2">
      <c r="A16" s="24"/>
      <c r="B16" s="5" t="s">
        <v>24</v>
      </c>
      <c r="C16" s="6">
        <v>78.5</v>
      </c>
      <c r="D16" s="6">
        <v>78.5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171522.5</v>
      </c>
      <c r="K16" s="6">
        <v>0</v>
      </c>
      <c r="L16" s="6">
        <v>0</v>
      </c>
      <c r="M16" s="6">
        <v>0</v>
      </c>
      <c r="N16" s="6" t="s">
        <v>21</v>
      </c>
    </row>
    <row r="17" spans="1:14" x14ac:dyDescent="0.2">
      <c r="A17" s="24"/>
      <c r="B17" s="5" t="s">
        <v>25</v>
      </c>
      <c r="C17" s="6">
        <v>27270.74</v>
      </c>
      <c r="D17" s="6">
        <v>27270.74</v>
      </c>
      <c r="E17" s="6">
        <v>11166210</v>
      </c>
      <c r="F17" s="6">
        <v>0</v>
      </c>
      <c r="G17" s="6">
        <v>11166210</v>
      </c>
      <c r="H17" s="6">
        <v>0</v>
      </c>
      <c r="I17" s="6">
        <v>0.1873947</v>
      </c>
      <c r="J17" s="6">
        <v>3168929</v>
      </c>
      <c r="K17" s="6">
        <v>0</v>
      </c>
      <c r="L17" s="6">
        <v>0</v>
      </c>
      <c r="M17" s="6">
        <v>42204570</v>
      </c>
      <c r="N17" s="6">
        <v>3.7796690000000002</v>
      </c>
    </row>
    <row r="18" spans="1:14" ht="30" x14ac:dyDescent="0.2">
      <c r="A18" s="24"/>
      <c r="B18" s="5" t="s">
        <v>26</v>
      </c>
      <c r="C18" s="6">
        <v>3662.89</v>
      </c>
      <c r="D18" s="6">
        <v>3662.89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8003415</v>
      </c>
      <c r="K18" s="6">
        <v>0</v>
      </c>
      <c r="L18" s="6">
        <v>0</v>
      </c>
      <c r="M18" s="6">
        <v>0</v>
      </c>
      <c r="N18" s="6" t="s">
        <v>21</v>
      </c>
    </row>
    <row r="19" spans="1:14" x14ac:dyDescent="0.2">
      <c r="A19" s="24"/>
      <c r="B19" s="5" t="s">
        <v>27</v>
      </c>
      <c r="C19" s="6">
        <v>55.819389999999999</v>
      </c>
      <c r="D19" s="6">
        <v>55.819389999999999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121965.4</v>
      </c>
      <c r="K19" s="6">
        <v>0</v>
      </c>
      <c r="L19" s="6">
        <v>0</v>
      </c>
      <c r="M19" s="6">
        <v>0</v>
      </c>
      <c r="N19" s="6" t="s">
        <v>21</v>
      </c>
    </row>
    <row r="20" spans="1:14" x14ac:dyDescent="0.2">
      <c r="A20" s="24"/>
      <c r="B20" s="5" t="s">
        <v>28</v>
      </c>
      <c r="C20" s="6">
        <v>40470.42</v>
      </c>
      <c r="D20" s="6">
        <v>40470.42</v>
      </c>
      <c r="E20" s="6">
        <v>13153100</v>
      </c>
      <c r="F20" s="6">
        <v>0</v>
      </c>
      <c r="G20" s="6">
        <v>13153100</v>
      </c>
      <c r="H20" s="6">
        <v>0</v>
      </c>
      <c r="I20" s="6">
        <v>0.14874380000000001</v>
      </c>
      <c r="J20" s="6">
        <v>1412444</v>
      </c>
      <c r="K20" s="6">
        <v>0</v>
      </c>
      <c r="L20" s="6">
        <v>0</v>
      </c>
      <c r="M20" s="6">
        <v>90049560</v>
      </c>
      <c r="N20" s="6">
        <v>6.8462630000000004</v>
      </c>
    </row>
    <row r="21" spans="1:14" x14ac:dyDescent="0.2">
      <c r="A21" s="25"/>
      <c r="B21" s="5" t="s">
        <v>29</v>
      </c>
      <c r="C21" s="6">
        <v>4643.1779999999999</v>
      </c>
      <c r="D21" s="6">
        <v>4643.1779999999999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10145340</v>
      </c>
      <c r="K21" s="6">
        <v>0</v>
      </c>
      <c r="L21" s="6">
        <v>0</v>
      </c>
      <c r="M21" s="6">
        <v>0</v>
      </c>
      <c r="N21" s="6" t="s">
        <v>21</v>
      </c>
    </row>
    <row r="22" spans="1:14" x14ac:dyDescent="0.2">
      <c r="A22" s="5" t="s">
        <v>46</v>
      </c>
      <c r="B22" s="5" t="s">
        <v>31</v>
      </c>
      <c r="C22" s="6">
        <v>230800</v>
      </c>
      <c r="D22" s="6">
        <v>230800</v>
      </c>
      <c r="E22" s="6">
        <v>34980080</v>
      </c>
      <c r="F22" s="6">
        <v>21402270</v>
      </c>
      <c r="G22" s="6">
        <v>13577810</v>
      </c>
      <c r="H22" s="6">
        <v>-13577810</v>
      </c>
      <c r="I22" s="6">
        <v>0.1118036</v>
      </c>
      <c r="J22" s="6">
        <v>0</v>
      </c>
      <c r="K22" s="6">
        <v>0</v>
      </c>
      <c r="L22" s="6">
        <v>0</v>
      </c>
      <c r="M22" s="6">
        <v>132119300</v>
      </c>
      <c r="N22" s="6">
        <v>2.3432750000000002</v>
      </c>
    </row>
    <row r="23" spans="1:14" x14ac:dyDescent="0.2">
      <c r="A23" s="23" t="s">
        <v>30</v>
      </c>
      <c r="B23" s="5" t="s">
        <v>32</v>
      </c>
      <c r="C23" s="6">
        <v>12450</v>
      </c>
      <c r="D23" s="6">
        <v>12450</v>
      </c>
      <c r="E23" s="6">
        <v>9507955</v>
      </c>
      <c r="F23" s="6">
        <v>5895185</v>
      </c>
      <c r="G23" s="6">
        <v>3612770</v>
      </c>
      <c r="H23" s="6">
        <v>-3612770</v>
      </c>
      <c r="I23" s="6">
        <v>0.56622430000000001</v>
      </c>
      <c r="J23" s="6">
        <v>30816020</v>
      </c>
      <c r="K23" s="6">
        <v>0</v>
      </c>
      <c r="L23" s="6">
        <v>0</v>
      </c>
      <c r="M23" s="6">
        <v>70048000</v>
      </c>
      <c r="N23" s="6">
        <v>4.547644</v>
      </c>
    </row>
    <row r="24" spans="1:14" x14ac:dyDescent="0.2">
      <c r="A24" s="24"/>
      <c r="B24" s="5" t="s">
        <v>40</v>
      </c>
      <c r="C24" s="6">
        <v>26000000</v>
      </c>
      <c r="D24" s="6">
        <v>26000000</v>
      </c>
      <c r="E24" s="6">
        <v>0</v>
      </c>
      <c r="F24" s="6">
        <v>109040.9</v>
      </c>
      <c r="G24" s="6">
        <v>-109040.9</v>
      </c>
      <c r="H24" s="6">
        <v>0</v>
      </c>
      <c r="I24" s="6">
        <v>1.9193969999999999E-6</v>
      </c>
      <c r="J24" s="6">
        <v>56809890000</v>
      </c>
      <c r="K24" s="6">
        <v>0</v>
      </c>
      <c r="L24" s="6">
        <v>1.0904100000000001</v>
      </c>
      <c r="M24" s="6">
        <v>-807885.7</v>
      </c>
      <c r="N24" s="6">
        <v>-7.409014</v>
      </c>
    </row>
    <row r="25" spans="1:14" x14ac:dyDescent="0.2">
      <c r="A25" s="24"/>
      <c r="B25" s="5" t="s">
        <v>47</v>
      </c>
      <c r="C25" s="6">
        <v>3653.0949999999998</v>
      </c>
      <c r="D25" s="6">
        <v>3653.0949999999998</v>
      </c>
      <c r="E25" s="6">
        <v>0</v>
      </c>
      <c r="F25" s="6">
        <v>136478.5</v>
      </c>
      <c r="G25" s="6">
        <v>-136478.5</v>
      </c>
      <c r="H25" s="6">
        <v>0</v>
      </c>
      <c r="I25" s="6">
        <v>1.7098260000000001E-2</v>
      </c>
      <c r="J25" s="6">
        <v>7845534</v>
      </c>
      <c r="K25" s="6">
        <v>0</v>
      </c>
      <c r="L25" s="6">
        <v>0</v>
      </c>
      <c r="M25" s="6">
        <v>0</v>
      </c>
      <c r="N25" s="6" t="s">
        <v>21</v>
      </c>
    </row>
    <row r="26" spans="1:14" ht="30" x14ac:dyDescent="0.2">
      <c r="A26" s="24"/>
      <c r="B26" s="5" t="s">
        <v>48</v>
      </c>
      <c r="C26" s="6">
        <v>278.38099999999997</v>
      </c>
      <c r="D26" s="6">
        <v>278.38099999999997</v>
      </c>
      <c r="E26" s="6">
        <v>0</v>
      </c>
      <c r="F26" s="6">
        <v>91497.84</v>
      </c>
      <c r="G26" s="6">
        <v>-91497.84</v>
      </c>
      <c r="H26" s="6">
        <v>0</v>
      </c>
      <c r="I26" s="6">
        <v>0.1504249</v>
      </c>
      <c r="J26" s="6">
        <v>516764.6</v>
      </c>
      <c r="K26" s="6">
        <v>0</v>
      </c>
      <c r="L26" s="6">
        <v>457489.2</v>
      </c>
      <c r="M26" s="6">
        <v>0</v>
      </c>
      <c r="N26" s="6" t="s">
        <v>21</v>
      </c>
    </row>
    <row r="27" spans="1:14" x14ac:dyDescent="0.2">
      <c r="A27" s="25"/>
      <c r="B27" s="5" t="s">
        <v>33</v>
      </c>
      <c r="C27" s="6">
        <v>156000000</v>
      </c>
      <c r="D27" s="6">
        <v>156000000</v>
      </c>
      <c r="E27" s="6">
        <v>0</v>
      </c>
      <c r="F27" s="6">
        <v>16643.259999999998</v>
      </c>
      <c r="G27" s="6">
        <v>-16643.259999999998</v>
      </c>
      <c r="H27" s="6">
        <v>16643.259999999998</v>
      </c>
      <c r="I27" s="6">
        <v>4.8827240000000001E-8</v>
      </c>
      <c r="J27" s="6">
        <v>340860000000</v>
      </c>
      <c r="K27" s="6">
        <v>0</v>
      </c>
      <c r="L27" s="6">
        <v>0.16642999999999999</v>
      </c>
      <c r="M27" s="6">
        <v>-90369.41</v>
      </c>
      <c r="N27" s="6">
        <v>-5.429792</v>
      </c>
    </row>
    <row r="28" spans="1:14" x14ac:dyDescent="0.2">
      <c r="A28" s="23" t="s">
        <v>34</v>
      </c>
      <c r="B28" s="5" t="s">
        <v>35</v>
      </c>
      <c r="C28" s="6">
        <v>0</v>
      </c>
      <c r="D28" s="6">
        <v>0</v>
      </c>
      <c r="E28" s="6">
        <v>0</v>
      </c>
      <c r="F28" s="6">
        <v>1877543</v>
      </c>
      <c r="G28" s="6">
        <v>-1877543</v>
      </c>
      <c r="H28" s="6">
        <v>0</v>
      </c>
      <c r="I28" s="6" t="s">
        <v>21</v>
      </c>
      <c r="J28" s="6">
        <v>0</v>
      </c>
      <c r="K28" s="6">
        <v>0</v>
      </c>
      <c r="L28" s="6">
        <v>0</v>
      </c>
      <c r="M28" s="6">
        <v>-14080300</v>
      </c>
      <c r="N28" s="6">
        <v>-7.4993230000000004</v>
      </c>
    </row>
    <row r="29" spans="1:14" x14ac:dyDescent="0.2">
      <c r="A29" s="25"/>
      <c r="B29" s="5" t="s">
        <v>36</v>
      </c>
      <c r="C29" s="6">
        <v>0</v>
      </c>
      <c r="D29" s="6">
        <v>0</v>
      </c>
      <c r="E29" s="6">
        <v>0</v>
      </c>
      <c r="F29" s="6">
        <v>52178340</v>
      </c>
      <c r="G29" s="6">
        <v>-52178340</v>
      </c>
      <c r="H29" s="6">
        <v>0</v>
      </c>
      <c r="I29" s="6" t="s">
        <v>21</v>
      </c>
      <c r="J29" s="6">
        <v>0</v>
      </c>
      <c r="K29" s="6">
        <v>0</v>
      </c>
      <c r="L29" s="6">
        <v>0</v>
      </c>
      <c r="M29" s="6">
        <v>-410518000</v>
      </c>
      <c r="N29" s="6">
        <v>-7.8675949999999997</v>
      </c>
    </row>
    <row r="30" spans="1:14" x14ac:dyDescent="0.2">
      <c r="A30" s="23" t="s">
        <v>37</v>
      </c>
      <c r="B30" s="5" t="s">
        <v>38</v>
      </c>
      <c r="C30" s="6">
        <v>26471.97</v>
      </c>
      <c r="D30" s="6">
        <v>26471.97</v>
      </c>
      <c r="E30" s="6">
        <v>3617944</v>
      </c>
      <c r="F30" s="6">
        <v>6804928</v>
      </c>
      <c r="G30" s="6">
        <v>-3186985</v>
      </c>
      <c r="H30" s="6">
        <v>0</v>
      </c>
      <c r="I30" s="6">
        <v>0.18019789999999999</v>
      </c>
      <c r="J30" s="6">
        <v>61028250</v>
      </c>
      <c r="K30" s="6">
        <v>0</v>
      </c>
      <c r="L30" s="6">
        <v>0</v>
      </c>
      <c r="M30" s="6">
        <v>16528890</v>
      </c>
      <c r="N30" s="6">
        <v>1.5858289999999999</v>
      </c>
    </row>
    <row r="31" spans="1:14" ht="30" x14ac:dyDescent="0.2">
      <c r="A31" s="24"/>
      <c r="B31" s="5" t="s">
        <v>49</v>
      </c>
      <c r="C31" s="6">
        <v>857.70799999999997</v>
      </c>
      <c r="D31" s="6">
        <v>857.70799999999997</v>
      </c>
      <c r="E31" s="6">
        <v>182298.6</v>
      </c>
      <c r="F31" s="6">
        <v>300876.40000000002</v>
      </c>
      <c r="G31" s="6">
        <v>-118577.9</v>
      </c>
      <c r="H31" s="6">
        <v>0</v>
      </c>
      <c r="I31" s="6">
        <v>0.2578182</v>
      </c>
      <c r="J31" s="6">
        <v>1992670</v>
      </c>
      <c r="K31" s="6">
        <v>0</v>
      </c>
      <c r="L31" s="6">
        <v>0</v>
      </c>
      <c r="M31" s="6">
        <v>542221.30000000005</v>
      </c>
      <c r="N31" s="6">
        <v>1.1222049999999999</v>
      </c>
    </row>
    <row r="32" spans="1:14" ht="30" x14ac:dyDescent="0.2">
      <c r="A32" s="24"/>
      <c r="B32" s="5" t="s">
        <v>50</v>
      </c>
      <c r="C32" s="6">
        <v>457.99400000000003</v>
      </c>
      <c r="D32" s="6">
        <v>457.99400000000003</v>
      </c>
      <c r="E32" s="6">
        <v>33421.78</v>
      </c>
      <c r="F32" s="6">
        <v>239437.1</v>
      </c>
      <c r="G32" s="6">
        <v>-206015.3</v>
      </c>
      <c r="H32" s="6">
        <v>0</v>
      </c>
      <c r="I32" s="6">
        <v>0.2726634</v>
      </c>
      <c r="J32" s="6">
        <v>1206732</v>
      </c>
      <c r="K32" s="6">
        <v>0</v>
      </c>
      <c r="L32" s="6">
        <v>0</v>
      </c>
      <c r="M32" s="6">
        <v>543258.30000000005</v>
      </c>
      <c r="N32" s="6">
        <v>1.9909859999999999</v>
      </c>
    </row>
    <row r="33" spans="1:14" ht="30" x14ac:dyDescent="0.2">
      <c r="A33" s="25"/>
      <c r="B33" s="5" t="s">
        <v>39</v>
      </c>
      <c r="C33" s="6">
        <v>5300</v>
      </c>
      <c r="D33" s="6">
        <v>5300</v>
      </c>
      <c r="E33" s="6">
        <v>1068761</v>
      </c>
      <c r="F33" s="6">
        <v>2323427</v>
      </c>
      <c r="G33" s="6">
        <v>-1254666</v>
      </c>
      <c r="H33" s="6">
        <v>0</v>
      </c>
      <c r="I33" s="6">
        <v>0.29292240000000003</v>
      </c>
      <c r="J33" s="6">
        <v>12835170</v>
      </c>
      <c r="K33" s="6">
        <v>0</v>
      </c>
      <c r="L33" s="6">
        <v>0</v>
      </c>
      <c r="M33" s="6">
        <v>10364760</v>
      </c>
      <c r="N33" s="6">
        <v>3.0554800000000002</v>
      </c>
    </row>
    <row r="34" spans="1:14" x14ac:dyDescent="0.2">
      <c r="A34" s="23" t="s">
        <v>41</v>
      </c>
      <c r="B34" s="5" t="s">
        <v>40</v>
      </c>
      <c r="C34" s="6">
        <v>13000000</v>
      </c>
      <c r="D34" s="6">
        <v>13000000</v>
      </c>
      <c r="E34" s="6">
        <v>54520.46</v>
      </c>
      <c r="F34" s="6">
        <v>54520.46</v>
      </c>
      <c r="G34" s="6">
        <v>0</v>
      </c>
      <c r="H34" s="6">
        <v>0</v>
      </c>
      <c r="I34" s="6">
        <v>0.99992650000000005</v>
      </c>
      <c r="J34" s="6">
        <v>0</v>
      </c>
      <c r="K34" s="6">
        <v>0</v>
      </c>
      <c r="L34" s="6">
        <v>0</v>
      </c>
      <c r="M34" s="6">
        <v>0</v>
      </c>
      <c r="N34" s="6" t="s">
        <v>21</v>
      </c>
    </row>
    <row r="35" spans="1:14" x14ac:dyDescent="0.2">
      <c r="A35" s="25"/>
      <c r="B35" s="5" t="s">
        <v>51</v>
      </c>
      <c r="C35" s="6">
        <v>46768.01</v>
      </c>
      <c r="D35" s="6">
        <v>46768.01</v>
      </c>
      <c r="E35" s="6">
        <v>90325.05</v>
      </c>
      <c r="F35" s="6">
        <v>94362.16</v>
      </c>
      <c r="G35" s="6">
        <v>-4037.1089999999999</v>
      </c>
      <c r="H35" s="6">
        <v>0</v>
      </c>
      <c r="I35" s="6">
        <v>0.39506649999999999</v>
      </c>
      <c r="J35" s="6">
        <v>0</v>
      </c>
      <c r="K35" s="6">
        <v>0</v>
      </c>
      <c r="L35" s="6">
        <v>0</v>
      </c>
      <c r="M35" s="6">
        <v>0</v>
      </c>
      <c r="N35" s="6" t="s">
        <v>21</v>
      </c>
    </row>
    <row r="36" spans="1:14" x14ac:dyDescent="0.2">
      <c r="I36" s="7"/>
      <c r="J36" s="8"/>
      <c r="K36" s="9"/>
    </row>
    <row r="37" spans="1:14" x14ac:dyDescent="0.2">
      <c r="I37" s="10"/>
    </row>
    <row r="38" spans="1:14" x14ac:dyDescent="0.2">
      <c r="I38" s="10"/>
    </row>
  </sheetData>
  <autoFilter ref="A1:N41" xr:uid="{9B4D27E0-A6E7-0A4E-A9C8-EA69BF34BB6E}"/>
  <mergeCells count="5">
    <mergeCell ref="A34:A35"/>
    <mergeCell ref="A2:A21"/>
    <mergeCell ref="A23:A27"/>
    <mergeCell ref="A28:A29"/>
    <mergeCell ref="A30:A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364B-95F3-6542-9C15-C4F497796E61}">
  <dimension ref="A1:N39"/>
  <sheetViews>
    <sheetView topLeftCell="A29" workbookViewId="0">
      <selection activeCell="A33" sqref="A33:N40"/>
    </sheetView>
  </sheetViews>
  <sheetFormatPr baseColWidth="10" defaultColWidth="17" defaultRowHeight="16" x14ac:dyDescent="0.2"/>
  <sheetData>
    <row r="1" spans="1:14" ht="30" x14ac:dyDescent="0.2">
      <c r="A1" s="5"/>
      <c r="B1" s="5"/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</row>
    <row r="2" spans="1:14" x14ac:dyDescent="0.2">
      <c r="A2" s="23" t="s">
        <v>12</v>
      </c>
      <c r="B2" s="5" t="s">
        <v>13</v>
      </c>
      <c r="C2" s="6">
        <v>372.43929000000003</v>
      </c>
      <c r="D2" s="6">
        <v>372.43929000000003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813779.8</v>
      </c>
      <c r="K2" s="6">
        <v>0</v>
      </c>
      <c r="L2" s="6">
        <v>0</v>
      </c>
      <c r="M2" s="6">
        <v>0</v>
      </c>
      <c r="N2" s="6" t="s">
        <v>21</v>
      </c>
    </row>
    <row r="3" spans="1:14" x14ac:dyDescent="0.2">
      <c r="A3" s="24"/>
      <c r="B3" s="5" t="s">
        <v>14</v>
      </c>
      <c r="C3" s="6">
        <v>1642.8915400000001</v>
      </c>
      <c r="D3" s="6">
        <v>1642.8915400000001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3589718</v>
      </c>
      <c r="K3" s="6">
        <v>0</v>
      </c>
      <c r="L3" s="6">
        <v>0</v>
      </c>
      <c r="M3" s="6">
        <v>0</v>
      </c>
      <c r="N3" s="6" t="s">
        <v>21</v>
      </c>
    </row>
    <row r="4" spans="1:14" x14ac:dyDescent="0.2">
      <c r="A4" s="24"/>
      <c r="B4" s="5" t="s">
        <v>15</v>
      </c>
      <c r="C4" s="6">
        <v>9185.8067100000007</v>
      </c>
      <c r="D4" s="6">
        <v>9185.8067100000007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20070990</v>
      </c>
      <c r="K4" s="6">
        <v>0</v>
      </c>
      <c r="L4" s="6">
        <v>0</v>
      </c>
      <c r="M4" s="6">
        <v>0</v>
      </c>
      <c r="N4" s="6" t="s">
        <v>21</v>
      </c>
    </row>
    <row r="5" spans="1:14" ht="30" x14ac:dyDescent="0.2">
      <c r="A5" s="24"/>
      <c r="B5" s="5" t="s">
        <v>16</v>
      </c>
      <c r="C5" s="6">
        <v>23586</v>
      </c>
      <c r="D5" s="6">
        <v>23586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51535410</v>
      </c>
      <c r="K5" s="6">
        <v>0</v>
      </c>
      <c r="L5" s="6">
        <v>0</v>
      </c>
      <c r="M5" s="6">
        <v>0</v>
      </c>
      <c r="N5" s="6" t="s">
        <v>21</v>
      </c>
    </row>
    <row r="6" spans="1:14" ht="30" x14ac:dyDescent="0.2">
      <c r="A6" s="24"/>
      <c r="B6" s="5" t="s">
        <v>42</v>
      </c>
      <c r="C6" s="6">
        <v>3534.0360000000001</v>
      </c>
      <c r="D6" s="6">
        <v>3534.0360000000001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7721869</v>
      </c>
      <c r="K6" s="6">
        <v>0</v>
      </c>
      <c r="L6" s="6">
        <v>0</v>
      </c>
      <c r="M6" s="6">
        <v>0</v>
      </c>
      <c r="N6" s="6" t="s">
        <v>21</v>
      </c>
    </row>
    <row r="7" spans="1:14" x14ac:dyDescent="0.2">
      <c r="A7" s="24"/>
      <c r="B7" s="5" t="s">
        <v>17</v>
      </c>
      <c r="C7" s="6">
        <v>13695</v>
      </c>
      <c r="D7" s="6">
        <v>13695</v>
      </c>
      <c r="E7" s="6">
        <v>3566755</v>
      </c>
      <c r="F7" s="6">
        <v>0</v>
      </c>
      <c r="G7" s="6">
        <v>3566755</v>
      </c>
      <c r="H7" s="6">
        <v>0</v>
      </c>
      <c r="I7" s="6">
        <v>0.119195</v>
      </c>
      <c r="J7" s="6">
        <v>26356820</v>
      </c>
      <c r="K7" s="6">
        <v>0</v>
      </c>
      <c r="L7" s="6">
        <v>40697210</v>
      </c>
      <c r="M7" s="6">
        <v>40697210</v>
      </c>
      <c r="N7" s="6">
        <v>11.41015</v>
      </c>
    </row>
    <row r="8" spans="1:14" x14ac:dyDescent="0.2">
      <c r="A8" s="24"/>
      <c r="B8" s="5" t="s">
        <v>43</v>
      </c>
      <c r="C8" s="6">
        <v>4067.2939999999999</v>
      </c>
      <c r="D8" s="6">
        <v>4067.2939999999999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8887037</v>
      </c>
      <c r="K8" s="6">
        <v>0</v>
      </c>
      <c r="L8" s="6">
        <v>0</v>
      </c>
      <c r="M8" s="6">
        <v>0</v>
      </c>
      <c r="N8" s="6" t="s">
        <v>21</v>
      </c>
    </row>
    <row r="9" spans="1:14" x14ac:dyDescent="0.2">
      <c r="A9" s="24"/>
      <c r="B9" s="5" t="s">
        <v>44</v>
      </c>
      <c r="C9" s="6">
        <v>11</v>
      </c>
      <c r="D9" s="6">
        <v>11</v>
      </c>
      <c r="E9" s="6">
        <v>4643.509</v>
      </c>
      <c r="F9" s="6">
        <v>0</v>
      </c>
      <c r="G9" s="6">
        <v>4643.509</v>
      </c>
      <c r="H9" s="6">
        <v>0</v>
      </c>
      <c r="I9" s="6">
        <v>0.19319800000000001</v>
      </c>
      <c r="J9" s="6">
        <v>19391.490000000002</v>
      </c>
      <c r="K9" s="6">
        <v>0</v>
      </c>
      <c r="L9" s="6">
        <v>57858.12</v>
      </c>
      <c r="M9" s="6">
        <v>99256.85</v>
      </c>
      <c r="N9" s="6">
        <v>21.375356</v>
      </c>
    </row>
    <row r="10" spans="1:14" x14ac:dyDescent="0.2">
      <c r="A10" s="24"/>
      <c r="B10" s="5" t="s">
        <v>18</v>
      </c>
      <c r="C10" s="6">
        <v>834.51107000000002</v>
      </c>
      <c r="D10" s="6">
        <v>834.51107000000002</v>
      </c>
      <c r="E10" s="6">
        <v>1327.7829999999999</v>
      </c>
      <c r="F10" s="6">
        <v>0</v>
      </c>
      <c r="G10" s="6">
        <v>1327.7829999999999</v>
      </c>
      <c r="H10" s="6">
        <v>0</v>
      </c>
      <c r="I10" s="6">
        <v>7.2800000000000002E-4</v>
      </c>
      <c r="J10" s="6">
        <v>1822079</v>
      </c>
      <c r="K10" s="6">
        <v>0</v>
      </c>
      <c r="L10" s="6">
        <v>71700.3</v>
      </c>
      <c r="M10" s="6">
        <v>71876.929999999993</v>
      </c>
      <c r="N10" s="6">
        <v>54.133128999999997</v>
      </c>
    </row>
    <row r="11" spans="1:14" x14ac:dyDescent="0.2">
      <c r="A11" s="24"/>
      <c r="B11" s="5" t="s">
        <v>19</v>
      </c>
      <c r="C11" s="6">
        <v>1897.296</v>
      </c>
      <c r="D11" s="6">
        <v>1897.296</v>
      </c>
      <c r="E11" s="6">
        <v>1408171</v>
      </c>
      <c r="F11" s="6">
        <v>0</v>
      </c>
      <c r="G11" s="6">
        <v>1408171</v>
      </c>
      <c r="H11" s="6">
        <v>0</v>
      </c>
      <c r="I11" s="6">
        <v>0.33967900000000001</v>
      </c>
      <c r="J11" s="6">
        <v>250065.7</v>
      </c>
      <c r="K11" s="6">
        <v>0</v>
      </c>
      <c r="L11" s="6">
        <v>0</v>
      </c>
      <c r="M11" s="6">
        <v>9471836</v>
      </c>
      <c r="N11" s="6">
        <v>6.7263390000000003</v>
      </c>
    </row>
    <row r="12" spans="1:14" x14ac:dyDescent="0.2">
      <c r="A12" s="24"/>
      <c r="B12" s="5" t="s">
        <v>20</v>
      </c>
      <c r="C12" s="6">
        <v>48629.190949999997</v>
      </c>
      <c r="D12" s="6">
        <v>48629.190949999997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52178340</v>
      </c>
      <c r="K12" s="6">
        <v>0</v>
      </c>
      <c r="L12" s="6">
        <v>0</v>
      </c>
      <c r="M12" s="6">
        <v>0</v>
      </c>
      <c r="N12" s="6" t="s">
        <v>21</v>
      </c>
    </row>
    <row r="13" spans="1:14" x14ac:dyDescent="0.2">
      <c r="A13" s="24"/>
      <c r="B13" s="5" t="s">
        <v>45</v>
      </c>
      <c r="C13" s="6">
        <v>254.358</v>
      </c>
      <c r="D13" s="6">
        <v>254.358</v>
      </c>
      <c r="E13" s="6">
        <v>240759.2</v>
      </c>
      <c r="F13" s="6">
        <v>0</v>
      </c>
      <c r="G13" s="6">
        <v>240759.2</v>
      </c>
      <c r="H13" s="6">
        <v>0</v>
      </c>
      <c r="I13" s="6">
        <v>0.43319800000000003</v>
      </c>
      <c r="J13" s="6">
        <v>33010.379999999997</v>
      </c>
      <c r="K13" s="6">
        <v>0</v>
      </c>
      <c r="L13" s="6">
        <v>0</v>
      </c>
      <c r="M13" s="6">
        <v>2000389</v>
      </c>
      <c r="N13" s="6">
        <v>8.3086699999999993</v>
      </c>
    </row>
    <row r="14" spans="1:14" x14ac:dyDescent="0.2">
      <c r="A14" s="24"/>
      <c r="B14" s="5" t="s">
        <v>22</v>
      </c>
      <c r="C14" s="6">
        <v>4570</v>
      </c>
      <c r="D14" s="6">
        <v>4570</v>
      </c>
      <c r="E14" s="6">
        <v>4061032</v>
      </c>
      <c r="F14" s="6">
        <v>0</v>
      </c>
      <c r="G14" s="6">
        <v>4061032</v>
      </c>
      <c r="H14" s="6">
        <v>0</v>
      </c>
      <c r="I14" s="6">
        <v>0.40669499999999997</v>
      </c>
      <c r="J14" s="6">
        <v>5924418</v>
      </c>
      <c r="K14" s="6">
        <v>0</v>
      </c>
      <c r="L14" s="6">
        <v>40610320</v>
      </c>
      <c r="M14" s="6">
        <v>68044500</v>
      </c>
      <c r="N14" s="6">
        <v>16.755471</v>
      </c>
    </row>
    <row r="15" spans="1:14" x14ac:dyDescent="0.2">
      <c r="A15" s="24"/>
      <c r="B15" s="5" t="s">
        <v>23</v>
      </c>
      <c r="C15" s="6">
        <v>53544.201999999997</v>
      </c>
      <c r="D15" s="6">
        <v>53544.201999999997</v>
      </c>
      <c r="E15" s="6">
        <v>25568500</v>
      </c>
      <c r="F15" s="6">
        <v>0</v>
      </c>
      <c r="G15" s="6">
        <v>25568500</v>
      </c>
      <c r="H15" s="6">
        <v>0</v>
      </c>
      <c r="I15" s="6">
        <v>0.21854499999999999</v>
      </c>
      <c r="J15" s="6">
        <v>6546350</v>
      </c>
      <c r="K15" s="6">
        <v>0</v>
      </c>
      <c r="L15" s="6">
        <v>0</v>
      </c>
      <c r="M15" s="6">
        <v>102405100</v>
      </c>
      <c r="N15" s="6">
        <v>4.005128</v>
      </c>
    </row>
    <row r="16" spans="1:14" x14ac:dyDescent="0.2">
      <c r="A16" s="24"/>
      <c r="B16" s="5" t="s">
        <v>24</v>
      </c>
      <c r="C16" s="6">
        <v>78.5</v>
      </c>
      <c r="D16" s="6">
        <v>78.5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171522.5</v>
      </c>
      <c r="K16" s="6">
        <v>0</v>
      </c>
      <c r="L16" s="6">
        <v>0</v>
      </c>
      <c r="M16" s="6">
        <v>0</v>
      </c>
      <c r="N16" s="6" t="s">
        <v>21</v>
      </c>
    </row>
    <row r="17" spans="1:14" x14ac:dyDescent="0.2">
      <c r="A17" s="24"/>
      <c r="B17" s="5" t="s">
        <v>25</v>
      </c>
      <c r="C17" s="6">
        <v>27270.741000000002</v>
      </c>
      <c r="D17" s="6">
        <v>27270.741000000002</v>
      </c>
      <c r="E17" s="6">
        <v>11218600</v>
      </c>
      <c r="F17" s="6">
        <v>0</v>
      </c>
      <c r="G17" s="6">
        <v>11218600</v>
      </c>
      <c r="H17" s="6">
        <v>0</v>
      </c>
      <c r="I17" s="6">
        <v>0.188274</v>
      </c>
      <c r="J17" s="6">
        <v>3116530</v>
      </c>
      <c r="K17" s="6">
        <v>0</v>
      </c>
      <c r="L17" s="6">
        <v>0</v>
      </c>
      <c r="M17" s="6">
        <v>42150350</v>
      </c>
      <c r="N17" s="6">
        <v>3.7571829999999999</v>
      </c>
    </row>
    <row r="18" spans="1:14" ht="30" x14ac:dyDescent="0.2">
      <c r="A18" s="24"/>
      <c r="B18" s="5" t="s">
        <v>26</v>
      </c>
      <c r="C18" s="6">
        <v>3662.89</v>
      </c>
      <c r="D18" s="6">
        <v>3662.89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8003415</v>
      </c>
      <c r="K18" s="6">
        <v>0</v>
      </c>
      <c r="L18" s="6">
        <v>0</v>
      </c>
      <c r="M18" s="6">
        <v>0</v>
      </c>
      <c r="N18" s="6" t="s">
        <v>21</v>
      </c>
    </row>
    <row r="19" spans="1:14" x14ac:dyDescent="0.2">
      <c r="A19" s="24"/>
      <c r="B19" s="5" t="s">
        <v>27</v>
      </c>
      <c r="C19" s="6">
        <v>55.819389999999999</v>
      </c>
      <c r="D19" s="6">
        <v>55.819389999999999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121965.4</v>
      </c>
      <c r="K19" s="6">
        <v>0</v>
      </c>
      <c r="L19" s="6">
        <v>0</v>
      </c>
      <c r="M19" s="6">
        <v>0</v>
      </c>
      <c r="N19" s="6" t="s">
        <v>21</v>
      </c>
    </row>
    <row r="20" spans="1:14" x14ac:dyDescent="0.2">
      <c r="A20" s="24"/>
      <c r="B20" s="5" t="s">
        <v>28</v>
      </c>
      <c r="C20" s="6">
        <v>40470.421999999999</v>
      </c>
      <c r="D20" s="6">
        <v>40470.421999999999</v>
      </c>
      <c r="E20" s="6">
        <v>13215940</v>
      </c>
      <c r="F20" s="6">
        <v>0</v>
      </c>
      <c r="G20" s="6">
        <v>13215940</v>
      </c>
      <c r="H20" s="6">
        <v>0</v>
      </c>
      <c r="I20" s="6">
        <v>0.149455</v>
      </c>
      <c r="J20" s="6">
        <v>1349598</v>
      </c>
      <c r="K20" s="6">
        <v>0</v>
      </c>
      <c r="L20" s="6">
        <v>0</v>
      </c>
      <c r="M20" s="6">
        <v>90278670</v>
      </c>
      <c r="N20" s="6">
        <v>6.8310430000000002</v>
      </c>
    </row>
    <row r="21" spans="1:14" x14ac:dyDescent="0.2">
      <c r="A21" s="25"/>
      <c r="B21" s="5" t="s">
        <v>29</v>
      </c>
      <c r="C21" s="6">
        <v>4643.1779999999999</v>
      </c>
      <c r="D21" s="6">
        <v>4643.1779999999999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10145340</v>
      </c>
      <c r="K21" s="6">
        <v>0</v>
      </c>
      <c r="L21" s="6">
        <v>0</v>
      </c>
      <c r="M21" s="6">
        <v>0</v>
      </c>
      <c r="N21" s="6" t="s">
        <v>21</v>
      </c>
    </row>
    <row r="22" spans="1:14" x14ac:dyDescent="0.2">
      <c r="A22" s="5" t="s">
        <v>46</v>
      </c>
      <c r="B22" s="5" t="s">
        <v>31</v>
      </c>
      <c r="C22" s="6">
        <v>230800</v>
      </c>
      <c r="D22" s="6">
        <v>230800</v>
      </c>
      <c r="E22" s="6">
        <v>35157820</v>
      </c>
      <c r="F22" s="6">
        <v>21433810</v>
      </c>
      <c r="G22" s="6">
        <v>13724010</v>
      </c>
      <c r="H22" s="6">
        <v>-13724010</v>
      </c>
      <c r="I22" s="6">
        <v>0.112219</v>
      </c>
      <c r="J22" s="6">
        <v>0</v>
      </c>
      <c r="K22" s="6">
        <v>0</v>
      </c>
      <c r="L22" s="6">
        <v>0</v>
      </c>
      <c r="M22" s="6">
        <v>134350300</v>
      </c>
      <c r="N22" s="6">
        <v>2.3740299999999999</v>
      </c>
    </row>
    <row r="23" spans="1:14" x14ac:dyDescent="0.2">
      <c r="A23" s="23" t="s">
        <v>30</v>
      </c>
      <c r="B23" s="5" t="s">
        <v>32</v>
      </c>
      <c r="C23" s="6">
        <v>12450</v>
      </c>
      <c r="D23" s="6">
        <v>12450</v>
      </c>
      <c r="E23" s="6">
        <v>9519542</v>
      </c>
      <c r="F23" s="6">
        <v>5861332</v>
      </c>
      <c r="G23" s="6">
        <v>3658210</v>
      </c>
      <c r="H23" s="6">
        <v>-3658210</v>
      </c>
      <c r="I23" s="6">
        <v>0.56540599999999996</v>
      </c>
      <c r="J23" s="6">
        <v>30861460</v>
      </c>
      <c r="K23" s="6">
        <v>0</v>
      </c>
      <c r="L23" s="6">
        <v>0</v>
      </c>
      <c r="M23" s="6">
        <v>70784100</v>
      </c>
      <c r="N23" s="6">
        <v>4.6020859999999999</v>
      </c>
    </row>
    <row r="24" spans="1:14" x14ac:dyDescent="0.2">
      <c r="A24" s="24"/>
      <c r="B24" s="5" t="s">
        <v>47</v>
      </c>
      <c r="C24" s="6">
        <v>3653.0947500000002</v>
      </c>
      <c r="D24" s="6">
        <v>3653.0947500000002</v>
      </c>
      <c r="E24" s="6">
        <v>0</v>
      </c>
      <c r="F24" s="6">
        <v>136224.79999999999</v>
      </c>
      <c r="G24" s="6">
        <v>-136224.79999999999</v>
      </c>
      <c r="H24" s="6">
        <v>0</v>
      </c>
      <c r="I24" s="6">
        <v>1.7066000000000001E-2</v>
      </c>
      <c r="J24" s="6">
        <v>7845787</v>
      </c>
      <c r="K24" s="6">
        <v>0</v>
      </c>
      <c r="L24" s="6">
        <v>0</v>
      </c>
      <c r="M24" s="6">
        <v>0</v>
      </c>
      <c r="N24" s="6" t="s">
        <v>21</v>
      </c>
    </row>
    <row r="25" spans="1:14" x14ac:dyDescent="0.2">
      <c r="A25" s="25"/>
      <c r="B25" s="5" t="s">
        <v>48</v>
      </c>
      <c r="C25" s="6">
        <v>278.38099999999997</v>
      </c>
      <c r="D25" s="6">
        <v>278.38099999999997</v>
      </c>
      <c r="E25" s="6">
        <v>0</v>
      </c>
      <c r="F25" s="6">
        <v>87637.66</v>
      </c>
      <c r="G25" s="6">
        <v>-87637.66</v>
      </c>
      <c r="H25" s="6">
        <v>0</v>
      </c>
      <c r="I25" s="6">
        <v>0.14407900000000001</v>
      </c>
      <c r="J25" s="6">
        <v>520624.8</v>
      </c>
      <c r="K25" s="6">
        <v>0</v>
      </c>
      <c r="L25" s="6">
        <v>438188.3</v>
      </c>
      <c r="M25" s="6">
        <v>0</v>
      </c>
      <c r="N25" s="6" t="s">
        <v>21</v>
      </c>
    </row>
    <row r="26" spans="1:14" x14ac:dyDescent="0.2">
      <c r="A26" s="23" t="s">
        <v>34</v>
      </c>
      <c r="B26" s="5" t="s">
        <v>35</v>
      </c>
      <c r="C26" s="6">
        <v>0</v>
      </c>
      <c r="D26" s="6">
        <v>0</v>
      </c>
      <c r="E26" s="6">
        <v>0</v>
      </c>
      <c r="F26" s="6">
        <v>1877543</v>
      </c>
      <c r="G26" s="6">
        <v>-1877543</v>
      </c>
      <c r="H26" s="6">
        <v>0</v>
      </c>
      <c r="I26" s="6" t="s">
        <v>21</v>
      </c>
      <c r="J26" s="6">
        <v>0</v>
      </c>
      <c r="K26" s="6">
        <v>0</v>
      </c>
      <c r="L26" s="6">
        <v>0</v>
      </c>
      <c r="M26" s="6">
        <v>-14118940</v>
      </c>
      <c r="N26" s="6">
        <v>-7.5199040000000004</v>
      </c>
    </row>
    <row r="27" spans="1:14" x14ac:dyDescent="0.2">
      <c r="A27" s="25"/>
      <c r="B27" s="5" t="s">
        <v>36</v>
      </c>
      <c r="C27" s="6">
        <v>0</v>
      </c>
      <c r="D27" s="6">
        <v>0</v>
      </c>
      <c r="E27" s="6">
        <v>0</v>
      </c>
      <c r="F27" s="6">
        <v>52178340</v>
      </c>
      <c r="G27" s="6">
        <v>-52178340</v>
      </c>
      <c r="H27" s="6">
        <v>0</v>
      </c>
      <c r="I27" s="6" t="s">
        <v>21</v>
      </c>
      <c r="J27" s="6">
        <v>0</v>
      </c>
      <c r="K27" s="6">
        <v>0</v>
      </c>
      <c r="L27" s="6">
        <v>0</v>
      </c>
      <c r="M27" s="6">
        <v>-411891500</v>
      </c>
      <c r="N27" s="6">
        <v>-7.8939170000000001</v>
      </c>
    </row>
    <row r="28" spans="1:14" x14ac:dyDescent="0.2">
      <c r="A28" s="23" t="s">
        <v>37</v>
      </c>
      <c r="B28" s="5" t="s">
        <v>38</v>
      </c>
      <c r="C28" s="6">
        <v>26471.973000000002</v>
      </c>
      <c r="D28" s="6">
        <v>26471.973000000002</v>
      </c>
      <c r="E28" s="6">
        <v>2416534</v>
      </c>
      <c r="F28" s="6">
        <v>5877705</v>
      </c>
      <c r="G28" s="6">
        <v>-3461171</v>
      </c>
      <c r="H28" s="6">
        <v>0</v>
      </c>
      <c r="I28" s="6">
        <v>0.143397</v>
      </c>
      <c r="J28" s="6">
        <v>61302430</v>
      </c>
      <c r="K28" s="6">
        <v>0</v>
      </c>
      <c r="L28" s="6">
        <v>0</v>
      </c>
      <c r="M28" s="6">
        <v>16741690</v>
      </c>
      <c r="N28" s="6">
        <v>2.018472</v>
      </c>
    </row>
    <row r="29" spans="1:14" ht="30" x14ac:dyDescent="0.2">
      <c r="A29" s="24"/>
      <c r="B29" s="5" t="s">
        <v>49</v>
      </c>
      <c r="C29" s="6">
        <v>857.70799999999997</v>
      </c>
      <c r="D29" s="6">
        <v>857.70799999999997</v>
      </c>
      <c r="E29" s="6">
        <v>128495.8</v>
      </c>
      <c r="F29" s="6">
        <v>261838</v>
      </c>
      <c r="G29" s="6">
        <v>-133342.20000000001</v>
      </c>
      <c r="H29" s="6">
        <v>0</v>
      </c>
      <c r="I29" s="6">
        <v>0.20827899999999999</v>
      </c>
      <c r="J29" s="6">
        <v>2007434</v>
      </c>
      <c r="K29" s="6">
        <v>0</v>
      </c>
      <c r="L29" s="6">
        <v>0</v>
      </c>
      <c r="M29" s="6">
        <v>548921.5</v>
      </c>
      <c r="N29" s="6">
        <v>1.406288</v>
      </c>
    </row>
    <row r="30" spans="1:14" ht="30" x14ac:dyDescent="0.2">
      <c r="A30" s="24"/>
      <c r="B30" s="5" t="s">
        <v>50</v>
      </c>
      <c r="C30" s="6">
        <v>457.99400000000003</v>
      </c>
      <c r="D30" s="6">
        <v>457.99400000000003</v>
      </c>
      <c r="E30" s="6">
        <v>29950.11</v>
      </c>
      <c r="F30" s="6">
        <v>248405.2</v>
      </c>
      <c r="G30" s="6">
        <v>-218455.1</v>
      </c>
      <c r="H30" s="6">
        <v>0</v>
      </c>
      <c r="I30" s="6">
        <v>0.27815600000000001</v>
      </c>
      <c r="J30" s="6">
        <v>1219172</v>
      </c>
      <c r="K30" s="6">
        <v>0</v>
      </c>
      <c r="L30" s="6">
        <v>0</v>
      </c>
      <c r="M30" s="6">
        <v>549749.4</v>
      </c>
      <c r="N30" s="6">
        <v>1.9749909999999999</v>
      </c>
    </row>
    <row r="31" spans="1:14" ht="30" x14ac:dyDescent="0.2">
      <c r="A31" s="25"/>
      <c r="B31" s="5" t="s">
        <v>39</v>
      </c>
      <c r="C31" s="6">
        <v>5300</v>
      </c>
      <c r="D31" s="6">
        <v>5300</v>
      </c>
      <c r="E31" s="6">
        <v>812898.6</v>
      </c>
      <c r="F31" s="6">
        <v>2228834</v>
      </c>
      <c r="G31" s="6">
        <v>-1415935</v>
      </c>
      <c r="H31" s="6">
        <v>0</v>
      </c>
      <c r="I31" s="6">
        <v>0.26266</v>
      </c>
      <c r="J31" s="6">
        <v>12996440</v>
      </c>
      <c r="K31" s="6">
        <v>0</v>
      </c>
      <c r="L31" s="6">
        <v>0</v>
      </c>
      <c r="M31" s="6">
        <v>10545950</v>
      </c>
      <c r="N31" s="6">
        <v>3.4670860000000001</v>
      </c>
    </row>
    <row r="32" spans="1:14" x14ac:dyDescent="0.2">
      <c r="A32" s="5" t="s">
        <v>41</v>
      </c>
      <c r="B32" s="5" t="s">
        <v>51</v>
      </c>
      <c r="C32" s="6">
        <v>46768.008000000002</v>
      </c>
      <c r="D32" s="6">
        <v>46768.008000000002</v>
      </c>
      <c r="E32" s="6">
        <v>86234.67</v>
      </c>
      <c r="F32" s="6">
        <v>93954.4</v>
      </c>
      <c r="G32" s="6">
        <v>-7719.7250000000004</v>
      </c>
      <c r="H32" s="6">
        <v>0</v>
      </c>
      <c r="I32" s="6">
        <v>0.75544299999999998</v>
      </c>
      <c r="J32" s="6">
        <v>0</v>
      </c>
      <c r="K32" s="6">
        <v>0</v>
      </c>
      <c r="L32" s="6">
        <v>0</v>
      </c>
      <c r="M32" s="6">
        <v>0</v>
      </c>
      <c r="N32" s="6" t="s">
        <v>21</v>
      </c>
    </row>
    <row r="33" spans="1:14" x14ac:dyDescent="0.2">
      <c r="A33" s="4"/>
      <c r="B33" s="4"/>
      <c r="C33" s="4"/>
      <c r="D33" s="4"/>
      <c r="E33" s="4"/>
      <c r="F33" s="4"/>
      <c r="G33" s="4"/>
      <c r="H33" s="4"/>
      <c r="I33" s="7"/>
      <c r="J33" s="8"/>
      <c r="K33" s="9"/>
      <c r="L33" s="4"/>
      <c r="M33" s="4"/>
      <c r="N33" s="4"/>
    </row>
    <row r="34" spans="1:14" x14ac:dyDescent="0.2">
      <c r="A34" s="4"/>
      <c r="B34" s="4"/>
      <c r="C34" s="4"/>
      <c r="D34" s="4"/>
      <c r="E34" s="4"/>
      <c r="F34" s="4"/>
      <c r="G34" s="4"/>
      <c r="H34" s="4"/>
      <c r="I34" s="10"/>
      <c r="J34" s="4"/>
      <c r="K34" s="4"/>
      <c r="L34" s="4"/>
      <c r="M34" s="4"/>
      <c r="N34" s="4"/>
    </row>
    <row r="35" spans="1:14" x14ac:dyDescent="0.2">
      <c r="A35" s="4"/>
      <c r="B35" s="4"/>
      <c r="C35" s="4"/>
      <c r="D35" s="4"/>
      <c r="E35" s="4"/>
      <c r="F35" s="4"/>
      <c r="G35" s="4"/>
      <c r="H35" s="4"/>
      <c r="I35" s="10"/>
      <c r="J35" s="4"/>
      <c r="K35" s="4"/>
      <c r="L35" s="4"/>
      <c r="M35" s="4"/>
      <c r="N35" s="4"/>
    </row>
    <row r="36" spans="1:14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</sheetData>
  <autoFilter ref="A1:N32" xr:uid="{EBEC364B-95F3-6542-9C15-C4F497796E61}"/>
  <mergeCells count="4">
    <mergeCell ref="A2:A21"/>
    <mergeCell ref="A23:A25"/>
    <mergeCell ref="A26:A27"/>
    <mergeCell ref="A28:A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74B8-0E53-9B43-9477-B2EF63DFEB1F}">
  <dimension ref="A1:N40"/>
  <sheetViews>
    <sheetView topLeftCell="A17" workbookViewId="0">
      <selection activeCell="G39" sqref="G39"/>
    </sheetView>
  </sheetViews>
  <sheetFormatPr baseColWidth="10" defaultColWidth="17" defaultRowHeight="16" x14ac:dyDescent="0.2"/>
  <cols>
    <col min="1" max="16384" width="17" style="4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26" t="s">
        <v>12</v>
      </c>
      <c r="B2" s="1" t="s">
        <v>13</v>
      </c>
      <c r="C2" s="2">
        <v>372.4393</v>
      </c>
      <c r="D2" s="2">
        <v>372.4393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813779.8</v>
      </c>
      <c r="K2" s="3">
        <v>0</v>
      </c>
      <c r="L2" s="2">
        <v>0</v>
      </c>
      <c r="M2" s="2">
        <v>0</v>
      </c>
      <c r="N2" s="3" t="s">
        <v>21</v>
      </c>
    </row>
    <row r="3" spans="1:14" x14ac:dyDescent="0.2">
      <c r="A3" s="28"/>
      <c r="B3" s="1" t="s">
        <v>14</v>
      </c>
      <c r="C3" s="2">
        <v>1642.8920000000001</v>
      </c>
      <c r="D3" s="2">
        <v>1642.8920000000001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3589718</v>
      </c>
      <c r="K3" s="3">
        <v>0</v>
      </c>
      <c r="L3" s="2">
        <v>0</v>
      </c>
      <c r="M3" s="2">
        <v>0</v>
      </c>
      <c r="N3" s="3" t="s">
        <v>21</v>
      </c>
    </row>
    <row r="4" spans="1:14" x14ac:dyDescent="0.2">
      <c r="A4" s="28"/>
      <c r="B4" s="1" t="s">
        <v>15</v>
      </c>
      <c r="C4" s="2">
        <v>9185.8070000000007</v>
      </c>
      <c r="D4" s="2">
        <v>9185.8070000000007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20070990</v>
      </c>
      <c r="K4" s="3">
        <v>0</v>
      </c>
      <c r="L4" s="2">
        <v>0</v>
      </c>
      <c r="M4" s="2">
        <v>0</v>
      </c>
      <c r="N4" s="3" t="s">
        <v>21</v>
      </c>
    </row>
    <row r="5" spans="1:14" ht="30" x14ac:dyDescent="0.2">
      <c r="A5" s="28"/>
      <c r="B5" s="1" t="s">
        <v>16</v>
      </c>
      <c r="C5" s="2">
        <v>23586</v>
      </c>
      <c r="D5" s="2">
        <v>23586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51535410</v>
      </c>
      <c r="K5" s="3">
        <v>0</v>
      </c>
      <c r="L5" s="2">
        <v>0</v>
      </c>
      <c r="M5" s="2">
        <v>0</v>
      </c>
      <c r="N5" s="3" t="s">
        <v>21</v>
      </c>
    </row>
    <row r="6" spans="1:14" ht="30" x14ac:dyDescent="0.2">
      <c r="A6" s="28"/>
      <c r="B6" s="1" t="s">
        <v>42</v>
      </c>
      <c r="C6" s="2">
        <v>3534.0360000000001</v>
      </c>
      <c r="D6" s="2">
        <v>3534.0360000000001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7721869</v>
      </c>
      <c r="K6" s="3">
        <v>0</v>
      </c>
      <c r="L6" s="2">
        <v>0</v>
      </c>
      <c r="M6" s="2">
        <v>0</v>
      </c>
      <c r="N6" s="3" t="s">
        <v>21</v>
      </c>
    </row>
    <row r="7" spans="1:14" x14ac:dyDescent="0.2">
      <c r="A7" s="28"/>
      <c r="B7" s="1" t="s">
        <v>17</v>
      </c>
      <c r="C7" s="2">
        <v>13695</v>
      </c>
      <c r="D7" s="2">
        <v>13695</v>
      </c>
      <c r="E7" s="2">
        <v>3512719</v>
      </c>
      <c r="F7" s="2">
        <v>0</v>
      </c>
      <c r="G7" s="2">
        <v>3512719</v>
      </c>
      <c r="H7" s="2">
        <v>0</v>
      </c>
      <c r="I7" s="2">
        <v>0.1173897</v>
      </c>
      <c r="J7" s="2">
        <v>26410860</v>
      </c>
      <c r="K7" s="3">
        <v>0</v>
      </c>
      <c r="L7" s="2">
        <v>39740210</v>
      </c>
      <c r="M7" s="2">
        <v>39740210</v>
      </c>
      <c r="N7" s="3">
        <v>11.313233</v>
      </c>
    </row>
    <row r="8" spans="1:14" x14ac:dyDescent="0.2">
      <c r="A8" s="28"/>
      <c r="B8" s="1" t="s">
        <v>43</v>
      </c>
      <c r="C8" s="2">
        <v>4067.2939999999999</v>
      </c>
      <c r="D8" s="2">
        <v>4067.2939999999999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8887037</v>
      </c>
      <c r="K8" s="3">
        <v>0</v>
      </c>
      <c r="L8" s="2">
        <v>0</v>
      </c>
      <c r="M8" s="2">
        <v>0</v>
      </c>
      <c r="N8" s="3" t="s">
        <v>21</v>
      </c>
    </row>
    <row r="9" spans="1:14" x14ac:dyDescent="0.2">
      <c r="A9" s="28"/>
      <c r="B9" s="1" t="s">
        <v>44</v>
      </c>
      <c r="C9" s="2">
        <v>11</v>
      </c>
      <c r="D9" s="2">
        <v>11</v>
      </c>
      <c r="E9" s="2">
        <v>4564.6790000000001</v>
      </c>
      <c r="F9" s="2">
        <v>0</v>
      </c>
      <c r="G9" s="2">
        <v>4564.6790000000001</v>
      </c>
      <c r="H9" s="2">
        <v>0</v>
      </c>
      <c r="I9" s="2">
        <v>0.18991820000000001</v>
      </c>
      <c r="J9" s="2">
        <v>19470.32</v>
      </c>
      <c r="K9" s="3">
        <v>0</v>
      </c>
      <c r="L9" s="2">
        <v>56875.9</v>
      </c>
      <c r="M9" s="2">
        <v>97186.44</v>
      </c>
      <c r="N9" s="3">
        <v>21.290948</v>
      </c>
    </row>
    <row r="10" spans="1:14" x14ac:dyDescent="0.2">
      <c r="A10" s="28"/>
      <c r="B10" s="1" t="s">
        <v>18</v>
      </c>
      <c r="C10" s="2">
        <v>834.51110000000006</v>
      </c>
      <c r="D10" s="2">
        <v>834.51110000000006</v>
      </c>
      <c r="E10" s="2">
        <v>37.805959999999999</v>
      </c>
      <c r="F10" s="2">
        <v>0</v>
      </c>
      <c r="G10" s="2">
        <v>37.805959999999999</v>
      </c>
      <c r="H10" s="2">
        <v>0</v>
      </c>
      <c r="I10" s="2">
        <v>2.0730700000000001E-5</v>
      </c>
      <c r="J10" s="2">
        <v>1823369</v>
      </c>
      <c r="K10" s="3">
        <v>0</v>
      </c>
      <c r="L10" s="2">
        <v>2041.5219999999999</v>
      </c>
      <c r="M10" s="2">
        <v>2152.4699999999998</v>
      </c>
      <c r="N10" s="3">
        <v>56.942774999999997</v>
      </c>
    </row>
    <row r="11" spans="1:14" x14ac:dyDescent="0.2">
      <c r="A11" s="28"/>
      <c r="B11" s="1" t="s">
        <v>19</v>
      </c>
      <c r="C11" s="2">
        <v>1897.296</v>
      </c>
      <c r="D11" s="2">
        <v>1897.296</v>
      </c>
      <c r="E11" s="2">
        <v>1397603</v>
      </c>
      <c r="F11" s="2">
        <v>0</v>
      </c>
      <c r="G11" s="2">
        <v>1397603</v>
      </c>
      <c r="H11" s="2">
        <v>0</v>
      </c>
      <c r="I11" s="2">
        <v>0.33712989999999998</v>
      </c>
      <c r="J11" s="2">
        <v>260633.9</v>
      </c>
      <c r="K11" s="3">
        <v>0</v>
      </c>
      <c r="L11" s="2">
        <v>0</v>
      </c>
      <c r="M11" s="2">
        <v>9282304</v>
      </c>
      <c r="N11" s="3">
        <v>6.6415889999999997</v>
      </c>
    </row>
    <row r="12" spans="1:14" x14ac:dyDescent="0.2">
      <c r="A12" s="28"/>
      <c r="B12" s="1" t="s">
        <v>20</v>
      </c>
      <c r="C12" s="2">
        <v>48629.19</v>
      </c>
      <c r="D12" s="2">
        <v>48629.19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52178340</v>
      </c>
      <c r="K12" s="3">
        <v>0</v>
      </c>
      <c r="L12" s="2">
        <v>0</v>
      </c>
      <c r="M12" s="2">
        <v>0</v>
      </c>
      <c r="N12" s="3" t="s">
        <v>21</v>
      </c>
    </row>
    <row r="13" spans="1:14" x14ac:dyDescent="0.2">
      <c r="A13" s="28"/>
      <c r="B13" s="1" t="s">
        <v>45</v>
      </c>
      <c r="C13" s="2">
        <v>254.358</v>
      </c>
      <c r="D13" s="2">
        <v>254.358</v>
      </c>
      <c r="E13" s="2">
        <v>239523.5</v>
      </c>
      <c r="F13" s="2">
        <v>0</v>
      </c>
      <c r="G13" s="2">
        <v>239523.5</v>
      </c>
      <c r="H13" s="2">
        <v>0</v>
      </c>
      <c r="I13" s="2">
        <v>0.43097410000000003</v>
      </c>
      <c r="J13" s="2">
        <v>34246.1</v>
      </c>
      <c r="K13" s="3">
        <v>0</v>
      </c>
      <c r="L13" s="2">
        <v>0</v>
      </c>
      <c r="M13" s="2">
        <v>1973243</v>
      </c>
      <c r="N13" s="3">
        <v>8.2382050000000007</v>
      </c>
    </row>
    <row r="14" spans="1:14" x14ac:dyDescent="0.2">
      <c r="A14" s="28"/>
      <c r="B14" s="1" t="s">
        <v>22</v>
      </c>
      <c r="C14" s="2">
        <v>4570</v>
      </c>
      <c r="D14" s="2">
        <v>4570</v>
      </c>
      <c r="E14" s="2">
        <v>4026737</v>
      </c>
      <c r="F14" s="2">
        <v>0</v>
      </c>
      <c r="G14" s="2">
        <v>4026737</v>
      </c>
      <c r="H14" s="2">
        <v>0</v>
      </c>
      <c r="I14" s="2">
        <v>0.40326040000000002</v>
      </c>
      <c r="J14" s="2">
        <v>5958713</v>
      </c>
      <c r="K14" s="3">
        <v>0</v>
      </c>
      <c r="L14" s="2">
        <v>40267370</v>
      </c>
      <c r="M14" s="2">
        <v>67153380</v>
      </c>
      <c r="N14" s="3">
        <v>16.676874999999999</v>
      </c>
    </row>
    <row r="15" spans="1:14" x14ac:dyDescent="0.2">
      <c r="A15" s="28"/>
      <c r="B15" s="1" t="s">
        <v>23</v>
      </c>
      <c r="C15" s="2">
        <v>53544.2</v>
      </c>
      <c r="D15" s="2">
        <v>53544.2</v>
      </c>
      <c r="E15" s="2">
        <v>25259670</v>
      </c>
      <c r="F15" s="2">
        <v>0</v>
      </c>
      <c r="G15" s="2">
        <v>25259670</v>
      </c>
      <c r="H15" s="2">
        <v>0</v>
      </c>
      <c r="I15" s="2">
        <v>0.2159055</v>
      </c>
      <c r="J15" s="2">
        <v>6855179</v>
      </c>
      <c r="K15" s="3">
        <v>0</v>
      </c>
      <c r="L15" s="2">
        <v>0</v>
      </c>
      <c r="M15" s="2">
        <v>101261700</v>
      </c>
      <c r="N15" s="3">
        <v>4.0088290000000004</v>
      </c>
    </row>
    <row r="16" spans="1:14" x14ac:dyDescent="0.2">
      <c r="A16" s="28"/>
      <c r="B16" s="1" t="s">
        <v>24</v>
      </c>
      <c r="C16" s="2">
        <v>78.5</v>
      </c>
      <c r="D16" s="2">
        <v>78.5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171522.5</v>
      </c>
      <c r="K16" s="3">
        <v>0</v>
      </c>
      <c r="L16" s="2">
        <v>0</v>
      </c>
      <c r="M16" s="2">
        <v>0</v>
      </c>
      <c r="N16" s="3" t="s">
        <v>21</v>
      </c>
    </row>
    <row r="17" spans="1:14" x14ac:dyDescent="0.2">
      <c r="A17" s="28"/>
      <c r="B17" s="1" t="s">
        <v>25</v>
      </c>
      <c r="C17" s="2">
        <v>27270.74</v>
      </c>
      <c r="D17" s="2">
        <v>27270.74</v>
      </c>
      <c r="E17" s="2">
        <v>11256640</v>
      </c>
      <c r="F17" s="2">
        <v>0</v>
      </c>
      <c r="G17" s="2">
        <v>11256640</v>
      </c>
      <c r="H17" s="2">
        <v>0</v>
      </c>
      <c r="I17" s="2">
        <v>0.18891230000000001</v>
      </c>
      <c r="J17" s="2">
        <v>3078499</v>
      </c>
      <c r="K17" s="3">
        <v>0</v>
      </c>
      <c r="L17" s="2">
        <v>0</v>
      </c>
      <c r="M17" s="2">
        <v>41619570</v>
      </c>
      <c r="N17" s="3">
        <v>3.6973370000000001</v>
      </c>
    </row>
    <row r="18" spans="1:14" ht="30" x14ac:dyDescent="0.2">
      <c r="A18" s="28"/>
      <c r="B18" s="1" t="s">
        <v>26</v>
      </c>
      <c r="C18" s="2">
        <v>3662.89</v>
      </c>
      <c r="D18" s="2">
        <v>3662.89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8003415</v>
      </c>
      <c r="K18" s="3">
        <v>0</v>
      </c>
      <c r="L18" s="2">
        <v>0</v>
      </c>
      <c r="M18" s="2">
        <v>0</v>
      </c>
      <c r="N18" s="3" t="s">
        <v>21</v>
      </c>
    </row>
    <row r="19" spans="1:14" x14ac:dyDescent="0.2">
      <c r="A19" s="28"/>
      <c r="B19" s="1" t="s">
        <v>27</v>
      </c>
      <c r="C19" s="2">
        <v>55.819389999999999</v>
      </c>
      <c r="D19" s="2">
        <v>55.819389999999999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121965.4</v>
      </c>
      <c r="K19" s="3">
        <v>0</v>
      </c>
      <c r="L19" s="2">
        <v>0</v>
      </c>
      <c r="M19" s="2">
        <v>0</v>
      </c>
      <c r="N19" s="3" t="s">
        <v>21</v>
      </c>
    </row>
    <row r="20" spans="1:14" x14ac:dyDescent="0.2">
      <c r="A20" s="28"/>
      <c r="B20" s="1" t="s">
        <v>28</v>
      </c>
      <c r="C20" s="2">
        <v>40470.42</v>
      </c>
      <c r="D20" s="2">
        <v>40470.42</v>
      </c>
      <c r="E20" s="2">
        <v>13185300</v>
      </c>
      <c r="F20" s="2">
        <v>0</v>
      </c>
      <c r="G20" s="2">
        <v>13185300</v>
      </c>
      <c r="H20" s="2">
        <v>0</v>
      </c>
      <c r="I20" s="2">
        <v>0.14910799999999999</v>
      </c>
      <c r="J20" s="2">
        <v>1380241</v>
      </c>
      <c r="K20" s="3">
        <v>0</v>
      </c>
      <c r="L20" s="2">
        <v>0</v>
      </c>
      <c r="M20" s="2">
        <v>89510120</v>
      </c>
      <c r="N20" s="3">
        <v>6.7886290000000002</v>
      </c>
    </row>
    <row r="21" spans="1:14" x14ac:dyDescent="0.2">
      <c r="A21" s="27"/>
      <c r="B21" s="1" t="s">
        <v>29</v>
      </c>
      <c r="C21" s="2">
        <v>4643.1779999999999</v>
      </c>
      <c r="D21" s="2">
        <v>4643.1779999999999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10145340</v>
      </c>
      <c r="K21" s="3">
        <v>0</v>
      </c>
      <c r="L21" s="2">
        <v>0</v>
      </c>
      <c r="M21" s="2">
        <v>0</v>
      </c>
      <c r="N21" s="3" t="s">
        <v>21</v>
      </c>
    </row>
    <row r="22" spans="1:14" x14ac:dyDescent="0.2">
      <c r="A22" s="1" t="s">
        <v>46</v>
      </c>
      <c r="B22" s="1" t="s">
        <v>31</v>
      </c>
      <c r="C22" s="2">
        <v>230800</v>
      </c>
      <c r="D22" s="2">
        <v>230800</v>
      </c>
      <c r="E22" s="2">
        <v>34744710</v>
      </c>
      <c r="F22" s="2">
        <v>21585590</v>
      </c>
      <c r="G22" s="2">
        <v>13159120</v>
      </c>
      <c r="H22" s="2">
        <v>-13159120</v>
      </c>
      <c r="I22" s="2">
        <v>0.11170040000000001</v>
      </c>
      <c r="J22" s="2">
        <v>0</v>
      </c>
      <c r="K22" s="3">
        <v>0</v>
      </c>
      <c r="L22" s="2">
        <v>0</v>
      </c>
      <c r="M22" s="2">
        <v>128675900</v>
      </c>
      <c r="N22" s="3">
        <v>2.2843110000000002</v>
      </c>
    </row>
    <row r="23" spans="1:14" x14ac:dyDescent="0.2">
      <c r="A23" s="26" t="s">
        <v>30</v>
      </c>
      <c r="B23" s="1" t="s">
        <v>32</v>
      </c>
      <c r="C23" s="2">
        <v>12450</v>
      </c>
      <c r="D23" s="2">
        <v>12450</v>
      </c>
      <c r="E23" s="2">
        <v>9519372</v>
      </c>
      <c r="F23" s="2">
        <v>5916583</v>
      </c>
      <c r="G23" s="2">
        <v>3602789</v>
      </c>
      <c r="H23" s="2">
        <v>-3602789</v>
      </c>
      <c r="I23" s="2">
        <v>0.56743060000000001</v>
      </c>
      <c r="J23" s="2">
        <v>30806040</v>
      </c>
      <c r="K23" s="3">
        <v>0</v>
      </c>
      <c r="L23" s="2">
        <v>0</v>
      </c>
      <c r="M23" s="2">
        <v>69208700</v>
      </c>
      <c r="N23" s="3">
        <v>4.4836039999999997</v>
      </c>
    </row>
    <row r="24" spans="1:14" x14ac:dyDescent="0.2">
      <c r="A24" s="28"/>
      <c r="B24" s="1" t="s">
        <v>40</v>
      </c>
      <c r="C24" s="2">
        <v>26000000</v>
      </c>
      <c r="D24" s="2">
        <v>26000000</v>
      </c>
      <c r="E24" s="2">
        <v>0</v>
      </c>
      <c r="F24" s="2">
        <v>167658.1</v>
      </c>
      <c r="G24" s="2">
        <v>-167658.1</v>
      </c>
      <c r="H24" s="2">
        <v>0</v>
      </c>
      <c r="I24" s="2">
        <v>2.9512070000000002E-6</v>
      </c>
      <c r="J24" s="2">
        <v>56809830000</v>
      </c>
      <c r="K24" s="3">
        <v>0</v>
      </c>
      <c r="L24" s="2">
        <v>1.67658</v>
      </c>
      <c r="M24" s="2">
        <v>-234292.9</v>
      </c>
      <c r="N24" s="3">
        <v>-1.397445</v>
      </c>
    </row>
    <row r="25" spans="1:14" x14ac:dyDescent="0.2">
      <c r="A25" s="28"/>
      <c r="B25" s="1" t="s">
        <v>47</v>
      </c>
      <c r="C25" s="2">
        <v>3653.0949999999998</v>
      </c>
      <c r="D25" s="2">
        <v>3653.0949999999998</v>
      </c>
      <c r="E25" s="2">
        <v>0</v>
      </c>
      <c r="F25" s="2">
        <v>125107.8</v>
      </c>
      <c r="G25" s="2">
        <v>-125107.8</v>
      </c>
      <c r="H25" s="2">
        <v>0</v>
      </c>
      <c r="I25" s="2">
        <v>1.567371E-2</v>
      </c>
      <c r="J25" s="2">
        <v>7856904</v>
      </c>
      <c r="K25" s="3">
        <v>0</v>
      </c>
      <c r="L25" s="2">
        <v>0</v>
      </c>
      <c r="M25" s="2">
        <v>0</v>
      </c>
      <c r="N25" s="3" t="s">
        <v>21</v>
      </c>
    </row>
    <row r="26" spans="1:14" x14ac:dyDescent="0.2">
      <c r="A26" s="28"/>
      <c r="B26" s="1" t="s">
        <v>48</v>
      </c>
      <c r="C26" s="2">
        <v>278.38099999999997</v>
      </c>
      <c r="D26" s="2">
        <v>278.38099999999997</v>
      </c>
      <c r="E26" s="2">
        <v>0</v>
      </c>
      <c r="F26" s="2">
        <v>84067.95</v>
      </c>
      <c r="G26" s="2">
        <v>-84067.95</v>
      </c>
      <c r="H26" s="2">
        <v>0</v>
      </c>
      <c r="I26" s="2">
        <v>0.13821</v>
      </c>
      <c r="J26" s="2">
        <v>524194.5</v>
      </c>
      <c r="K26" s="3">
        <v>0</v>
      </c>
      <c r="L26" s="2">
        <v>420339.7</v>
      </c>
      <c r="M26" s="2">
        <v>0</v>
      </c>
      <c r="N26" s="3" t="s">
        <v>21</v>
      </c>
    </row>
    <row r="27" spans="1:14" x14ac:dyDescent="0.2">
      <c r="A27" s="27"/>
      <c r="B27" s="1" t="s">
        <v>33</v>
      </c>
      <c r="C27" s="2">
        <v>156000000</v>
      </c>
      <c r="D27" s="2">
        <v>156000000</v>
      </c>
      <c r="E27" s="2">
        <v>0</v>
      </c>
      <c r="F27" s="2">
        <v>16869.5</v>
      </c>
      <c r="G27" s="2">
        <v>-16869.5</v>
      </c>
      <c r="H27" s="2">
        <v>16869.5</v>
      </c>
      <c r="I27" s="2">
        <v>4.9490959999999997E-8</v>
      </c>
      <c r="J27" s="2">
        <v>340860000000</v>
      </c>
      <c r="K27" s="3">
        <v>0</v>
      </c>
      <c r="L27" s="2">
        <v>0.16869000000000001</v>
      </c>
      <c r="M27" s="2">
        <v>-33755.360000000001</v>
      </c>
      <c r="N27" s="3">
        <v>-2.0009709999999998</v>
      </c>
    </row>
    <row r="28" spans="1:14" x14ac:dyDescent="0.2">
      <c r="A28" s="26" t="s">
        <v>34</v>
      </c>
      <c r="B28" s="1" t="s">
        <v>35</v>
      </c>
      <c r="C28" s="2">
        <v>0</v>
      </c>
      <c r="D28" s="2">
        <v>0</v>
      </c>
      <c r="E28" s="2">
        <v>0</v>
      </c>
      <c r="F28" s="2">
        <v>1877543</v>
      </c>
      <c r="G28" s="2">
        <v>-1877543</v>
      </c>
      <c r="H28" s="2">
        <v>0</v>
      </c>
      <c r="I28" s="3" t="s">
        <v>21</v>
      </c>
      <c r="J28" s="2">
        <v>0</v>
      </c>
      <c r="K28" s="3">
        <v>0</v>
      </c>
      <c r="L28" s="2">
        <v>0</v>
      </c>
      <c r="M28" s="2">
        <v>-13965940</v>
      </c>
      <c r="N28" s="3">
        <v>-7.4384139999999999</v>
      </c>
    </row>
    <row r="29" spans="1:14" x14ac:dyDescent="0.2">
      <c r="A29" s="27"/>
      <c r="B29" s="1" t="s">
        <v>36</v>
      </c>
      <c r="C29" s="2">
        <v>0</v>
      </c>
      <c r="D29" s="2">
        <v>0</v>
      </c>
      <c r="E29" s="2">
        <v>0</v>
      </c>
      <c r="F29" s="2">
        <v>52178340</v>
      </c>
      <c r="G29" s="2">
        <v>-52178340</v>
      </c>
      <c r="H29" s="2">
        <v>0</v>
      </c>
      <c r="I29" s="3" t="s">
        <v>21</v>
      </c>
      <c r="J29" s="2">
        <v>0</v>
      </c>
      <c r="K29" s="3">
        <v>0</v>
      </c>
      <c r="L29" s="2">
        <v>0</v>
      </c>
      <c r="M29" s="2">
        <v>-407915500</v>
      </c>
      <c r="N29" s="3">
        <v>-7.817717</v>
      </c>
    </row>
    <row r="30" spans="1:14" x14ac:dyDescent="0.2">
      <c r="A30" s="26" t="s">
        <v>37</v>
      </c>
      <c r="B30" s="1" t="s">
        <v>38</v>
      </c>
      <c r="C30" s="2">
        <v>26471.97</v>
      </c>
      <c r="D30" s="2">
        <v>26471.97</v>
      </c>
      <c r="E30" s="2">
        <v>3516495</v>
      </c>
      <c r="F30" s="2">
        <v>6738987</v>
      </c>
      <c r="G30" s="2">
        <v>-3222492</v>
      </c>
      <c r="H30" s="2">
        <v>0</v>
      </c>
      <c r="I30" s="2">
        <v>0.17730389999999999</v>
      </c>
      <c r="J30" s="2">
        <v>61063750</v>
      </c>
      <c r="K30" s="3">
        <v>0</v>
      </c>
      <c r="L30" s="2">
        <v>0</v>
      </c>
      <c r="M30" s="2">
        <v>16559150</v>
      </c>
      <c r="N30" s="3">
        <v>1.614663</v>
      </c>
    </row>
    <row r="31" spans="1:14" ht="30" x14ac:dyDescent="0.2">
      <c r="A31" s="28"/>
      <c r="B31" s="1" t="s">
        <v>49</v>
      </c>
      <c r="C31" s="2">
        <v>857.70799999999997</v>
      </c>
      <c r="D31" s="2">
        <v>857.70799999999997</v>
      </c>
      <c r="E31" s="2">
        <v>180965.7</v>
      </c>
      <c r="F31" s="2">
        <v>300514.2</v>
      </c>
      <c r="G31" s="2">
        <v>-119548.5</v>
      </c>
      <c r="H31" s="2">
        <v>0</v>
      </c>
      <c r="I31" s="2">
        <v>0.25691370000000002</v>
      </c>
      <c r="J31" s="2">
        <v>1993641</v>
      </c>
      <c r="K31" s="3">
        <v>0</v>
      </c>
      <c r="L31" s="2">
        <v>0</v>
      </c>
      <c r="M31" s="2">
        <v>543364.6</v>
      </c>
      <c r="N31" s="3">
        <v>1.12853</v>
      </c>
    </row>
    <row r="32" spans="1:14" ht="30" x14ac:dyDescent="0.2">
      <c r="A32" s="28"/>
      <c r="B32" s="1" t="s">
        <v>50</v>
      </c>
      <c r="C32" s="2">
        <v>457.99400000000003</v>
      </c>
      <c r="D32" s="2">
        <v>457.99400000000003</v>
      </c>
      <c r="E32" s="2">
        <v>33967.29</v>
      </c>
      <c r="F32" s="2">
        <v>242858.4</v>
      </c>
      <c r="G32" s="2">
        <v>-208891.1</v>
      </c>
      <c r="H32" s="2">
        <v>0</v>
      </c>
      <c r="I32" s="2">
        <v>0.27662740000000002</v>
      </c>
      <c r="J32" s="2">
        <v>1209608</v>
      </c>
      <c r="K32" s="3">
        <v>0</v>
      </c>
      <c r="L32" s="2">
        <v>0</v>
      </c>
      <c r="M32" s="2">
        <v>543975.69999999995</v>
      </c>
      <c r="N32" s="3">
        <v>1.965047</v>
      </c>
    </row>
    <row r="33" spans="1:14" ht="30" x14ac:dyDescent="0.2">
      <c r="A33" s="27"/>
      <c r="B33" s="1" t="s">
        <v>39</v>
      </c>
      <c r="C33" s="2">
        <v>5300</v>
      </c>
      <c r="D33" s="2">
        <v>5300</v>
      </c>
      <c r="E33" s="2">
        <v>1031336</v>
      </c>
      <c r="F33" s="2">
        <v>2314309</v>
      </c>
      <c r="G33" s="2">
        <v>-1282973</v>
      </c>
      <c r="H33" s="2">
        <v>0</v>
      </c>
      <c r="I33" s="2">
        <v>0.28890329999999997</v>
      </c>
      <c r="J33" s="2">
        <v>12863470</v>
      </c>
      <c r="K33" s="3">
        <v>0</v>
      </c>
      <c r="L33" s="2">
        <v>0</v>
      </c>
      <c r="M33" s="2">
        <v>10310820</v>
      </c>
      <c r="N33" s="3">
        <v>3.0818650000000001</v>
      </c>
    </row>
    <row r="34" spans="1:14" x14ac:dyDescent="0.2">
      <c r="A34" s="26" t="s">
        <v>41</v>
      </c>
      <c r="B34" s="1" t="s">
        <v>40</v>
      </c>
      <c r="C34" s="2">
        <v>13000000</v>
      </c>
      <c r="D34" s="2">
        <v>13000000</v>
      </c>
      <c r="E34" s="2">
        <v>83829.03</v>
      </c>
      <c r="F34" s="2">
        <v>83829.03</v>
      </c>
      <c r="G34" s="2">
        <v>0</v>
      </c>
      <c r="H34" s="2">
        <v>0</v>
      </c>
      <c r="I34" s="2">
        <v>0.99909289999999995</v>
      </c>
      <c r="J34" s="2">
        <v>0</v>
      </c>
      <c r="K34" s="3">
        <v>0</v>
      </c>
      <c r="L34" s="2">
        <v>0</v>
      </c>
      <c r="M34" s="2">
        <v>0</v>
      </c>
      <c r="N34" s="3" t="s">
        <v>21</v>
      </c>
    </row>
    <row r="35" spans="1:14" x14ac:dyDescent="0.2">
      <c r="A35" s="27"/>
      <c r="B35" s="1" t="s">
        <v>51</v>
      </c>
      <c r="C35" s="2">
        <v>46768.01</v>
      </c>
      <c r="D35" s="2">
        <v>46768.01</v>
      </c>
      <c r="E35" s="2">
        <v>82619.88</v>
      </c>
      <c r="F35" s="2">
        <v>86127.37</v>
      </c>
      <c r="G35" s="2">
        <v>-3507.4940000000001</v>
      </c>
      <c r="H35" s="2">
        <v>0</v>
      </c>
      <c r="I35" s="2">
        <v>0.34323900000000002</v>
      </c>
      <c r="J35" s="2">
        <v>0</v>
      </c>
      <c r="K35" s="3">
        <v>0</v>
      </c>
      <c r="L35" s="2">
        <v>0</v>
      </c>
      <c r="M35" s="2">
        <v>0</v>
      </c>
      <c r="N35" s="3" t="s">
        <v>21</v>
      </c>
    </row>
    <row r="36" spans="1:14" x14ac:dyDescent="0.2">
      <c r="A36" s="12"/>
      <c r="B36" s="12"/>
      <c r="C36" s="13"/>
      <c r="D36" s="13"/>
      <c r="E36" s="13"/>
      <c r="F36" s="13"/>
      <c r="G36" s="13"/>
      <c r="H36" s="13"/>
      <c r="I36" s="13"/>
      <c r="J36" s="14"/>
      <c r="K36" s="13"/>
      <c r="L36" s="13"/>
      <c r="M36" s="13"/>
      <c r="N36" s="13"/>
    </row>
    <row r="37" spans="1:14" x14ac:dyDescent="0.2">
      <c r="A37" s="12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1:14" x14ac:dyDescent="0.2">
      <c r="I38" s="13"/>
      <c r="J38" s="15"/>
      <c r="K38" s="16"/>
    </row>
    <row r="39" spans="1:14" x14ac:dyDescent="0.2">
      <c r="I39" s="13"/>
      <c r="J39" s="15"/>
      <c r="K39" s="15"/>
    </row>
    <row r="40" spans="1:14" x14ac:dyDescent="0.2">
      <c r="I40" s="13"/>
      <c r="J40" s="15"/>
      <c r="K40" s="15"/>
    </row>
  </sheetData>
  <autoFilter ref="A1:N32" xr:uid="{EBEC364B-95F3-6542-9C15-C4F497796E61}"/>
  <mergeCells count="5">
    <mergeCell ref="A34:A35"/>
    <mergeCell ref="A2:A21"/>
    <mergeCell ref="A23:A27"/>
    <mergeCell ref="A28:A29"/>
    <mergeCell ref="A30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2026-08-17T19:53:09Z</dcterms:modified>
</cp:coreProperties>
</file>