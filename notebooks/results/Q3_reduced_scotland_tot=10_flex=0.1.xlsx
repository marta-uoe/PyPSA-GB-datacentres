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"/>
    </mc:Choice>
  </mc:AlternateContent>
  <xr:revisionPtr revIDLastSave="0" documentId="13_ncr:1_{787FA2EC-B126-3341-BFF8-23C91C73F70C}" xr6:coauthVersionLast="47" xr6:coauthVersionMax="47" xr10:uidLastSave="{00000000-0000-0000-0000-000000000000}"/>
  <bookViews>
    <workbookView xWindow="13780" yWindow="660" windowWidth="16460" windowHeight="17400" activeTab="3" xr2:uid="{D4188A73-9F76-7B43-A2AE-82D891E862BC}"/>
  </bookViews>
  <sheets>
    <sheet name="Inflexible" sheetId="4" r:id="rId1"/>
    <sheet name="Temporal" sheetId="2" r:id="rId2"/>
    <sheet name="Spatial" sheetId="1" r:id="rId3"/>
    <sheet name="Both" sheetId="3" r:id="rId4"/>
  </sheets>
  <definedNames>
    <definedName name="_xlnm._FilterDatabase" localSheetId="3" hidden="1">Both!$A$1:$N$41</definedName>
    <definedName name="_xlnm._FilterDatabase" localSheetId="0" hidden="1">Inflexible!$A$1:$N$35</definedName>
    <definedName name="_xlnm._FilterDatabase" localSheetId="2" hidden="1">Spatial!$A$1:$N$36</definedName>
    <definedName name="_xlnm._FilterDatabase" localSheetId="1" hidden="1">Temporal!$A$1:$N$37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2" i="3" l="1"/>
  <c r="C42" i="1"/>
  <c r="C42" i="2"/>
  <c r="C42" i="4"/>
  <c r="J37" i="3"/>
  <c r="J35" i="1"/>
  <c r="J34" i="4"/>
  <c r="J36" i="2"/>
  <c r="J33" i="4"/>
  <c r="L33" i="4"/>
  <c r="M33" i="4"/>
  <c r="N33" i="4"/>
  <c r="C41" i="4"/>
  <c r="C40" i="4"/>
  <c r="C39" i="4"/>
  <c r="C41" i="3"/>
  <c r="C40" i="3"/>
  <c r="C39" i="3"/>
  <c r="C41" i="2"/>
  <c r="C40" i="2"/>
  <c r="C39" i="2"/>
  <c r="C39" i="1"/>
  <c r="C40" i="1"/>
  <c r="C41" i="1"/>
  <c r="J37" i="2"/>
  <c r="J38" i="3"/>
  <c r="J36" i="1"/>
  <c r="N36" i="3"/>
  <c r="M36" i="3"/>
  <c r="L36" i="3"/>
  <c r="J36" i="3"/>
  <c r="N35" i="2"/>
  <c r="M35" i="2"/>
  <c r="L35" i="2"/>
  <c r="J35" i="2"/>
  <c r="J35" i="4"/>
  <c r="N34" i="1"/>
  <c r="M34" i="1"/>
  <c r="L34" i="1"/>
  <c r="J34" i="1"/>
</calcChain>
</file>

<file path=xl/sharedStrings.xml><?xml version="1.0" encoding="utf-8"?>
<sst xmlns="http://schemas.openxmlformats.org/spreadsheetml/2006/main" count="304" uniqueCount="61">
  <si>
    <t>Optimal Capacity</t>
  </si>
  <si>
    <t>Installed Capacity</t>
  </si>
  <si>
    <t>Supply</t>
  </si>
  <si>
    <t>Withdrawal</t>
  </si>
  <si>
    <t>Energy Balance</t>
  </si>
  <si>
    <t>Transmission</t>
  </si>
  <si>
    <t>Capacity Factor</t>
  </si>
  <si>
    <t>Curtailment</t>
  </si>
  <si>
    <t>Capital Expenditure</t>
  </si>
  <si>
    <t>Operational Expenditure</t>
  </si>
  <si>
    <t>Revenue</t>
  </si>
  <si>
    <t>Market Value</t>
  </si>
  <si>
    <t>Generator</t>
  </si>
  <si>
    <t>Advanced Biofuel</t>
  </si>
  <si>
    <t>Biogas</t>
  </si>
  <si>
    <t>Biomass</t>
  </si>
  <si>
    <t>Combined Cycle Gas Turbine</t>
  </si>
  <si>
    <t>European Imports</t>
  </si>
  <si>
    <t>Landfill Gas</t>
  </si>
  <si>
    <t>Large Hydro</t>
  </si>
  <si>
    <t>Load Shedding</t>
  </si>
  <si>
    <t>NaN</t>
  </si>
  <si>
    <t>Nuclear</t>
  </si>
  <si>
    <t>Offshore Wind</t>
  </si>
  <si>
    <t>Oil</t>
  </si>
  <si>
    <t>Onshore Wind</t>
  </si>
  <si>
    <t>Open Cycle Gas Turbine</t>
  </si>
  <si>
    <t>Sewage Gas</t>
  </si>
  <si>
    <t>Solar PV</t>
  </si>
  <si>
    <t>Waste to Energy</t>
  </si>
  <si>
    <t>Link</t>
  </si>
  <si>
    <t>AC</t>
  </si>
  <si>
    <t>DC</t>
  </si>
  <si>
    <t>Virtual Link</t>
  </si>
  <si>
    <t>Load</t>
  </si>
  <si>
    <t>Data Centre</t>
  </si>
  <si>
    <t>Electricity</t>
  </si>
  <si>
    <t>StorageUnit</t>
  </si>
  <si>
    <t>Battery Storage</t>
  </si>
  <si>
    <t>Pumped Storage Hydroelectricity</t>
  </si>
  <si>
    <t>DSM</t>
  </si>
  <si>
    <t>Store</t>
  </si>
  <si>
    <t>total curtailment:</t>
  </si>
  <si>
    <t>wind curtailment:</t>
  </si>
  <si>
    <t>solar curtailment:</t>
  </si>
  <si>
    <t>total:</t>
  </si>
  <si>
    <t>Summary</t>
  </si>
  <si>
    <t>Total Green Energy curtailment:</t>
  </si>
  <si>
    <t>Total Wind Energy Curtailment:</t>
  </si>
  <si>
    <t>Total Green Capacity:</t>
  </si>
  <si>
    <t>Combined Heat &amp; Power</t>
  </si>
  <si>
    <t>Gas Engine</t>
  </si>
  <si>
    <t>Geothermal</t>
  </si>
  <si>
    <t>Marine Energy</t>
  </si>
  <si>
    <t>Line</t>
  </si>
  <si>
    <t>Electrolysis</t>
  </si>
  <si>
    <t>H2 Power Generation</t>
  </si>
  <si>
    <t>Domestic Battery Storage</t>
  </si>
  <si>
    <t>Liquid Air Energy Storage</t>
  </si>
  <si>
    <t>Hydrogen Gas</t>
  </si>
  <si>
    <t xml:space="preserve">Data Centre Cost: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</si>
</sst>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5" xfId="0" applyBorder="1"/>
    <xf numFmtId="11" fontId="0" fillId="0" borderId="6" xfId="0" applyNumberFormat="1" applyBorder="1"/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2E32-7E17-D640-8808-61170EE7E9D2}">
  <dimension ref="A1:N42"/>
  <sheetViews>
    <sheetView topLeftCell="A14" workbookViewId="0">
      <selection activeCell="A42" sqref="A42:C42"/>
    </sheetView>
  </sheetViews>
  <sheetFormatPr baseColWidth="10" defaultColWidth="16" defaultRowHeight="16" x14ac:dyDescent="0.2"/>
  <cols>
    <col min="1" max="1" width="8.5" customWidth="1"/>
    <col min="2" max="2" width="19.5" customWidth="1"/>
    <col min="3" max="3" width="21.33203125" customWidth="1"/>
    <col min="4" max="4" width="22.6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4">
        <v>372.43929000000003</v>
      </c>
      <c r="D2" s="4">
        <v>372.43929000000003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4">
        <v>1642.8915400000001</v>
      </c>
      <c r="D3" s="4">
        <v>1642.8915400000001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2"/>
      <c r="B4" s="1" t="s">
        <v>15</v>
      </c>
      <c r="C4" s="4">
        <v>9185.8067100000007</v>
      </c>
      <c r="D4" s="4">
        <v>9185.8067100000007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2"/>
      <c r="B5" s="1" t="s">
        <v>16</v>
      </c>
      <c r="C5" s="4">
        <v>23586</v>
      </c>
      <c r="D5" s="4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x14ac:dyDescent="0.2">
      <c r="A6" s="12"/>
      <c r="B6" s="1" t="s">
        <v>50</v>
      </c>
      <c r="C6" s="4">
        <v>3534.0360000000001</v>
      </c>
      <c r="D6" s="4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4">
        <v>13695</v>
      </c>
      <c r="D7" s="4">
        <v>13695</v>
      </c>
      <c r="E7" s="3">
        <v>4508098</v>
      </c>
      <c r="F7" s="3">
        <v>0</v>
      </c>
      <c r="G7" s="3">
        <v>4508098</v>
      </c>
      <c r="H7" s="3">
        <v>0</v>
      </c>
      <c r="I7" s="4">
        <v>0.15065400000000001</v>
      </c>
      <c r="J7" s="3">
        <v>25415480</v>
      </c>
      <c r="K7" s="4">
        <v>0</v>
      </c>
      <c r="L7" s="3">
        <v>58378230</v>
      </c>
      <c r="M7" s="3">
        <v>58378230</v>
      </c>
      <c r="N7" s="4">
        <v>12.949636999999999</v>
      </c>
    </row>
    <row r="8" spans="1:14" x14ac:dyDescent="0.2">
      <c r="A8" s="12"/>
      <c r="B8" s="1" t="s">
        <v>51</v>
      </c>
      <c r="C8" s="4">
        <v>4067.2939999999999</v>
      </c>
      <c r="D8" s="4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4">
        <v>11</v>
      </c>
      <c r="D9" s="4">
        <v>11</v>
      </c>
      <c r="E9" s="3">
        <v>6125.1909999999998</v>
      </c>
      <c r="F9" s="3">
        <v>0</v>
      </c>
      <c r="G9" s="3">
        <v>6125.1909999999998</v>
      </c>
      <c r="H9" s="3">
        <v>0</v>
      </c>
      <c r="I9" s="4">
        <v>0.25484499999999999</v>
      </c>
      <c r="J9" s="3">
        <v>17909.810000000001</v>
      </c>
      <c r="K9" s="4">
        <v>0</v>
      </c>
      <c r="L9" s="3">
        <v>76319.88</v>
      </c>
      <c r="M9" s="3">
        <v>138221.20000000001</v>
      </c>
      <c r="N9" s="4">
        <v>22.566037999999999</v>
      </c>
    </row>
    <row r="10" spans="1:14" x14ac:dyDescent="0.2">
      <c r="A10" s="12"/>
      <c r="B10" s="1" t="s">
        <v>18</v>
      </c>
      <c r="C10" s="4">
        <v>834.51107000000002</v>
      </c>
      <c r="D10" s="4">
        <v>834.51107000000002</v>
      </c>
      <c r="E10" s="3">
        <v>13522.64</v>
      </c>
      <c r="F10" s="3">
        <v>0</v>
      </c>
      <c r="G10" s="3">
        <v>13522.64</v>
      </c>
      <c r="H10" s="3">
        <v>0</v>
      </c>
      <c r="I10" s="4">
        <v>7.4159999999999998E-3</v>
      </c>
      <c r="J10" s="3">
        <v>1809884</v>
      </c>
      <c r="K10" s="4">
        <v>0</v>
      </c>
      <c r="L10" s="3">
        <v>730222.4</v>
      </c>
      <c r="M10" s="3">
        <v>798789.5</v>
      </c>
      <c r="N10" s="4">
        <v>59.070540999999999</v>
      </c>
    </row>
    <row r="11" spans="1:14" x14ac:dyDescent="0.2">
      <c r="A11" s="12"/>
      <c r="B11" s="1" t="s">
        <v>19</v>
      </c>
      <c r="C11" s="4">
        <v>1897.296</v>
      </c>
      <c r="D11" s="4">
        <v>1897.296</v>
      </c>
      <c r="E11" s="3">
        <v>1426710</v>
      </c>
      <c r="F11" s="3">
        <v>0</v>
      </c>
      <c r="G11" s="3">
        <v>1426710</v>
      </c>
      <c r="H11" s="3">
        <v>0</v>
      </c>
      <c r="I11" s="4">
        <v>0.34415099999999998</v>
      </c>
      <c r="J11" s="3">
        <v>231526.5</v>
      </c>
      <c r="K11" s="4">
        <v>0</v>
      </c>
      <c r="L11" s="3">
        <v>0</v>
      </c>
      <c r="M11" s="3">
        <v>11332440</v>
      </c>
      <c r="N11" s="4">
        <v>7.9430550000000002</v>
      </c>
    </row>
    <row r="12" spans="1:14" x14ac:dyDescent="0.2">
      <c r="A12" s="12"/>
      <c r="B12" s="1" t="s">
        <v>20</v>
      </c>
      <c r="C12" s="4">
        <v>48629.190949999997</v>
      </c>
      <c r="D12" s="4">
        <v>48629.190949999997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4">
        <v>254.358</v>
      </c>
      <c r="D13" s="4">
        <v>254.358</v>
      </c>
      <c r="E13" s="3">
        <v>240433.4</v>
      </c>
      <c r="F13" s="3">
        <v>0</v>
      </c>
      <c r="G13" s="3">
        <v>240433.4</v>
      </c>
      <c r="H13" s="3">
        <v>0</v>
      </c>
      <c r="I13" s="4">
        <v>0.43261100000000002</v>
      </c>
      <c r="J13" s="3">
        <v>33336.14</v>
      </c>
      <c r="K13" s="4">
        <v>0</v>
      </c>
      <c r="L13" s="3">
        <v>0</v>
      </c>
      <c r="M13" s="3">
        <v>2361521</v>
      </c>
      <c r="N13" s="4">
        <v>9.8219329999999996</v>
      </c>
    </row>
    <row r="14" spans="1:14" x14ac:dyDescent="0.2">
      <c r="A14" s="12"/>
      <c r="B14" s="1" t="s">
        <v>22</v>
      </c>
      <c r="C14" s="4">
        <v>4570</v>
      </c>
      <c r="D14" s="4">
        <v>4570</v>
      </c>
      <c r="E14" s="3">
        <v>4611523</v>
      </c>
      <c r="F14" s="3">
        <v>0</v>
      </c>
      <c r="G14" s="3">
        <v>4611523</v>
      </c>
      <c r="H14" s="3">
        <v>0</v>
      </c>
      <c r="I14" s="4">
        <v>0.46182400000000001</v>
      </c>
      <c r="J14" s="3">
        <v>5373927</v>
      </c>
      <c r="K14" s="4">
        <v>0</v>
      </c>
      <c r="L14" s="3">
        <v>46115230</v>
      </c>
      <c r="M14" s="3">
        <v>85811430</v>
      </c>
      <c r="N14" s="4">
        <v>18.608045000000001</v>
      </c>
    </row>
    <row r="15" spans="1:14" x14ac:dyDescent="0.2">
      <c r="A15" s="12"/>
      <c r="B15" s="1" t="s">
        <v>23</v>
      </c>
      <c r="C15" s="4">
        <v>53544.201999999997</v>
      </c>
      <c r="D15" s="4">
        <v>53544.201999999997</v>
      </c>
      <c r="E15" s="3">
        <v>26175970</v>
      </c>
      <c r="F15" s="3">
        <v>0</v>
      </c>
      <c r="G15" s="3">
        <v>26175970</v>
      </c>
      <c r="H15" s="3">
        <v>0</v>
      </c>
      <c r="I15" s="4">
        <v>0.22373799999999999</v>
      </c>
      <c r="J15" s="3">
        <v>5938875</v>
      </c>
      <c r="K15" s="4">
        <v>0</v>
      </c>
      <c r="L15" s="3">
        <v>0</v>
      </c>
      <c r="M15" s="3">
        <v>121191800</v>
      </c>
      <c r="N15" s="4">
        <v>4.6298880000000002</v>
      </c>
    </row>
    <row r="16" spans="1:14" x14ac:dyDescent="0.2">
      <c r="A16" s="12"/>
      <c r="B16" s="1" t="s">
        <v>24</v>
      </c>
      <c r="C16" s="4">
        <v>78.5</v>
      </c>
      <c r="D16" s="4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ht="30" customHeight="1" x14ac:dyDescent="0.2">
      <c r="A17" s="12"/>
      <c r="B17" s="1" t="s">
        <v>25</v>
      </c>
      <c r="C17" s="4">
        <v>27270.741000000002</v>
      </c>
      <c r="D17" s="4">
        <v>27270.741000000002</v>
      </c>
      <c r="E17" s="3">
        <v>11379960</v>
      </c>
      <c r="F17" s="3">
        <v>0</v>
      </c>
      <c r="G17" s="3">
        <v>11379960</v>
      </c>
      <c r="H17" s="3">
        <v>0</v>
      </c>
      <c r="I17" s="4">
        <v>0.19098200000000001</v>
      </c>
      <c r="J17" s="3">
        <v>2955177</v>
      </c>
      <c r="K17" s="4">
        <v>0</v>
      </c>
      <c r="L17" s="3">
        <v>0</v>
      </c>
      <c r="M17" s="3">
        <v>50093880</v>
      </c>
      <c r="N17" s="4">
        <v>4.4019389999999996</v>
      </c>
    </row>
    <row r="18" spans="1:14" x14ac:dyDescent="0.2">
      <c r="A18" s="12"/>
      <c r="B18" s="1" t="s">
        <v>26</v>
      </c>
      <c r="C18" s="4">
        <v>3662.89</v>
      </c>
      <c r="D18" s="4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4">
        <v>55.819389999999999</v>
      </c>
      <c r="D19" s="4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2"/>
      <c r="B20" s="1" t="s">
        <v>28</v>
      </c>
      <c r="C20" s="4">
        <v>40470.421999999999</v>
      </c>
      <c r="D20" s="4">
        <v>40470.421999999999</v>
      </c>
      <c r="E20" s="3">
        <v>13368950</v>
      </c>
      <c r="F20" s="3">
        <v>0</v>
      </c>
      <c r="G20" s="3">
        <v>13368950</v>
      </c>
      <c r="H20" s="3">
        <v>0</v>
      </c>
      <c r="I20" s="4">
        <v>0.15118500000000001</v>
      </c>
      <c r="J20" s="3">
        <v>1196596</v>
      </c>
      <c r="K20" s="4">
        <v>0</v>
      </c>
      <c r="L20" s="3">
        <v>0</v>
      </c>
      <c r="M20" s="3">
        <v>106188400</v>
      </c>
      <c r="N20" s="4">
        <v>7.942914</v>
      </c>
    </row>
    <row r="21" spans="1:14" x14ac:dyDescent="0.2">
      <c r="A21" s="11"/>
      <c r="B21" s="1" t="s">
        <v>29</v>
      </c>
      <c r="C21" s="4">
        <v>4643.1779999999999</v>
      </c>
      <c r="D21" s="4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4">
        <v>230800</v>
      </c>
      <c r="D22" s="4">
        <v>230800</v>
      </c>
      <c r="E22" s="3">
        <v>38304270</v>
      </c>
      <c r="F22" s="3">
        <v>21177410</v>
      </c>
      <c r="G22" s="3">
        <v>17126860</v>
      </c>
      <c r="H22" s="3">
        <v>-17126860</v>
      </c>
      <c r="I22" s="4">
        <v>0.117949</v>
      </c>
      <c r="J22" s="3">
        <v>0</v>
      </c>
      <c r="K22" s="4">
        <v>0</v>
      </c>
      <c r="L22" s="3">
        <v>0</v>
      </c>
      <c r="M22" s="3">
        <v>212053400</v>
      </c>
      <c r="N22" s="4">
        <v>3.5650200000000001</v>
      </c>
    </row>
    <row r="23" spans="1:14" x14ac:dyDescent="0.2">
      <c r="A23" s="10" t="s">
        <v>30</v>
      </c>
      <c r="B23" s="1" t="s">
        <v>32</v>
      </c>
      <c r="C23" s="4">
        <v>12450</v>
      </c>
      <c r="D23" s="4">
        <v>12450</v>
      </c>
      <c r="E23" s="3">
        <v>10188200</v>
      </c>
      <c r="F23" s="3">
        <v>5564511</v>
      </c>
      <c r="G23" s="3">
        <v>4623690</v>
      </c>
      <c r="H23" s="3">
        <v>-4623690</v>
      </c>
      <c r="I23" s="4">
        <v>0.57907500000000001</v>
      </c>
      <c r="J23" s="3">
        <v>31826940</v>
      </c>
      <c r="K23" s="4">
        <v>0</v>
      </c>
      <c r="L23" s="3">
        <v>0</v>
      </c>
      <c r="M23" s="3">
        <v>101369100</v>
      </c>
      <c r="N23" s="4">
        <v>6.4350250000000004</v>
      </c>
    </row>
    <row r="24" spans="1:14" x14ac:dyDescent="0.2">
      <c r="A24" s="12"/>
      <c r="B24" s="1" t="s">
        <v>55</v>
      </c>
      <c r="C24" s="4">
        <v>3653.0947500000002</v>
      </c>
      <c r="D24" s="4">
        <v>3653.0947500000002</v>
      </c>
      <c r="E24" s="3">
        <v>0</v>
      </c>
      <c r="F24" s="3">
        <v>179624</v>
      </c>
      <c r="G24" s="3">
        <v>-179624</v>
      </c>
      <c r="H24" s="3">
        <v>0</v>
      </c>
      <c r="I24" s="4">
        <v>2.2504E-2</v>
      </c>
      <c r="J24" s="3">
        <v>7802388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1"/>
      <c r="B25" s="1" t="s">
        <v>56</v>
      </c>
      <c r="C25" s="4">
        <v>278.38099999999997</v>
      </c>
      <c r="D25" s="4">
        <v>278.38099999999997</v>
      </c>
      <c r="E25" s="3">
        <v>0</v>
      </c>
      <c r="F25" s="3">
        <v>119531</v>
      </c>
      <c r="G25" s="3">
        <v>-119531</v>
      </c>
      <c r="H25" s="3">
        <v>0</v>
      </c>
      <c r="I25" s="4">
        <v>0.19651199999999999</v>
      </c>
      <c r="J25" s="3">
        <v>488731.5</v>
      </c>
      <c r="K25" s="4">
        <v>0</v>
      </c>
      <c r="L25" s="3">
        <v>597654.80000000005</v>
      </c>
      <c r="M25" s="3">
        <v>0</v>
      </c>
      <c r="N25" s="4" t="s">
        <v>21</v>
      </c>
    </row>
    <row r="26" spans="1:14" x14ac:dyDescent="0.2">
      <c r="A26" s="10" t="s">
        <v>34</v>
      </c>
      <c r="B26" s="1" t="s">
        <v>35</v>
      </c>
      <c r="C26" s="4">
        <v>0</v>
      </c>
      <c r="D26" s="4">
        <v>0</v>
      </c>
      <c r="E26" s="3">
        <v>0</v>
      </c>
      <c r="F26" s="3">
        <v>4693892</v>
      </c>
      <c r="G26" s="3">
        <v>-4693892</v>
      </c>
      <c r="H26" s="3">
        <v>0</v>
      </c>
      <c r="I26" s="4" t="s">
        <v>21</v>
      </c>
      <c r="J26" s="3">
        <v>0</v>
      </c>
      <c r="K26" s="4">
        <v>0</v>
      </c>
      <c r="L26" s="3">
        <v>0</v>
      </c>
      <c r="M26" s="3">
        <v>-42654380</v>
      </c>
      <c r="N26" s="4">
        <v>-9.0872100000000007</v>
      </c>
    </row>
    <row r="27" spans="1:14" x14ac:dyDescent="0.2">
      <c r="A27" s="11"/>
      <c r="B27" s="1" t="s">
        <v>36</v>
      </c>
      <c r="C27" s="4">
        <v>0</v>
      </c>
      <c r="D27" s="4">
        <v>0</v>
      </c>
      <c r="E27" s="3">
        <v>0</v>
      </c>
      <c r="F27" s="3">
        <v>52178340</v>
      </c>
      <c r="G27" s="3">
        <v>-52178340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-485349800</v>
      </c>
      <c r="N27" s="4">
        <v>-9.3017489999999992</v>
      </c>
    </row>
    <row r="28" spans="1:14" ht="16" customHeight="1" x14ac:dyDescent="0.2">
      <c r="A28" s="10" t="s">
        <v>37</v>
      </c>
      <c r="B28" s="1" t="s">
        <v>38</v>
      </c>
      <c r="C28" s="4">
        <v>26471.973000000002</v>
      </c>
      <c r="D28" s="4">
        <v>26471.973000000002</v>
      </c>
      <c r="E28" s="3">
        <v>2668465</v>
      </c>
      <c r="F28" s="3">
        <v>5854390</v>
      </c>
      <c r="G28" s="3">
        <v>-3185925</v>
      </c>
      <c r="H28" s="3">
        <v>0</v>
      </c>
      <c r="I28" s="4">
        <v>0.14734900000000001</v>
      </c>
      <c r="J28" s="3">
        <v>61027190</v>
      </c>
      <c r="K28" s="4">
        <v>0</v>
      </c>
      <c r="L28" s="3">
        <v>0</v>
      </c>
      <c r="M28" s="3">
        <v>19979390</v>
      </c>
      <c r="N28" s="4">
        <v>2.3442129999999999</v>
      </c>
    </row>
    <row r="29" spans="1:14" x14ac:dyDescent="0.2">
      <c r="A29" s="12"/>
      <c r="B29" s="1" t="s">
        <v>57</v>
      </c>
      <c r="C29" s="4">
        <v>857.70799999999997</v>
      </c>
      <c r="D29" s="4">
        <v>857.70799999999997</v>
      </c>
      <c r="E29" s="3">
        <v>128566.1</v>
      </c>
      <c r="F29" s="3">
        <v>253790.5</v>
      </c>
      <c r="G29" s="3">
        <v>-125224.4</v>
      </c>
      <c r="H29" s="3">
        <v>0</v>
      </c>
      <c r="I29" s="4">
        <v>0.20402200000000001</v>
      </c>
      <c r="J29" s="3">
        <v>1999316</v>
      </c>
      <c r="K29" s="4">
        <v>0</v>
      </c>
      <c r="L29" s="3">
        <v>0</v>
      </c>
      <c r="M29" s="3">
        <v>656894.30000000005</v>
      </c>
      <c r="N29" s="4">
        <v>1.7180150000000001</v>
      </c>
    </row>
    <row r="30" spans="1:14" x14ac:dyDescent="0.2">
      <c r="A30" s="12"/>
      <c r="B30" s="1" t="s">
        <v>58</v>
      </c>
      <c r="C30" s="4">
        <v>457.99400000000003</v>
      </c>
      <c r="D30" s="4">
        <v>457.99400000000003</v>
      </c>
      <c r="E30" s="3">
        <v>29938.75</v>
      </c>
      <c r="F30" s="3">
        <v>236581.8</v>
      </c>
      <c r="G30" s="3">
        <v>-206643.1</v>
      </c>
      <c r="H30" s="3">
        <v>0</v>
      </c>
      <c r="I30" s="4">
        <v>0.26633000000000001</v>
      </c>
      <c r="J30" s="3">
        <v>1207360</v>
      </c>
      <c r="K30" s="4">
        <v>0</v>
      </c>
      <c r="L30" s="3">
        <v>0</v>
      </c>
      <c r="M30" s="3">
        <v>652788</v>
      </c>
      <c r="N30" s="4">
        <v>2.4492970000000001</v>
      </c>
    </row>
    <row r="31" spans="1:14" ht="30" x14ac:dyDescent="0.2">
      <c r="A31" s="11"/>
      <c r="B31" s="1" t="s">
        <v>39</v>
      </c>
      <c r="C31" s="4">
        <v>5300</v>
      </c>
      <c r="D31" s="4">
        <v>5300</v>
      </c>
      <c r="E31" s="3">
        <v>861261.3</v>
      </c>
      <c r="F31" s="3">
        <v>2198262</v>
      </c>
      <c r="G31" s="3">
        <v>-1337000</v>
      </c>
      <c r="H31" s="3">
        <v>0</v>
      </c>
      <c r="I31" s="4">
        <v>0.26419599999999999</v>
      </c>
      <c r="J31" s="3">
        <v>12917500</v>
      </c>
      <c r="K31" s="4">
        <v>0</v>
      </c>
      <c r="L31" s="3">
        <v>0</v>
      </c>
      <c r="M31" s="3">
        <v>12746540</v>
      </c>
      <c r="N31" s="4">
        <v>4.1661859999999997</v>
      </c>
    </row>
    <row r="32" spans="1:14" x14ac:dyDescent="0.2">
      <c r="A32" s="1" t="s">
        <v>41</v>
      </c>
      <c r="B32" s="1" t="s">
        <v>59</v>
      </c>
      <c r="C32" s="4">
        <v>46768.008000000002</v>
      </c>
      <c r="D32" s="4">
        <v>46768.008000000002</v>
      </c>
      <c r="E32" s="3">
        <v>117462.2</v>
      </c>
      <c r="F32" s="3">
        <v>123668</v>
      </c>
      <c r="G32" s="3">
        <v>-6205.8540000000003</v>
      </c>
      <c r="H32" s="3">
        <v>0</v>
      </c>
      <c r="I32" s="4">
        <v>0.60729699999999998</v>
      </c>
      <c r="J32" s="3">
        <v>0</v>
      </c>
      <c r="K32" s="4">
        <v>0</v>
      </c>
      <c r="L32" s="3">
        <v>0</v>
      </c>
      <c r="M32" s="3">
        <v>0</v>
      </c>
      <c r="N32" s="4" t="s">
        <v>21</v>
      </c>
    </row>
    <row r="33" spans="1:14" x14ac:dyDescent="0.2">
      <c r="I33" s="9" t="s">
        <v>42</v>
      </c>
      <c r="J33" s="7">
        <f>SUM(J2:J30)</f>
        <v>310564023.64999998</v>
      </c>
      <c r="K33" s="5" t="s">
        <v>45</v>
      </c>
      <c r="L33" s="2">
        <f>SUM(L1:L30)</f>
        <v>105897657.08</v>
      </c>
      <c r="M33" s="2">
        <f>SUM(M1:M30)</f>
        <v>243002104.00000006</v>
      </c>
      <c r="N33" s="2">
        <f>SUM(N1:N30)</f>
        <v>146.056601</v>
      </c>
    </row>
    <row r="34" spans="1:14" x14ac:dyDescent="0.2">
      <c r="I34" s="8" t="s">
        <v>43</v>
      </c>
      <c r="J34" s="2">
        <f>SUM(J15,J17)</f>
        <v>8894052</v>
      </c>
    </row>
    <row r="35" spans="1:14" x14ac:dyDescent="0.2">
      <c r="I35" s="8" t="s">
        <v>44</v>
      </c>
      <c r="J35" s="2">
        <f>SUM(J20)</f>
        <v>1196596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121341.18438999999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10212613.4</v>
      </c>
    </row>
    <row r="41" spans="1:14" x14ac:dyDescent="0.2">
      <c r="A41" t="s">
        <v>48</v>
      </c>
      <c r="C41" s="2">
        <f>SUMIFS($J$2:$J$34,$B$2:$B$34, "Offshore Wind")+SUMIFS($J$2:$J$34,$B$2:$B$34, "Onshore Wind")</f>
        <v>8894052</v>
      </c>
    </row>
    <row r="42" spans="1:14" x14ac:dyDescent="0.2">
      <c r="A42" t="s">
        <v>60</v>
      </c>
      <c r="C42" s="2">
        <f>-$M$26</f>
        <v>42654380</v>
      </c>
    </row>
  </sheetData>
  <autoFilter ref="A1:N35" xr:uid="{F4972E32-7E17-D640-8808-61170EE7E9D2}"/>
  <mergeCells count="4">
    <mergeCell ref="A2:A21"/>
    <mergeCell ref="A23:A25"/>
    <mergeCell ref="A26:A27"/>
    <mergeCell ref="A28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F803-EC4E-F842-B68E-528EC71F1DE9}">
  <dimension ref="A1:N42"/>
  <sheetViews>
    <sheetView topLeftCell="A23" workbookViewId="0">
      <selection activeCell="C43" sqref="C43"/>
    </sheetView>
  </sheetViews>
  <sheetFormatPr baseColWidth="10" defaultRowHeight="16" x14ac:dyDescent="0.2"/>
  <cols>
    <col min="2" max="2" width="16.1640625" customWidth="1"/>
    <col min="3" max="3" width="19.1640625" customWidth="1"/>
    <col min="4" max="4" width="14.6640625" customWidth="1"/>
    <col min="5" max="5" width="13.5" customWidth="1"/>
    <col min="6" max="6" width="14.83203125" customWidth="1"/>
    <col min="7" max="7" width="14.6640625" customWidth="1"/>
    <col min="8" max="8" width="18.6640625" customWidth="1"/>
    <col min="9" max="9" width="20.33203125" customWidth="1"/>
    <col min="10" max="10" width="18.1640625" customWidth="1"/>
    <col min="11" max="11" width="17.5" customWidth="1"/>
    <col min="12" max="12" width="24.5" customWidth="1"/>
    <col min="13" max="13" width="17.5" customWidth="1"/>
    <col min="14" max="14" width="18.1640625" customWidth="1"/>
  </cols>
  <sheetData>
    <row r="1" spans="1:14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4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4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4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4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4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4455047</v>
      </c>
      <c r="F7" s="3">
        <v>0</v>
      </c>
      <c r="G7" s="3">
        <v>4455047</v>
      </c>
      <c r="H7" s="3">
        <v>0</v>
      </c>
      <c r="I7" s="4">
        <v>0.14888100000000001</v>
      </c>
      <c r="J7" s="3">
        <v>25468530</v>
      </c>
      <c r="K7" s="4">
        <v>0</v>
      </c>
      <c r="L7" s="3">
        <v>57299140</v>
      </c>
      <c r="M7" s="3">
        <v>57299140</v>
      </c>
      <c r="N7" s="4">
        <v>12.861624000000001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4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6073.5330000000004</v>
      </c>
      <c r="F9" s="3">
        <v>0</v>
      </c>
      <c r="G9" s="3">
        <v>6073.5330000000004</v>
      </c>
      <c r="H9" s="3">
        <v>0</v>
      </c>
      <c r="I9" s="4">
        <v>0.252695</v>
      </c>
      <c r="J9" s="3">
        <v>17961.47</v>
      </c>
      <c r="K9" s="4">
        <v>0</v>
      </c>
      <c r="L9" s="3">
        <v>75676.23</v>
      </c>
      <c r="M9" s="3">
        <v>136148.20000000001</v>
      </c>
      <c r="N9" s="4">
        <v>22.416623999999999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13493.62</v>
      </c>
      <c r="F10" s="3">
        <v>0</v>
      </c>
      <c r="G10" s="3">
        <v>13493.62</v>
      </c>
      <c r="H10" s="3">
        <v>0</v>
      </c>
      <c r="I10" s="4">
        <v>7.4000000000000003E-3</v>
      </c>
      <c r="J10" s="3">
        <v>1809913</v>
      </c>
      <c r="K10" s="4">
        <v>0</v>
      </c>
      <c r="L10" s="3">
        <v>728655.3</v>
      </c>
      <c r="M10" s="3">
        <v>791360.8</v>
      </c>
      <c r="N10" s="4">
        <v>58.647030000000001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1422735</v>
      </c>
      <c r="F11" s="3">
        <v>0</v>
      </c>
      <c r="G11" s="3">
        <v>1422735</v>
      </c>
      <c r="H11" s="3">
        <v>0</v>
      </c>
      <c r="I11" s="4">
        <v>0.343192</v>
      </c>
      <c r="J11" s="3">
        <v>235502.1</v>
      </c>
      <c r="K11" s="4">
        <v>0</v>
      </c>
      <c r="L11" s="3">
        <v>0</v>
      </c>
      <c r="M11" s="3">
        <v>11226720</v>
      </c>
      <c r="N11" s="4">
        <v>7.8909419999999999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4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240161</v>
      </c>
      <c r="F13" s="3">
        <v>0</v>
      </c>
      <c r="G13" s="3">
        <v>240161</v>
      </c>
      <c r="H13" s="3">
        <v>0</v>
      </c>
      <c r="I13" s="4">
        <v>0.43212099999999998</v>
      </c>
      <c r="J13" s="3">
        <v>33608.6</v>
      </c>
      <c r="K13" s="4">
        <v>0</v>
      </c>
      <c r="L13" s="3">
        <v>0</v>
      </c>
      <c r="M13" s="3">
        <v>2342215</v>
      </c>
      <c r="N13" s="4">
        <v>9.7526899999999994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4608596</v>
      </c>
      <c r="F14" s="3">
        <v>0</v>
      </c>
      <c r="G14" s="3">
        <v>4608596</v>
      </c>
      <c r="H14" s="3">
        <v>0</v>
      </c>
      <c r="I14" s="4">
        <v>0.46153100000000002</v>
      </c>
      <c r="J14" s="3">
        <v>5376854</v>
      </c>
      <c r="K14" s="4">
        <v>0</v>
      </c>
      <c r="L14" s="3">
        <v>46085960</v>
      </c>
      <c r="M14" s="3">
        <v>85070480</v>
      </c>
      <c r="N14" s="4">
        <v>18.459088999999999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26148610</v>
      </c>
      <c r="F15" s="3">
        <v>0</v>
      </c>
      <c r="G15" s="3">
        <v>26148610</v>
      </c>
      <c r="H15" s="3">
        <v>0</v>
      </c>
      <c r="I15" s="4">
        <v>0.22350400000000001</v>
      </c>
      <c r="J15" s="3">
        <v>5966241</v>
      </c>
      <c r="K15" s="4">
        <v>0</v>
      </c>
      <c r="L15" s="3">
        <v>0</v>
      </c>
      <c r="M15" s="3">
        <v>120440600</v>
      </c>
      <c r="N15" s="4">
        <v>4.6060059999999998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11580200</v>
      </c>
      <c r="F17" s="3">
        <v>0</v>
      </c>
      <c r="G17" s="3">
        <v>11580200</v>
      </c>
      <c r="H17" s="3">
        <v>0</v>
      </c>
      <c r="I17" s="4">
        <v>0.19434299999999999</v>
      </c>
      <c r="J17" s="3">
        <v>2754931</v>
      </c>
      <c r="K17" s="4">
        <v>0</v>
      </c>
      <c r="L17" s="3">
        <v>0</v>
      </c>
      <c r="M17" s="3">
        <v>49807660</v>
      </c>
      <c r="N17" s="4">
        <v>4.3011039999999996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4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13241760</v>
      </c>
      <c r="F20" s="3">
        <v>0</v>
      </c>
      <c r="G20" s="3">
        <v>13241760</v>
      </c>
      <c r="H20" s="3">
        <v>0</v>
      </c>
      <c r="I20" s="4">
        <v>0.14974599999999999</v>
      </c>
      <c r="J20" s="3">
        <v>1323786</v>
      </c>
      <c r="K20" s="4">
        <v>0</v>
      </c>
      <c r="L20" s="3">
        <v>0</v>
      </c>
      <c r="M20" s="3">
        <v>105688100</v>
      </c>
      <c r="N20" s="4">
        <v>7.9814239999999996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4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37334560</v>
      </c>
      <c r="F22" s="3">
        <v>21244850</v>
      </c>
      <c r="G22" s="3">
        <v>16089710</v>
      </c>
      <c r="H22" s="3">
        <v>-16089710</v>
      </c>
      <c r="I22" s="4">
        <v>0.11616</v>
      </c>
      <c r="J22" s="3">
        <v>0</v>
      </c>
      <c r="K22" s="4">
        <v>0</v>
      </c>
      <c r="L22" s="3">
        <v>0</v>
      </c>
      <c r="M22" s="3">
        <v>206008100</v>
      </c>
      <c r="N22" s="4">
        <v>3.5167320000000002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10151450</v>
      </c>
      <c r="F23" s="3">
        <v>5582174</v>
      </c>
      <c r="G23" s="3">
        <v>4569279</v>
      </c>
      <c r="H23" s="3">
        <v>-4569279</v>
      </c>
      <c r="I23" s="4">
        <v>0.57837300000000003</v>
      </c>
      <c r="J23" s="3">
        <v>31772530</v>
      </c>
      <c r="K23" s="4">
        <v>0</v>
      </c>
      <c r="L23" s="3">
        <v>0</v>
      </c>
      <c r="M23" s="3">
        <v>99512210</v>
      </c>
      <c r="N23" s="4">
        <v>6.3248100000000003</v>
      </c>
    </row>
    <row r="24" spans="1:14" x14ac:dyDescent="0.2">
      <c r="A24" s="12"/>
      <c r="B24" s="1" t="s">
        <v>40</v>
      </c>
      <c r="C24" s="3">
        <v>40000000</v>
      </c>
      <c r="D24" s="3">
        <v>40000000</v>
      </c>
      <c r="E24" s="3">
        <v>0</v>
      </c>
      <c r="F24" s="3">
        <v>287224.5</v>
      </c>
      <c r="G24" s="3">
        <v>-287224.5</v>
      </c>
      <c r="H24" s="3">
        <v>0</v>
      </c>
      <c r="I24" s="4">
        <v>3.0000000000000001E-6</v>
      </c>
      <c r="J24" s="3">
        <v>87399710000</v>
      </c>
      <c r="K24" s="4">
        <v>0</v>
      </c>
      <c r="L24" s="3">
        <v>2.8722400000000001</v>
      </c>
      <c r="M24" s="3">
        <v>-2300246</v>
      </c>
      <c r="N24" s="4">
        <v>-8.0085300000000004</v>
      </c>
    </row>
    <row r="25" spans="1:14" x14ac:dyDescent="0.2">
      <c r="A25" s="12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179006.9</v>
      </c>
      <c r="G25" s="3">
        <v>-179006.9</v>
      </c>
      <c r="H25" s="3">
        <v>0</v>
      </c>
      <c r="I25" s="4">
        <v>2.2426000000000001E-2</v>
      </c>
      <c r="J25" s="3">
        <v>7803005</v>
      </c>
      <c r="K25" s="4">
        <v>0</v>
      </c>
      <c r="L25" s="3">
        <v>0</v>
      </c>
      <c r="M25" s="3">
        <v>0</v>
      </c>
      <c r="N25" s="4" t="s">
        <v>21</v>
      </c>
    </row>
    <row r="26" spans="1:14" x14ac:dyDescent="0.2">
      <c r="A26" s="11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118587.2</v>
      </c>
      <c r="G26" s="3">
        <v>-118587.2</v>
      </c>
      <c r="H26" s="3">
        <v>0</v>
      </c>
      <c r="I26" s="4">
        <v>0.194961</v>
      </c>
      <c r="J26" s="3">
        <v>489675.2</v>
      </c>
      <c r="K26" s="4">
        <v>0</v>
      </c>
      <c r="L26" s="3">
        <v>592936.19999999995</v>
      </c>
      <c r="M26" s="3">
        <v>0</v>
      </c>
      <c r="N26" s="4" t="s">
        <v>21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4693892</v>
      </c>
      <c r="G27" s="3">
        <v>-4693892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-42325290</v>
      </c>
      <c r="N27" s="4">
        <v>-9.0170999999999992</v>
      </c>
    </row>
    <row r="28" spans="1:14" x14ac:dyDescent="0.2">
      <c r="A28" s="11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-481575200</v>
      </c>
      <c r="N28" s="4">
        <v>-9.2294079999999994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2723202</v>
      </c>
      <c r="F29" s="3">
        <v>5909883</v>
      </c>
      <c r="G29" s="3">
        <v>-3186681</v>
      </c>
      <c r="H29" s="3">
        <v>0</v>
      </c>
      <c r="I29" s="4">
        <v>0.149255</v>
      </c>
      <c r="J29" s="3">
        <v>61027940</v>
      </c>
      <c r="K29" s="4">
        <v>0</v>
      </c>
      <c r="L29" s="3">
        <v>0</v>
      </c>
      <c r="M29" s="3">
        <v>19484890</v>
      </c>
      <c r="N29" s="4">
        <v>2.257002</v>
      </c>
    </row>
    <row r="30" spans="1:14" ht="30" x14ac:dyDescent="0.2">
      <c r="A30" s="12"/>
      <c r="B30" s="1" t="s">
        <v>57</v>
      </c>
      <c r="C30" s="3">
        <v>857.70799999999997</v>
      </c>
      <c r="D30" s="3">
        <v>857.70799999999997</v>
      </c>
      <c r="E30" s="3">
        <v>137496.9</v>
      </c>
      <c r="F30" s="3">
        <v>261677.7</v>
      </c>
      <c r="G30" s="3">
        <v>-124180.8</v>
      </c>
      <c r="H30" s="3">
        <v>0</v>
      </c>
      <c r="I30" s="4">
        <v>0.21299599999999999</v>
      </c>
      <c r="J30" s="3">
        <v>1998273</v>
      </c>
      <c r="K30" s="4">
        <v>0</v>
      </c>
      <c r="L30" s="3">
        <v>0</v>
      </c>
      <c r="M30" s="3">
        <v>640477.1</v>
      </c>
      <c r="N30" s="4">
        <v>1.604503</v>
      </c>
    </row>
    <row r="31" spans="1:14" ht="30" x14ac:dyDescent="0.2">
      <c r="A31" s="12"/>
      <c r="B31" s="1" t="s">
        <v>58</v>
      </c>
      <c r="C31" s="3">
        <v>457.99400000000003</v>
      </c>
      <c r="D31" s="3">
        <v>457.99400000000003</v>
      </c>
      <c r="E31" s="3">
        <v>30841.96</v>
      </c>
      <c r="F31" s="3">
        <v>237150.1</v>
      </c>
      <c r="G31" s="3">
        <v>-206308.2</v>
      </c>
      <c r="H31" s="3">
        <v>0</v>
      </c>
      <c r="I31" s="4">
        <v>0.26779999999999998</v>
      </c>
      <c r="J31" s="3">
        <v>1207025</v>
      </c>
      <c r="K31" s="4">
        <v>0</v>
      </c>
      <c r="L31" s="3">
        <v>0</v>
      </c>
      <c r="M31" s="3">
        <v>640038.5</v>
      </c>
      <c r="N31" s="4">
        <v>2.388274</v>
      </c>
    </row>
    <row r="32" spans="1:14" ht="30" x14ac:dyDescent="0.2">
      <c r="A32" s="11"/>
      <c r="B32" s="1" t="s">
        <v>39</v>
      </c>
      <c r="C32" s="3">
        <v>5300</v>
      </c>
      <c r="D32" s="3">
        <v>5300</v>
      </c>
      <c r="E32" s="3">
        <v>871868.1</v>
      </c>
      <c r="F32" s="3">
        <v>2193658</v>
      </c>
      <c r="G32" s="3">
        <v>-1321790</v>
      </c>
      <c r="H32" s="3">
        <v>0</v>
      </c>
      <c r="I32" s="4">
        <v>0.264714</v>
      </c>
      <c r="J32" s="3">
        <v>12902290</v>
      </c>
      <c r="K32" s="4">
        <v>0</v>
      </c>
      <c r="L32" s="3">
        <v>0</v>
      </c>
      <c r="M32" s="3">
        <v>12484180</v>
      </c>
      <c r="N32" s="4">
        <v>4.0724429999999998</v>
      </c>
    </row>
    <row r="33" spans="1:14" x14ac:dyDescent="0.2">
      <c r="A33" s="10" t="s">
        <v>41</v>
      </c>
      <c r="B33" s="1" t="s">
        <v>40</v>
      </c>
      <c r="C33" s="3">
        <v>20000000</v>
      </c>
      <c r="D33" s="3">
        <v>20000000</v>
      </c>
      <c r="E33" s="3">
        <v>143612.20000000001</v>
      </c>
      <c r="F33" s="3">
        <v>143612.20000000001</v>
      </c>
      <c r="G33" s="3">
        <v>0</v>
      </c>
      <c r="H33" s="3">
        <v>0</v>
      </c>
      <c r="I33" s="4">
        <v>0.99988299999999997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A34" s="11"/>
      <c r="B34" s="1" t="s">
        <v>59</v>
      </c>
      <c r="C34" s="3">
        <v>46768.01</v>
      </c>
      <c r="D34" s="3">
        <v>46768.01</v>
      </c>
      <c r="E34" s="3">
        <v>116285.5</v>
      </c>
      <c r="F34" s="3">
        <v>123003.1</v>
      </c>
      <c r="G34" s="3">
        <v>-6717.5709999999999</v>
      </c>
      <c r="H34" s="3">
        <v>0</v>
      </c>
      <c r="I34" s="4">
        <v>0.65737299999999999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I35" s="9" t="s">
        <v>42</v>
      </c>
      <c r="J35" s="7">
        <f>SUM(J2:J32)</f>
        <v>87723137452.069992</v>
      </c>
      <c r="K35" s="5" t="s">
        <v>45</v>
      </c>
      <c r="L35" s="2">
        <f>SUM(L3:L32)</f>
        <v>104782370.60224001</v>
      </c>
      <c r="M35" s="2">
        <f>SUM(M3:M32)</f>
        <v>245371583.59999999</v>
      </c>
      <c r="N35" s="2">
        <f>SUM(N3:N32)</f>
        <v>140.82525899999999</v>
      </c>
    </row>
    <row r="36" spans="1:14" x14ac:dyDescent="0.2">
      <c r="I36" s="8" t="s">
        <v>43</v>
      </c>
      <c r="J36" s="2">
        <f>SUM(J15,J17)</f>
        <v>8721172</v>
      </c>
    </row>
    <row r="37" spans="1:14" x14ac:dyDescent="0.2">
      <c r="I37" s="8" t="s">
        <v>44</v>
      </c>
      <c r="J37" s="2">
        <f>SUM(J20)</f>
        <v>1323786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10166923.4</v>
      </c>
    </row>
    <row r="41" spans="1:14" x14ac:dyDescent="0.2">
      <c r="A41" t="s">
        <v>48</v>
      </c>
      <c r="C41" s="2">
        <f>SUMIFS($J$2:$J$32,$B$2:$B$32, "Offshore Wind")+SUMIFS($J$2:$J$32,$B$2:$B$32, "Onshore Wind")</f>
        <v>8721172</v>
      </c>
    </row>
    <row r="42" spans="1:14" x14ac:dyDescent="0.2">
      <c r="A42" t="s">
        <v>60</v>
      </c>
      <c r="C42" s="2">
        <f>-$M$27</f>
        <v>42325290</v>
      </c>
    </row>
  </sheetData>
  <autoFilter ref="A1:N37" xr:uid="{4D4BF803-EC4E-F842-B68E-528EC71F1DE9}"/>
  <mergeCells count="5">
    <mergeCell ref="A33:A34"/>
    <mergeCell ref="A2:A21"/>
    <mergeCell ref="A23:A26"/>
    <mergeCell ref="A27:A28"/>
    <mergeCell ref="A29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D0A62-B14B-AA4E-B6C1-C6D101FC58CC}">
  <dimension ref="A1:N42"/>
  <sheetViews>
    <sheetView topLeftCell="A23" workbookViewId="0">
      <selection activeCell="A42" sqref="A42:C42"/>
    </sheetView>
  </sheetViews>
  <sheetFormatPr baseColWidth="10" defaultColWidth="16.83203125" defaultRowHeight="16" x14ac:dyDescent="0.2"/>
  <cols>
    <col min="1" max="1" width="10.33203125" customWidth="1"/>
    <col min="3" max="3" width="18.83203125" customWidth="1"/>
    <col min="4" max="4" width="20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4470672</v>
      </c>
      <c r="F7" s="3">
        <v>0</v>
      </c>
      <c r="G7" s="3">
        <v>4470672</v>
      </c>
      <c r="H7" s="3">
        <v>0</v>
      </c>
      <c r="I7" s="3">
        <v>0.14940300000000001</v>
      </c>
      <c r="J7" s="3">
        <v>25452900</v>
      </c>
      <c r="K7" s="4">
        <v>0</v>
      </c>
      <c r="L7" s="3">
        <v>58118780</v>
      </c>
      <c r="M7" s="3">
        <v>58118780</v>
      </c>
      <c r="N7" s="4">
        <v>13.000009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6291.86</v>
      </c>
      <c r="F9" s="3">
        <v>0</v>
      </c>
      <c r="G9" s="3">
        <v>6291.86</v>
      </c>
      <c r="H9" s="3">
        <v>0</v>
      </c>
      <c r="I9" s="3">
        <v>0.26177909999999999</v>
      </c>
      <c r="J9" s="3">
        <v>17743.14</v>
      </c>
      <c r="K9" s="4">
        <v>0</v>
      </c>
      <c r="L9" s="3">
        <v>78396.58</v>
      </c>
      <c r="M9" s="3">
        <v>142252</v>
      </c>
      <c r="N9" s="4">
        <v>22.608885999999998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13628.67</v>
      </c>
      <c r="F10" s="3">
        <v>0</v>
      </c>
      <c r="G10" s="3">
        <v>13628.67</v>
      </c>
      <c r="H10" s="3">
        <v>0</v>
      </c>
      <c r="I10" s="3">
        <v>7.4742929999999999E-3</v>
      </c>
      <c r="J10" s="3">
        <v>1809778</v>
      </c>
      <c r="K10" s="4">
        <v>0</v>
      </c>
      <c r="L10" s="3">
        <v>735948.3</v>
      </c>
      <c r="M10" s="3">
        <v>804991.5</v>
      </c>
      <c r="N10" s="4">
        <v>59.066015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1407885</v>
      </c>
      <c r="F11" s="3">
        <v>0</v>
      </c>
      <c r="G11" s="3">
        <v>1407885</v>
      </c>
      <c r="H11" s="3">
        <v>0</v>
      </c>
      <c r="I11" s="3">
        <v>0.33961010000000003</v>
      </c>
      <c r="J11" s="3">
        <v>250352</v>
      </c>
      <c r="K11" s="4">
        <v>0</v>
      </c>
      <c r="L11" s="3">
        <v>0</v>
      </c>
      <c r="M11" s="3">
        <v>11618530</v>
      </c>
      <c r="N11" s="4">
        <v>8.2524739999999994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238733.7</v>
      </c>
      <c r="F13" s="3">
        <v>0</v>
      </c>
      <c r="G13" s="3">
        <v>238733.7</v>
      </c>
      <c r="H13" s="3">
        <v>0</v>
      </c>
      <c r="I13" s="3">
        <v>0.42955310000000002</v>
      </c>
      <c r="J13" s="3">
        <v>35035.85</v>
      </c>
      <c r="K13" s="4">
        <v>0</v>
      </c>
      <c r="L13" s="3">
        <v>0</v>
      </c>
      <c r="M13" s="3">
        <v>2384744</v>
      </c>
      <c r="N13" s="4">
        <v>9.9891389999999998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4599874</v>
      </c>
      <c r="F14" s="3">
        <v>0</v>
      </c>
      <c r="G14" s="3">
        <v>4599874</v>
      </c>
      <c r="H14" s="3">
        <v>0</v>
      </c>
      <c r="I14" s="3">
        <v>0.4606576</v>
      </c>
      <c r="J14" s="3">
        <v>5385576</v>
      </c>
      <c r="K14" s="4">
        <v>0</v>
      </c>
      <c r="L14" s="3">
        <v>45998740</v>
      </c>
      <c r="M14" s="3">
        <v>85564700</v>
      </c>
      <c r="N14" s="4">
        <v>18.601531999999999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26088760</v>
      </c>
      <c r="F15" s="3">
        <v>0</v>
      </c>
      <c r="G15" s="3">
        <v>26088760</v>
      </c>
      <c r="H15" s="3">
        <v>0</v>
      </c>
      <c r="I15" s="3">
        <v>0.2229921</v>
      </c>
      <c r="J15" s="3">
        <v>6026087</v>
      </c>
      <c r="K15" s="4">
        <v>0</v>
      </c>
      <c r="L15" s="3">
        <v>0</v>
      </c>
      <c r="M15" s="3">
        <v>121944500</v>
      </c>
      <c r="N15" s="4">
        <v>4.6742150000000002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11362170</v>
      </c>
      <c r="F17" s="3">
        <v>0</v>
      </c>
      <c r="G17" s="3">
        <v>11362170</v>
      </c>
      <c r="H17" s="3">
        <v>0</v>
      </c>
      <c r="I17" s="3">
        <v>0.1906834</v>
      </c>
      <c r="J17" s="3">
        <v>2972963</v>
      </c>
      <c r="K17" s="4">
        <v>0</v>
      </c>
      <c r="L17" s="3">
        <v>0</v>
      </c>
      <c r="M17" s="3">
        <v>50541050</v>
      </c>
      <c r="N17" s="4">
        <v>4.4481859999999998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13199660</v>
      </c>
      <c r="F20" s="3">
        <v>0</v>
      </c>
      <c r="G20" s="3">
        <v>13199660</v>
      </c>
      <c r="H20" s="3">
        <v>0</v>
      </c>
      <c r="I20" s="3">
        <v>0.14927029999999999</v>
      </c>
      <c r="J20" s="3">
        <v>1365885</v>
      </c>
      <c r="K20" s="4">
        <v>0</v>
      </c>
      <c r="L20" s="3">
        <v>0</v>
      </c>
      <c r="M20" s="3">
        <v>106238000</v>
      </c>
      <c r="N20" s="4">
        <v>8.048546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37339630</v>
      </c>
      <c r="F22" s="3">
        <v>21194280</v>
      </c>
      <c r="G22" s="3">
        <v>16145350</v>
      </c>
      <c r="H22" s="3">
        <v>-16145350</v>
      </c>
      <c r="I22" s="3">
        <v>0.1160701</v>
      </c>
      <c r="J22" s="3">
        <v>0</v>
      </c>
      <c r="K22" s="4">
        <v>0</v>
      </c>
      <c r="L22" s="3">
        <v>0</v>
      </c>
      <c r="M22" s="3">
        <v>208317800</v>
      </c>
      <c r="N22" s="4">
        <v>3.5589249999999999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10172830</v>
      </c>
      <c r="F23" s="3">
        <v>5587528</v>
      </c>
      <c r="G23" s="3">
        <v>4585304</v>
      </c>
      <c r="H23" s="3">
        <v>-4585304</v>
      </c>
      <c r="I23" s="3">
        <v>0.57935579999999998</v>
      </c>
      <c r="J23" s="3">
        <v>31788550</v>
      </c>
      <c r="K23" s="4">
        <v>0</v>
      </c>
      <c r="L23" s="3">
        <v>0</v>
      </c>
      <c r="M23" s="3">
        <v>101020200</v>
      </c>
      <c r="N23" s="4">
        <v>6.409764</v>
      </c>
    </row>
    <row r="24" spans="1:14" x14ac:dyDescent="0.2">
      <c r="A24" s="12"/>
      <c r="B24" s="1" t="s">
        <v>55</v>
      </c>
      <c r="C24" s="3">
        <v>3653.0949999999998</v>
      </c>
      <c r="D24" s="3">
        <v>3653.0949999999998</v>
      </c>
      <c r="E24" s="3">
        <v>0</v>
      </c>
      <c r="F24" s="3">
        <v>185716</v>
      </c>
      <c r="G24" s="3">
        <v>-185716</v>
      </c>
      <c r="H24" s="3">
        <v>0</v>
      </c>
      <c r="I24" s="3">
        <v>2.3266820000000001E-2</v>
      </c>
      <c r="J24" s="3">
        <v>7796296</v>
      </c>
      <c r="K24" s="4">
        <v>0</v>
      </c>
      <c r="L24" s="3">
        <v>0</v>
      </c>
      <c r="M24" s="3">
        <v>0</v>
      </c>
      <c r="N24" s="4" t="s">
        <v>21</v>
      </c>
    </row>
    <row r="25" spans="1:14" x14ac:dyDescent="0.2">
      <c r="A25" s="12"/>
      <c r="B25" s="1" t="s">
        <v>56</v>
      </c>
      <c r="C25" s="3">
        <v>278.38099999999997</v>
      </c>
      <c r="D25" s="3">
        <v>278.38099999999997</v>
      </c>
      <c r="E25" s="3">
        <v>0</v>
      </c>
      <c r="F25" s="3">
        <v>124473.9</v>
      </c>
      <c r="G25" s="3">
        <v>-124473.9</v>
      </c>
      <c r="H25" s="3">
        <v>0</v>
      </c>
      <c r="I25" s="3">
        <v>0.2046385</v>
      </c>
      <c r="J25" s="3">
        <v>483788.6</v>
      </c>
      <c r="K25" s="4">
        <v>0</v>
      </c>
      <c r="L25" s="3">
        <v>622369.5</v>
      </c>
      <c r="M25" s="3">
        <v>0</v>
      </c>
      <c r="N25" s="4" t="s">
        <v>21</v>
      </c>
    </row>
    <row r="26" spans="1:14" x14ac:dyDescent="0.2">
      <c r="A26" s="11"/>
      <c r="B26" s="1" t="s">
        <v>33</v>
      </c>
      <c r="C26" s="3">
        <v>380000000</v>
      </c>
      <c r="D26" s="3">
        <v>380000000</v>
      </c>
      <c r="E26" s="3">
        <v>0</v>
      </c>
      <c r="F26" s="3">
        <v>30748.63</v>
      </c>
      <c r="G26" s="3">
        <v>-30748.63</v>
      </c>
      <c r="H26" s="3">
        <v>30748.63</v>
      </c>
      <c r="I26" s="3">
        <v>3.7033160000000003E-8</v>
      </c>
      <c r="J26" s="3">
        <v>830300000000</v>
      </c>
      <c r="K26" s="4">
        <v>0</v>
      </c>
      <c r="L26" s="3">
        <v>0.30748999999999999</v>
      </c>
      <c r="M26" s="3">
        <v>-226130.2</v>
      </c>
      <c r="N26" s="4">
        <v>-7.3541559999999997</v>
      </c>
    </row>
    <row r="27" spans="1:14" x14ac:dyDescent="0.2">
      <c r="A27" s="10" t="s">
        <v>34</v>
      </c>
      <c r="B27" s="1" t="s">
        <v>35</v>
      </c>
      <c r="C27" s="3">
        <v>0</v>
      </c>
      <c r="D27" s="3">
        <v>0</v>
      </c>
      <c r="E27" s="3">
        <v>0</v>
      </c>
      <c r="F27" s="3">
        <v>4693892</v>
      </c>
      <c r="G27" s="3">
        <v>-4693892</v>
      </c>
      <c r="H27" s="3">
        <v>0</v>
      </c>
      <c r="I27" s="4" t="s">
        <v>21</v>
      </c>
      <c r="J27" s="3">
        <v>0</v>
      </c>
      <c r="K27" s="4">
        <v>0</v>
      </c>
      <c r="L27" s="3">
        <v>0</v>
      </c>
      <c r="M27" s="3">
        <v>-42709870</v>
      </c>
      <c r="N27" s="4">
        <v>-9.0990319999999993</v>
      </c>
    </row>
    <row r="28" spans="1:14" x14ac:dyDescent="0.2">
      <c r="A28" s="11"/>
      <c r="B28" s="1" t="s">
        <v>36</v>
      </c>
      <c r="C28" s="3">
        <v>0</v>
      </c>
      <c r="D28" s="3">
        <v>0</v>
      </c>
      <c r="E28" s="3">
        <v>0</v>
      </c>
      <c r="F28" s="3">
        <v>52178340</v>
      </c>
      <c r="G28" s="3">
        <v>-52178340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-485567800</v>
      </c>
      <c r="N28" s="4">
        <v>-9.3059270000000005</v>
      </c>
    </row>
    <row r="29" spans="1:14" x14ac:dyDescent="0.2">
      <c r="A29" s="10" t="s">
        <v>37</v>
      </c>
      <c r="B29" s="1" t="s">
        <v>38</v>
      </c>
      <c r="C29" s="3">
        <v>26471.97</v>
      </c>
      <c r="D29" s="3">
        <v>26471.97</v>
      </c>
      <c r="E29" s="3">
        <v>3675182</v>
      </c>
      <c r="F29" s="3">
        <v>6659065</v>
      </c>
      <c r="G29" s="3">
        <v>-2983883</v>
      </c>
      <c r="H29" s="3">
        <v>0</v>
      </c>
      <c r="I29" s="3">
        <v>0.17866570000000001</v>
      </c>
      <c r="J29" s="3">
        <v>60825140</v>
      </c>
      <c r="K29" s="4">
        <v>0</v>
      </c>
      <c r="L29" s="3">
        <v>0</v>
      </c>
      <c r="M29" s="3">
        <v>19882720</v>
      </c>
      <c r="N29" s="4">
        <v>1.923964</v>
      </c>
    </row>
    <row r="30" spans="1:14" ht="30" x14ac:dyDescent="0.2">
      <c r="A30" s="12"/>
      <c r="B30" s="1" t="s">
        <v>57</v>
      </c>
      <c r="C30" s="3">
        <v>857.70799999999997</v>
      </c>
      <c r="D30" s="3">
        <v>857.70799999999997</v>
      </c>
      <c r="E30" s="3">
        <v>172330.4</v>
      </c>
      <c r="F30" s="3">
        <v>288062.8</v>
      </c>
      <c r="G30" s="3">
        <v>-115732.5</v>
      </c>
      <c r="H30" s="3">
        <v>0</v>
      </c>
      <c r="I30" s="3">
        <v>0.24566199999999999</v>
      </c>
      <c r="J30" s="3">
        <v>1989824</v>
      </c>
      <c r="K30" s="4">
        <v>0</v>
      </c>
      <c r="L30" s="3">
        <v>0</v>
      </c>
      <c r="M30" s="3">
        <v>653445.30000000005</v>
      </c>
      <c r="N30" s="4">
        <v>1.4193199999999999</v>
      </c>
    </row>
    <row r="31" spans="1:14" ht="30" x14ac:dyDescent="0.2">
      <c r="A31" s="12"/>
      <c r="B31" s="1" t="s">
        <v>58</v>
      </c>
      <c r="C31" s="3">
        <v>457.99400000000003</v>
      </c>
      <c r="D31" s="3">
        <v>457.99400000000003</v>
      </c>
      <c r="E31" s="3">
        <v>33659.410000000003</v>
      </c>
      <c r="F31" s="3">
        <v>228497.6</v>
      </c>
      <c r="G31" s="3">
        <v>-194838.2</v>
      </c>
      <c r="H31" s="3">
        <v>0</v>
      </c>
      <c r="I31" s="3">
        <v>0.26196920000000001</v>
      </c>
      <c r="J31" s="3">
        <v>1195555</v>
      </c>
      <c r="K31" s="4">
        <v>0</v>
      </c>
      <c r="L31" s="3">
        <v>0</v>
      </c>
      <c r="M31" s="3">
        <v>648915.19999999995</v>
      </c>
      <c r="N31" s="4">
        <v>2.475292</v>
      </c>
    </row>
    <row r="32" spans="1:14" ht="30" x14ac:dyDescent="0.2">
      <c r="A32" s="11"/>
      <c r="B32" s="1" t="s">
        <v>39</v>
      </c>
      <c r="C32" s="3">
        <v>5300</v>
      </c>
      <c r="D32" s="3">
        <v>5300</v>
      </c>
      <c r="E32" s="3">
        <v>1082654</v>
      </c>
      <c r="F32" s="3">
        <v>2294798</v>
      </c>
      <c r="G32" s="3">
        <v>-1212144</v>
      </c>
      <c r="H32" s="3">
        <v>0</v>
      </c>
      <c r="I32" s="3">
        <v>0.29164990000000002</v>
      </c>
      <c r="J32" s="3">
        <v>12792640</v>
      </c>
      <c r="K32" s="4">
        <v>0</v>
      </c>
      <c r="L32" s="3">
        <v>0</v>
      </c>
      <c r="M32" s="3">
        <v>12727840</v>
      </c>
      <c r="N32" s="4">
        <v>3.7684739999999999</v>
      </c>
    </row>
    <row r="33" spans="1:14" x14ac:dyDescent="0.2">
      <c r="A33" s="1" t="s">
        <v>41</v>
      </c>
      <c r="B33" s="1" t="s">
        <v>59</v>
      </c>
      <c r="C33" s="3">
        <v>46768.01</v>
      </c>
      <c r="D33" s="3">
        <v>46768.01</v>
      </c>
      <c r="E33" s="3">
        <v>122496.8</v>
      </c>
      <c r="F33" s="3">
        <v>128024.1</v>
      </c>
      <c r="G33" s="3">
        <v>-5527.3029999999999</v>
      </c>
      <c r="H33" s="3">
        <v>0</v>
      </c>
      <c r="I33" s="3">
        <v>0.54089500000000001</v>
      </c>
      <c r="J33" s="3">
        <v>0</v>
      </c>
      <c r="K33" s="4">
        <v>0</v>
      </c>
      <c r="L33" s="3">
        <v>0</v>
      </c>
      <c r="M33" s="3">
        <v>0</v>
      </c>
      <c r="N33" s="4" t="s">
        <v>21</v>
      </c>
    </row>
    <row r="34" spans="1:14" x14ac:dyDescent="0.2">
      <c r="H34" s="6"/>
      <c r="I34" s="9" t="s">
        <v>42</v>
      </c>
      <c r="J34" s="7">
        <f>SUM(J1:J31)</f>
        <v>830610634860.29004</v>
      </c>
      <c r="K34" s="5" t="s">
        <v>45</v>
      </c>
      <c r="L34" s="2">
        <f>SUM(L2:L31)</f>
        <v>105554234.68749</v>
      </c>
      <c r="M34" s="2">
        <f>SUM(M2:M31)</f>
        <v>239376827.79999995</v>
      </c>
      <c r="N34" s="2">
        <f>SUM(N2:N31)</f>
        <v>138.71715199999997</v>
      </c>
    </row>
    <row r="35" spans="1:14" x14ac:dyDescent="0.2">
      <c r="I35" s="8" t="s">
        <v>43</v>
      </c>
      <c r="J35" s="2">
        <f>SUM(J15,J17)</f>
        <v>8999050</v>
      </c>
    </row>
    <row r="36" spans="1:14" x14ac:dyDescent="0.2">
      <c r="I36" s="8" t="s">
        <v>44</v>
      </c>
      <c r="J36" s="2">
        <f>SUM(J20)</f>
        <v>1365885</v>
      </c>
    </row>
    <row r="38" spans="1:14" x14ac:dyDescent="0.2">
      <c r="A38" t="s">
        <v>46</v>
      </c>
    </row>
    <row r="39" spans="1:14" x14ac:dyDescent="0.2">
      <c r="A39" t="s">
        <v>49</v>
      </c>
      <c r="C39" s="2">
        <f>SUMIFS($D$2:$D$34,$B$2:$B$34, "Solar PV")+SUMIFS($D$2:$D$34,$B$2:$B$34, "Offshore Wind")+SUMIFS($D$2:$D$34,$B$2:$B$34, "Onshore Wind")+SUMIFS($D$2:$D$34,$B$2:$B$34, "Sewage Gas")</f>
        <v>121341.17939</v>
      </c>
    </row>
    <row r="40" spans="1:14" x14ac:dyDescent="0.2">
      <c r="A40" t="s">
        <v>47</v>
      </c>
      <c r="C40" s="2">
        <f>SUMIFS($J$2:$J$34,$B$2:$B$34, "Solar PV")+SUMIFS($J$2:$J$34,$B$2:$B$34, "Offshore Wind")+SUMIFS($J$2:$J$34,$B$2:$B$34, "Onshore Wind")+SUMIFS($J$2:$J$34,$B$2:$B$34, "Sewage Gas")</f>
        <v>10486900.4</v>
      </c>
    </row>
    <row r="41" spans="1:14" x14ac:dyDescent="0.2">
      <c r="A41" t="s">
        <v>48</v>
      </c>
      <c r="C41" s="2">
        <f>SUMIFS($J$2:$J$34,$B$2:$B$34, "Offshore Wind")+SUMIFS($J$2:$J$34,$B$2:$B$34, "Onshore Wind")</f>
        <v>8999050</v>
      </c>
    </row>
    <row r="42" spans="1:14" x14ac:dyDescent="0.2">
      <c r="A42" s="13" t="s">
        <v>60</v>
      </c>
      <c r="B42" s="13"/>
      <c r="C42" s="14">
        <f>-$M$27</f>
        <v>42709870</v>
      </c>
    </row>
  </sheetData>
  <autoFilter ref="A1:N36" xr:uid="{274D0A62-B14B-AA4E-B6C1-C6D101FC58CC}"/>
  <mergeCells count="4">
    <mergeCell ref="A2:A21"/>
    <mergeCell ref="A23:A26"/>
    <mergeCell ref="A27:A28"/>
    <mergeCell ref="A29:A32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27E0-A6E7-0A4E-A9C8-EA69BF34BB6E}">
  <dimension ref="A1:N42"/>
  <sheetViews>
    <sheetView tabSelected="1" topLeftCell="A19" workbookViewId="0">
      <selection sqref="A1:N35"/>
    </sheetView>
  </sheetViews>
  <sheetFormatPr baseColWidth="10" defaultColWidth="17.5" defaultRowHeight="16" x14ac:dyDescent="0.2"/>
  <cols>
    <col min="1" max="1" width="11.6640625" customWidth="1"/>
    <col min="2" max="2" width="15.1640625" customWidth="1"/>
  </cols>
  <sheetData>
    <row r="1" spans="1:14" ht="30" x14ac:dyDescent="0.2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0" t="s">
        <v>12</v>
      </c>
      <c r="B2" s="1" t="s">
        <v>13</v>
      </c>
      <c r="C2" s="3">
        <v>372.4393</v>
      </c>
      <c r="D2" s="3">
        <v>372.4393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813779.8</v>
      </c>
      <c r="K2" s="4">
        <v>0</v>
      </c>
      <c r="L2" s="3">
        <v>0</v>
      </c>
      <c r="M2" s="3">
        <v>0</v>
      </c>
      <c r="N2" s="4" t="s">
        <v>21</v>
      </c>
    </row>
    <row r="3" spans="1:14" x14ac:dyDescent="0.2">
      <c r="A3" s="12"/>
      <c r="B3" s="1" t="s">
        <v>14</v>
      </c>
      <c r="C3" s="3">
        <v>1642.8920000000001</v>
      </c>
      <c r="D3" s="3">
        <v>1642.8920000000001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3589718</v>
      </c>
      <c r="K3" s="4">
        <v>0</v>
      </c>
      <c r="L3" s="3">
        <v>0</v>
      </c>
      <c r="M3" s="3">
        <v>0</v>
      </c>
      <c r="N3" s="4" t="s">
        <v>21</v>
      </c>
    </row>
    <row r="4" spans="1:14" x14ac:dyDescent="0.2">
      <c r="A4" s="12"/>
      <c r="B4" s="1" t="s">
        <v>15</v>
      </c>
      <c r="C4" s="3">
        <v>9185.8070000000007</v>
      </c>
      <c r="D4" s="3">
        <v>9185.8070000000007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20070990</v>
      </c>
      <c r="K4" s="4">
        <v>0</v>
      </c>
      <c r="L4" s="3">
        <v>0</v>
      </c>
      <c r="M4" s="3">
        <v>0</v>
      </c>
      <c r="N4" s="4" t="s">
        <v>21</v>
      </c>
    </row>
    <row r="5" spans="1:14" ht="30" x14ac:dyDescent="0.2">
      <c r="A5" s="12"/>
      <c r="B5" s="1" t="s">
        <v>16</v>
      </c>
      <c r="C5" s="3">
        <v>23586</v>
      </c>
      <c r="D5" s="3">
        <v>23586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51535410</v>
      </c>
      <c r="K5" s="4">
        <v>0</v>
      </c>
      <c r="L5" s="3">
        <v>0</v>
      </c>
      <c r="M5" s="3">
        <v>0</v>
      </c>
      <c r="N5" s="4" t="s">
        <v>21</v>
      </c>
    </row>
    <row r="6" spans="1:14" ht="30" x14ac:dyDescent="0.2">
      <c r="A6" s="12"/>
      <c r="B6" s="1" t="s">
        <v>50</v>
      </c>
      <c r="C6" s="3">
        <v>3534.0360000000001</v>
      </c>
      <c r="D6" s="3">
        <v>3534.0360000000001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7721869</v>
      </c>
      <c r="K6" s="4">
        <v>0</v>
      </c>
      <c r="L6" s="3">
        <v>0</v>
      </c>
      <c r="M6" s="3">
        <v>0</v>
      </c>
      <c r="N6" s="4" t="s">
        <v>21</v>
      </c>
    </row>
    <row r="7" spans="1:14" x14ac:dyDescent="0.2">
      <c r="A7" s="12"/>
      <c r="B7" s="1" t="s">
        <v>17</v>
      </c>
      <c r="C7" s="3">
        <v>13695</v>
      </c>
      <c r="D7" s="3">
        <v>13695</v>
      </c>
      <c r="E7" s="3">
        <v>4346905</v>
      </c>
      <c r="F7" s="3">
        <v>0</v>
      </c>
      <c r="G7" s="3">
        <v>4346905</v>
      </c>
      <c r="H7" s="3">
        <v>0</v>
      </c>
      <c r="I7" s="3">
        <v>0.1452669</v>
      </c>
      <c r="J7" s="3">
        <v>25576670</v>
      </c>
      <c r="K7" s="4">
        <v>0</v>
      </c>
      <c r="L7" s="3">
        <v>55152630</v>
      </c>
      <c r="M7" s="3">
        <v>55152630</v>
      </c>
      <c r="N7" s="4">
        <v>12.687792</v>
      </c>
    </row>
    <row r="8" spans="1:14" x14ac:dyDescent="0.2">
      <c r="A8" s="12"/>
      <c r="B8" s="1" t="s">
        <v>51</v>
      </c>
      <c r="C8" s="3">
        <v>4067.2939999999999</v>
      </c>
      <c r="D8" s="3">
        <v>4067.2939999999999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8887037</v>
      </c>
      <c r="K8" s="4">
        <v>0</v>
      </c>
      <c r="L8" s="3">
        <v>0</v>
      </c>
      <c r="M8" s="3">
        <v>0</v>
      </c>
      <c r="N8" s="4" t="s">
        <v>21</v>
      </c>
    </row>
    <row r="9" spans="1:14" x14ac:dyDescent="0.2">
      <c r="A9" s="12"/>
      <c r="B9" s="1" t="s">
        <v>52</v>
      </c>
      <c r="C9" s="3">
        <v>11</v>
      </c>
      <c r="D9" s="3">
        <v>11</v>
      </c>
      <c r="E9" s="3">
        <v>5867.4049999999997</v>
      </c>
      <c r="F9" s="3">
        <v>0</v>
      </c>
      <c r="G9" s="3">
        <v>5867.4049999999997</v>
      </c>
      <c r="H9" s="3">
        <v>0</v>
      </c>
      <c r="I9" s="3">
        <v>0.24411910000000001</v>
      </c>
      <c r="J9" s="3">
        <v>18167.599999999999</v>
      </c>
      <c r="K9" s="4">
        <v>0</v>
      </c>
      <c r="L9" s="3">
        <v>73107.87</v>
      </c>
      <c r="M9" s="3">
        <v>131241.4</v>
      </c>
      <c r="N9" s="4">
        <v>22.367894</v>
      </c>
    </row>
    <row r="10" spans="1:14" x14ac:dyDescent="0.2">
      <c r="A10" s="12"/>
      <c r="B10" s="1" t="s">
        <v>18</v>
      </c>
      <c r="C10" s="3">
        <v>834.51110000000006</v>
      </c>
      <c r="D10" s="3">
        <v>834.51110000000006</v>
      </c>
      <c r="E10" s="3">
        <v>13412.72</v>
      </c>
      <c r="F10" s="3">
        <v>0</v>
      </c>
      <c r="G10" s="3">
        <v>13412.72</v>
      </c>
      <c r="H10" s="3">
        <v>0</v>
      </c>
      <c r="I10" s="3">
        <v>7.3558640000000002E-3</v>
      </c>
      <c r="J10" s="3">
        <v>1809994</v>
      </c>
      <c r="K10" s="4">
        <v>0</v>
      </c>
      <c r="L10" s="3">
        <v>724287</v>
      </c>
      <c r="M10" s="3">
        <v>773131.5</v>
      </c>
      <c r="N10" s="4">
        <v>57.641613999999997</v>
      </c>
    </row>
    <row r="11" spans="1:14" x14ac:dyDescent="0.2">
      <c r="A11" s="12"/>
      <c r="B11" s="1" t="s">
        <v>19</v>
      </c>
      <c r="C11" s="3">
        <v>1897.296</v>
      </c>
      <c r="D11" s="3">
        <v>1897.296</v>
      </c>
      <c r="E11" s="3">
        <v>1411647</v>
      </c>
      <c r="F11" s="3">
        <v>0</v>
      </c>
      <c r="G11" s="3">
        <v>1411647</v>
      </c>
      <c r="H11" s="3">
        <v>0</v>
      </c>
      <c r="I11" s="3">
        <v>0.34051769999999998</v>
      </c>
      <c r="J11" s="3">
        <v>246589.3</v>
      </c>
      <c r="K11" s="4">
        <v>0</v>
      </c>
      <c r="L11" s="3">
        <v>0</v>
      </c>
      <c r="M11" s="3">
        <v>11042220</v>
      </c>
      <c r="N11" s="4">
        <v>7.8222230000000001</v>
      </c>
    </row>
    <row r="12" spans="1:14" x14ac:dyDescent="0.2">
      <c r="A12" s="12"/>
      <c r="B12" s="1" t="s">
        <v>20</v>
      </c>
      <c r="C12" s="3">
        <v>48629.19</v>
      </c>
      <c r="D12" s="3">
        <v>48629.19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52178340</v>
      </c>
      <c r="K12" s="4">
        <v>0</v>
      </c>
      <c r="L12" s="3">
        <v>0</v>
      </c>
      <c r="M12" s="3">
        <v>0</v>
      </c>
      <c r="N12" s="4" t="s">
        <v>21</v>
      </c>
    </row>
    <row r="13" spans="1:14" x14ac:dyDescent="0.2">
      <c r="A13" s="12"/>
      <c r="B13" s="1" t="s">
        <v>53</v>
      </c>
      <c r="C13" s="3">
        <v>254.358</v>
      </c>
      <c r="D13" s="3">
        <v>254.358</v>
      </c>
      <c r="E13" s="3">
        <v>237153.7</v>
      </c>
      <c r="F13" s="3">
        <v>0</v>
      </c>
      <c r="G13" s="3">
        <v>237153.7</v>
      </c>
      <c r="H13" s="3">
        <v>0</v>
      </c>
      <c r="I13" s="3">
        <v>0.42671019999999998</v>
      </c>
      <c r="J13" s="3">
        <v>36615.89</v>
      </c>
      <c r="K13" s="4">
        <v>0</v>
      </c>
      <c r="L13" s="3">
        <v>0</v>
      </c>
      <c r="M13" s="3">
        <v>2309131</v>
      </c>
      <c r="N13" s="4">
        <v>9.7368550000000003</v>
      </c>
    </row>
    <row r="14" spans="1:14" x14ac:dyDescent="0.2">
      <c r="A14" s="12"/>
      <c r="B14" s="1" t="s">
        <v>22</v>
      </c>
      <c r="C14" s="3">
        <v>4570</v>
      </c>
      <c r="D14" s="3">
        <v>4570</v>
      </c>
      <c r="E14" s="3">
        <v>4537327</v>
      </c>
      <c r="F14" s="3">
        <v>0</v>
      </c>
      <c r="G14" s="3">
        <v>4537327</v>
      </c>
      <c r="H14" s="3">
        <v>0</v>
      </c>
      <c r="I14" s="3">
        <v>0.45439390000000002</v>
      </c>
      <c r="J14" s="3">
        <v>5448123</v>
      </c>
      <c r="K14" s="4">
        <v>0</v>
      </c>
      <c r="L14" s="3">
        <v>45373270</v>
      </c>
      <c r="M14" s="3">
        <v>83141160</v>
      </c>
      <c r="N14" s="4">
        <v>18.323816999999998</v>
      </c>
    </row>
    <row r="15" spans="1:14" x14ac:dyDescent="0.2">
      <c r="A15" s="12"/>
      <c r="B15" s="1" t="s">
        <v>23</v>
      </c>
      <c r="C15" s="3">
        <v>53544.2</v>
      </c>
      <c r="D15" s="3">
        <v>53544.2</v>
      </c>
      <c r="E15" s="3">
        <v>26260520</v>
      </c>
      <c r="F15" s="3">
        <v>0</v>
      </c>
      <c r="G15" s="3">
        <v>26260520</v>
      </c>
      <c r="H15" s="3">
        <v>0</v>
      </c>
      <c r="I15" s="3">
        <v>0.2244603</v>
      </c>
      <c r="J15" s="3">
        <v>5854325</v>
      </c>
      <c r="K15" s="4">
        <v>0</v>
      </c>
      <c r="L15" s="3">
        <v>0</v>
      </c>
      <c r="M15" s="3">
        <v>119110500</v>
      </c>
      <c r="N15" s="4">
        <v>4.5357240000000001</v>
      </c>
    </row>
    <row r="16" spans="1:14" x14ac:dyDescent="0.2">
      <c r="A16" s="12"/>
      <c r="B16" s="1" t="s">
        <v>24</v>
      </c>
      <c r="C16" s="3">
        <v>78.5</v>
      </c>
      <c r="D16" s="3">
        <v>78.5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171522.5</v>
      </c>
      <c r="K16" s="4">
        <v>0</v>
      </c>
      <c r="L16" s="3">
        <v>0</v>
      </c>
      <c r="M16" s="3">
        <v>0</v>
      </c>
      <c r="N16" s="4" t="s">
        <v>21</v>
      </c>
    </row>
    <row r="17" spans="1:14" x14ac:dyDescent="0.2">
      <c r="A17" s="12"/>
      <c r="B17" s="1" t="s">
        <v>25</v>
      </c>
      <c r="C17" s="3">
        <v>27270.74</v>
      </c>
      <c r="D17" s="3">
        <v>27270.74</v>
      </c>
      <c r="E17" s="3">
        <v>11327850</v>
      </c>
      <c r="F17" s="3">
        <v>0</v>
      </c>
      <c r="G17" s="3">
        <v>11327850</v>
      </c>
      <c r="H17" s="3">
        <v>0</v>
      </c>
      <c r="I17" s="3">
        <v>0.19010750000000001</v>
      </c>
      <c r="J17" s="3">
        <v>3007282</v>
      </c>
      <c r="K17" s="4">
        <v>0</v>
      </c>
      <c r="L17" s="3">
        <v>0</v>
      </c>
      <c r="M17" s="3">
        <v>49272770</v>
      </c>
      <c r="N17" s="4">
        <v>4.3497009999999996</v>
      </c>
    </row>
    <row r="18" spans="1:14" ht="30" x14ac:dyDescent="0.2">
      <c r="A18" s="12"/>
      <c r="B18" s="1" t="s">
        <v>26</v>
      </c>
      <c r="C18" s="3">
        <v>3662.89</v>
      </c>
      <c r="D18" s="3">
        <v>3662.89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8003415</v>
      </c>
      <c r="K18" s="4">
        <v>0</v>
      </c>
      <c r="L18" s="3">
        <v>0</v>
      </c>
      <c r="M18" s="3">
        <v>0</v>
      </c>
      <c r="N18" s="4" t="s">
        <v>21</v>
      </c>
    </row>
    <row r="19" spans="1:14" x14ac:dyDescent="0.2">
      <c r="A19" s="12"/>
      <c r="B19" s="1" t="s">
        <v>27</v>
      </c>
      <c r="C19" s="3">
        <v>55.819389999999999</v>
      </c>
      <c r="D19" s="3">
        <v>55.819389999999999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121965.4</v>
      </c>
      <c r="K19" s="4">
        <v>0</v>
      </c>
      <c r="L19" s="3">
        <v>0</v>
      </c>
      <c r="M19" s="3">
        <v>0</v>
      </c>
      <c r="N19" s="4" t="s">
        <v>21</v>
      </c>
    </row>
    <row r="20" spans="1:14" x14ac:dyDescent="0.2">
      <c r="A20" s="12"/>
      <c r="B20" s="1" t="s">
        <v>28</v>
      </c>
      <c r="C20" s="3">
        <v>40470.42</v>
      </c>
      <c r="D20" s="3">
        <v>40470.42</v>
      </c>
      <c r="E20" s="3">
        <v>13122590</v>
      </c>
      <c r="F20" s="3">
        <v>0</v>
      </c>
      <c r="G20" s="3">
        <v>13122590</v>
      </c>
      <c r="H20" s="3">
        <v>0</v>
      </c>
      <c r="I20" s="3">
        <v>0.1483988</v>
      </c>
      <c r="J20" s="3">
        <v>1442954</v>
      </c>
      <c r="K20" s="4">
        <v>0</v>
      </c>
      <c r="L20" s="3">
        <v>0</v>
      </c>
      <c r="M20" s="3">
        <v>104319200</v>
      </c>
      <c r="N20" s="4">
        <v>7.9495940000000003</v>
      </c>
    </row>
    <row r="21" spans="1:14" x14ac:dyDescent="0.2">
      <c r="A21" s="11"/>
      <c r="B21" s="1" t="s">
        <v>29</v>
      </c>
      <c r="C21" s="3">
        <v>4643.1779999999999</v>
      </c>
      <c r="D21" s="3">
        <v>4643.1779999999999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10145340</v>
      </c>
      <c r="K21" s="4">
        <v>0</v>
      </c>
      <c r="L21" s="3">
        <v>0</v>
      </c>
      <c r="M21" s="3">
        <v>0</v>
      </c>
      <c r="N21" s="4" t="s">
        <v>21</v>
      </c>
    </row>
    <row r="22" spans="1:14" x14ac:dyDescent="0.2">
      <c r="A22" s="1" t="s">
        <v>54</v>
      </c>
      <c r="B22" s="1" t="s">
        <v>31</v>
      </c>
      <c r="C22" s="3">
        <v>230800</v>
      </c>
      <c r="D22" s="3">
        <v>230800</v>
      </c>
      <c r="E22" s="3">
        <v>37325590</v>
      </c>
      <c r="F22" s="3">
        <v>20982790</v>
      </c>
      <c r="G22" s="3">
        <v>16342810</v>
      </c>
      <c r="H22" s="3">
        <v>-16342810</v>
      </c>
      <c r="I22" s="3">
        <v>0.1156229</v>
      </c>
      <c r="J22" s="3">
        <v>0</v>
      </c>
      <c r="K22" s="4">
        <v>0</v>
      </c>
      <c r="L22" s="3">
        <v>0</v>
      </c>
      <c r="M22" s="3">
        <v>194255500</v>
      </c>
      <c r="N22" s="4">
        <v>3.3315199999999998</v>
      </c>
    </row>
    <row r="23" spans="1:14" x14ac:dyDescent="0.2">
      <c r="A23" s="10" t="s">
        <v>30</v>
      </c>
      <c r="B23" s="1" t="s">
        <v>32</v>
      </c>
      <c r="C23" s="3">
        <v>12450</v>
      </c>
      <c r="D23" s="3">
        <v>12450</v>
      </c>
      <c r="E23" s="3">
        <v>10084660</v>
      </c>
      <c r="F23" s="3">
        <v>5626295</v>
      </c>
      <c r="G23" s="3">
        <v>4458364</v>
      </c>
      <c r="H23" s="3">
        <v>-4458364</v>
      </c>
      <c r="I23" s="3">
        <v>0.57753960000000004</v>
      </c>
      <c r="J23" s="3">
        <v>31661610</v>
      </c>
      <c r="K23" s="4">
        <v>0</v>
      </c>
      <c r="L23" s="3">
        <v>0</v>
      </c>
      <c r="M23" s="3">
        <v>95699000</v>
      </c>
      <c r="N23" s="4">
        <v>6.0912280000000001</v>
      </c>
    </row>
    <row r="24" spans="1:14" x14ac:dyDescent="0.2">
      <c r="A24" s="12"/>
      <c r="B24" s="1" t="s">
        <v>40</v>
      </c>
      <c r="C24" s="3">
        <v>40000000</v>
      </c>
      <c r="D24" s="3">
        <v>40000000</v>
      </c>
      <c r="E24" s="3">
        <v>0</v>
      </c>
      <c r="F24" s="3">
        <v>430858.6</v>
      </c>
      <c r="G24" s="3">
        <v>-430858.6</v>
      </c>
      <c r="H24" s="3">
        <v>0</v>
      </c>
      <c r="I24" s="3">
        <v>4.9297319999999996E-6</v>
      </c>
      <c r="J24" s="3">
        <v>87399570000</v>
      </c>
      <c r="K24" s="4">
        <v>0</v>
      </c>
      <c r="L24" s="3">
        <v>4.3085899999999997</v>
      </c>
      <c r="M24" s="3">
        <v>-1918466</v>
      </c>
      <c r="N24" s="4">
        <v>-4.4526579999999996</v>
      </c>
    </row>
    <row r="25" spans="1:14" x14ac:dyDescent="0.2">
      <c r="A25" s="12"/>
      <c r="B25" s="1" t="s">
        <v>55</v>
      </c>
      <c r="C25" s="3">
        <v>3653.0949999999998</v>
      </c>
      <c r="D25" s="3">
        <v>3653.0949999999998</v>
      </c>
      <c r="E25" s="3">
        <v>0</v>
      </c>
      <c r="F25" s="3">
        <v>168783.3</v>
      </c>
      <c r="G25" s="3">
        <v>-168783.3</v>
      </c>
      <c r="H25" s="3">
        <v>0</v>
      </c>
      <c r="I25" s="3">
        <v>2.1145460000000001E-2</v>
      </c>
      <c r="J25" s="3">
        <v>7813229</v>
      </c>
      <c r="K25" s="4">
        <v>0</v>
      </c>
      <c r="L25" s="3">
        <v>0</v>
      </c>
      <c r="M25" s="3">
        <v>0</v>
      </c>
      <c r="N25" s="4" t="s">
        <v>21</v>
      </c>
    </row>
    <row r="26" spans="1:14" ht="30" x14ac:dyDescent="0.2">
      <c r="A26" s="12"/>
      <c r="B26" s="1" t="s">
        <v>56</v>
      </c>
      <c r="C26" s="3">
        <v>278.38099999999997</v>
      </c>
      <c r="D26" s="3">
        <v>278.38099999999997</v>
      </c>
      <c r="E26" s="3">
        <v>0</v>
      </c>
      <c r="F26" s="3">
        <v>113032.3</v>
      </c>
      <c r="G26" s="3">
        <v>-113032.3</v>
      </c>
      <c r="H26" s="3">
        <v>0</v>
      </c>
      <c r="I26" s="3">
        <v>0.1858282</v>
      </c>
      <c r="J26" s="3">
        <v>495230.1</v>
      </c>
      <c r="K26" s="4">
        <v>0</v>
      </c>
      <c r="L26" s="3">
        <v>565161.69999999995</v>
      </c>
      <c r="M26" s="3">
        <v>0</v>
      </c>
      <c r="N26" s="4" t="s">
        <v>21</v>
      </c>
    </row>
    <row r="27" spans="1:14" x14ac:dyDescent="0.2">
      <c r="A27" s="11"/>
      <c r="B27" s="1" t="s">
        <v>33</v>
      </c>
      <c r="C27" s="3">
        <v>380000000</v>
      </c>
      <c r="D27" s="3">
        <v>380000000</v>
      </c>
      <c r="E27" s="3">
        <v>0</v>
      </c>
      <c r="F27" s="3">
        <v>32280.76</v>
      </c>
      <c r="G27" s="3">
        <v>-32280.76</v>
      </c>
      <c r="H27" s="3">
        <v>32280.76</v>
      </c>
      <c r="I27" s="3">
        <v>3.8878420000000001E-8</v>
      </c>
      <c r="J27" s="3">
        <v>830300000000</v>
      </c>
      <c r="K27" s="4">
        <v>0</v>
      </c>
      <c r="L27" s="3">
        <v>0.32280999999999999</v>
      </c>
      <c r="M27" s="3">
        <v>-98914.38</v>
      </c>
      <c r="N27" s="4">
        <v>-3.0641910000000001</v>
      </c>
    </row>
    <row r="28" spans="1:14" x14ac:dyDescent="0.2">
      <c r="A28" s="10" t="s">
        <v>34</v>
      </c>
      <c r="B28" s="1" t="s">
        <v>35</v>
      </c>
      <c r="C28" s="3">
        <v>0</v>
      </c>
      <c r="D28" s="3">
        <v>0</v>
      </c>
      <c r="E28" s="3">
        <v>0</v>
      </c>
      <c r="F28" s="3">
        <v>4693892</v>
      </c>
      <c r="G28" s="3">
        <v>-4693892</v>
      </c>
      <c r="H28" s="3">
        <v>0</v>
      </c>
      <c r="I28" s="4" t="s">
        <v>21</v>
      </c>
      <c r="J28" s="3">
        <v>0</v>
      </c>
      <c r="K28" s="4">
        <v>0</v>
      </c>
      <c r="L28" s="3">
        <v>0</v>
      </c>
      <c r="M28" s="3">
        <v>-41758760</v>
      </c>
      <c r="N28" s="4">
        <v>-8.8964049999999997</v>
      </c>
    </row>
    <row r="29" spans="1:14" x14ac:dyDescent="0.2">
      <c r="A29" s="11"/>
      <c r="B29" s="1" t="s">
        <v>36</v>
      </c>
      <c r="C29" s="3">
        <v>0</v>
      </c>
      <c r="D29" s="3">
        <v>0</v>
      </c>
      <c r="E29" s="3">
        <v>0</v>
      </c>
      <c r="F29" s="3">
        <v>52178340</v>
      </c>
      <c r="G29" s="3">
        <v>-52178340</v>
      </c>
      <c r="H29" s="3">
        <v>0</v>
      </c>
      <c r="I29" s="4" t="s">
        <v>21</v>
      </c>
      <c r="J29" s="3">
        <v>0</v>
      </c>
      <c r="K29" s="4">
        <v>0</v>
      </c>
      <c r="L29" s="3">
        <v>0</v>
      </c>
      <c r="M29" s="3">
        <v>-475102100</v>
      </c>
      <c r="N29" s="4">
        <v>-9.1053519999999999</v>
      </c>
    </row>
    <row r="30" spans="1:14" x14ac:dyDescent="0.2">
      <c r="A30" s="10" t="s">
        <v>37</v>
      </c>
      <c r="B30" s="1" t="s">
        <v>38</v>
      </c>
      <c r="C30" s="3">
        <v>26471.97</v>
      </c>
      <c r="D30" s="3">
        <v>26471.97</v>
      </c>
      <c r="E30" s="3">
        <v>3869780</v>
      </c>
      <c r="F30" s="3">
        <v>6755991</v>
      </c>
      <c r="G30" s="3">
        <v>-2886211</v>
      </c>
      <c r="H30" s="3">
        <v>0</v>
      </c>
      <c r="I30" s="3">
        <v>0.1837057</v>
      </c>
      <c r="J30" s="3">
        <v>60727470</v>
      </c>
      <c r="K30" s="4">
        <v>0</v>
      </c>
      <c r="L30" s="3">
        <v>0</v>
      </c>
      <c r="M30" s="3">
        <v>19257070</v>
      </c>
      <c r="N30" s="4">
        <v>1.8122990000000001</v>
      </c>
    </row>
    <row r="31" spans="1:14" ht="30" x14ac:dyDescent="0.2">
      <c r="A31" s="12"/>
      <c r="B31" s="1" t="s">
        <v>57</v>
      </c>
      <c r="C31" s="3">
        <v>857.70799999999997</v>
      </c>
      <c r="D31" s="3">
        <v>857.70799999999997</v>
      </c>
      <c r="E31" s="3">
        <v>180789.3</v>
      </c>
      <c r="F31" s="3">
        <v>293334.90000000002</v>
      </c>
      <c r="G31" s="3">
        <v>-112545.60000000001</v>
      </c>
      <c r="H31" s="3">
        <v>0</v>
      </c>
      <c r="I31" s="3">
        <v>0.25298880000000001</v>
      </c>
      <c r="J31" s="3">
        <v>1986638</v>
      </c>
      <c r="K31" s="4">
        <v>0</v>
      </c>
      <c r="L31" s="3">
        <v>0</v>
      </c>
      <c r="M31" s="3">
        <v>632986</v>
      </c>
      <c r="N31" s="4">
        <v>1.3350630000000001</v>
      </c>
    </row>
    <row r="32" spans="1:14" ht="30" x14ac:dyDescent="0.2">
      <c r="A32" s="12"/>
      <c r="B32" s="1" t="s">
        <v>58</v>
      </c>
      <c r="C32" s="3">
        <v>457.99400000000003</v>
      </c>
      <c r="D32" s="3">
        <v>457.99400000000003</v>
      </c>
      <c r="E32" s="3">
        <v>34365.93</v>
      </c>
      <c r="F32" s="3">
        <v>227667.4</v>
      </c>
      <c r="G32" s="3">
        <v>-193301.5</v>
      </c>
      <c r="H32" s="3">
        <v>0</v>
      </c>
      <c r="I32" s="3">
        <v>0.26184560000000001</v>
      </c>
      <c r="J32" s="3">
        <v>1194018</v>
      </c>
      <c r="K32" s="4">
        <v>0</v>
      </c>
      <c r="L32" s="3">
        <v>0</v>
      </c>
      <c r="M32" s="3">
        <v>633332.30000000005</v>
      </c>
      <c r="N32" s="4">
        <v>2.4169909999999999</v>
      </c>
    </row>
    <row r="33" spans="1:14" ht="30" x14ac:dyDescent="0.2">
      <c r="A33" s="11"/>
      <c r="B33" s="1" t="s">
        <v>39</v>
      </c>
      <c r="C33" s="3">
        <v>5300</v>
      </c>
      <c r="D33" s="3">
        <v>5300</v>
      </c>
      <c r="E33" s="3">
        <v>1076291</v>
      </c>
      <c r="F33" s="3">
        <v>2274472</v>
      </c>
      <c r="G33" s="3">
        <v>-1198182</v>
      </c>
      <c r="H33" s="3">
        <v>0</v>
      </c>
      <c r="I33" s="3">
        <v>0.28934530000000003</v>
      </c>
      <c r="J33" s="3">
        <v>12778680</v>
      </c>
      <c r="K33" s="4">
        <v>0</v>
      </c>
      <c r="L33" s="3">
        <v>0</v>
      </c>
      <c r="M33" s="3">
        <v>12286210</v>
      </c>
      <c r="N33" s="4">
        <v>3.6666910000000001</v>
      </c>
    </row>
    <row r="34" spans="1:14" x14ac:dyDescent="0.2">
      <c r="A34" s="10" t="s">
        <v>41</v>
      </c>
      <c r="B34" s="1" t="s">
        <v>40</v>
      </c>
      <c r="C34" s="3">
        <v>20000000</v>
      </c>
      <c r="D34" s="3">
        <v>20000000</v>
      </c>
      <c r="E34" s="3">
        <v>215429.3</v>
      </c>
      <c r="F34" s="3">
        <v>215429.3</v>
      </c>
      <c r="G34" s="3">
        <v>0</v>
      </c>
      <c r="H34" s="3">
        <v>0</v>
      </c>
      <c r="I34" s="3">
        <v>0.99839960000000005</v>
      </c>
      <c r="J34" s="3">
        <v>0</v>
      </c>
      <c r="K34" s="4">
        <v>0</v>
      </c>
      <c r="L34" s="3">
        <v>0</v>
      </c>
      <c r="M34" s="3">
        <v>0</v>
      </c>
      <c r="N34" s="4" t="s">
        <v>21</v>
      </c>
    </row>
    <row r="35" spans="1:14" x14ac:dyDescent="0.2">
      <c r="A35" s="11"/>
      <c r="B35" s="1" t="s">
        <v>59</v>
      </c>
      <c r="C35" s="3">
        <v>46768.01</v>
      </c>
      <c r="D35" s="3">
        <v>46768.01</v>
      </c>
      <c r="E35" s="3">
        <v>111200.9</v>
      </c>
      <c r="F35" s="3">
        <v>116316.9</v>
      </c>
      <c r="G35" s="3">
        <v>-5115.9930000000004</v>
      </c>
      <c r="H35" s="3">
        <v>0</v>
      </c>
      <c r="I35" s="3">
        <v>0.50064470000000005</v>
      </c>
      <c r="J35" s="3">
        <v>0</v>
      </c>
      <c r="K35" s="4">
        <v>0</v>
      </c>
      <c r="L35" s="3">
        <v>0</v>
      </c>
      <c r="M35" s="3">
        <v>0</v>
      </c>
      <c r="N35" s="4" t="s">
        <v>21</v>
      </c>
    </row>
    <row r="36" spans="1:14" x14ac:dyDescent="0.2">
      <c r="I36" s="9" t="s">
        <v>42</v>
      </c>
      <c r="J36" s="7">
        <f>SUM(J3:J33)</f>
        <v>918022093202.79004</v>
      </c>
      <c r="K36" s="5" t="s">
        <v>45</v>
      </c>
      <c r="L36" s="2">
        <f>SUM(L4:L33)</f>
        <v>101888461.2014</v>
      </c>
      <c r="M36" s="2">
        <f>SUM(M4:M33)</f>
        <v>229137841.81999999</v>
      </c>
      <c r="N36" s="2">
        <f>SUM(N4:N33)</f>
        <v>138.55040000000002</v>
      </c>
    </row>
    <row r="37" spans="1:14" x14ac:dyDescent="0.2">
      <c r="I37" s="8" t="s">
        <v>43</v>
      </c>
      <c r="J37" s="2">
        <f>SUM(J15,J17)</f>
        <v>8861607</v>
      </c>
    </row>
    <row r="38" spans="1:14" x14ac:dyDescent="0.2">
      <c r="A38" t="s">
        <v>46</v>
      </c>
      <c r="I38" s="8" t="s">
        <v>44</v>
      </c>
      <c r="J38" s="2">
        <f>SUM(J20)</f>
        <v>1442954</v>
      </c>
    </row>
    <row r="39" spans="1:14" x14ac:dyDescent="0.2">
      <c r="A39" t="s">
        <v>49</v>
      </c>
      <c r="C39" s="2">
        <f>SUMIFS($D$2:$D$32,$B$2:$B$32, "Solar PV")+SUMIFS($D$2:$D$32,$B$2:$B$32, "Offshore Wind")+SUMIFS($D$2:$D$32,$B$2:$B$32, "Onshore Wind")+SUMIFS($D$2:$D$32,$B$2:$B$32, "Sewage Gas")</f>
        <v>121341.17939</v>
      </c>
    </row>
    <row r="40" spans="1:14" x14ac:dyDescent="0.2">
      <c r="A40" t="s">
        <v>47</v>
      </c>
      <c r="C40" s="2">
        <f>SUMIFS($J$2:$J$32,$B$2:$B$32, "Solar PV")+SUMIFS($J$2:$J$32,$B$2:$B$32, "Offshore Wind")+SUMIFS($J$2:$J$32,$B$2:$B$32, "Onshore Wind")+SUMIFS($J$2:$J$32,$B$2:$B$32, "Sewage Gas")</f>
        <v>10426526.4</v>
      </c>
    </row>
    <row r="41" spans="1:14" x14ac:dyDescent="0.2">
      <c r="A41" t="s">
        <v>48</v>
      </c>
      <c r="C41" s="2">
        <f>SUMIFS($J$2:$J$32,$B$2:$B$32, "Offshore Wind")+SUMIFS($J$2:$J$32,$B$2:$B$32, "Onshore Wind")</f>
        <v>8861607</v>
      </c>
    </row>
    <row r="42" spans="1:14" x14ac:dyDescent="0.2">
      <c r="A42" s="13" t="s">
        <v>60</v>
      </c>
      <c r="B42" s="13"/>
      <c r="C42" s="14">
        <f>-$M$28</f>
        <v>41758760</v>
      </c>
    </row>
  </sheetData>
  <autoFilter ref="A1:N41" xr:uid="{9B4D27E0-A6E7-0A4E-A9C8-EA69BF34BB6E}"/>
  <mergeCells count="5">
    <mergeCell ref="A34:A35"/>
    <mergeCell ref="A2:A21"/>
    <mergeCell ref="A23:A27"/>
    <mergeCell ref="A28:A29"/>
    <mergeCell ref="A30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Inflexible</vt:lpstr>
      <vt:lpstr>Temporal</vt:lpstr>
      <vt:lpstr>Spatial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2026-08-17T16:18:40Z</dcterms:modified>
</cp:coreProperties>
</file>