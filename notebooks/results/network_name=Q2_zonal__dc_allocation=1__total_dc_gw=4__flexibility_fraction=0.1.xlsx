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5CBA9EC1-6015-834B-8879-AC057F0632A6}" xr6:coauthVersionLast="47" xr6:coauthVersionMax="47" xr10:uidLastSave="{00000000-0000-0000-0000-000000000000}"/>
  <bookViews>
    <workbookView xWindow="4080" yWindow="600" windowWidth="30240" windowHeight="17400" activeTab="3" xr2:uid="{D4188A73-9F76-7B43-A2AE-82D891E862BC}"/>
  </bookViews>
  <sheets>
    <sheet name="Inflexible" sheetId="4" r:id="rId1"/>
    <sheet name="Spatial" sheetId="1" r:id="rId2"/>
    <sheet name="Temporal" sheetId="2" r:id="rId3"/>
    <sheet name="Both" sheetId="3" r:id="rId4"/>
  </sheets>
  <definedNames>
    <definedName name="_xlnm._FilterDatabase" localSheetId="3" hidden="1">Both!$A$1:$N$39</definedName>
    <definedName name="_xlnm._FilterDatabase" localSheetId="0" hidden="1">Inflexible!$A$1:$N$33</definedName>
    <definedName name="_xlnm._FilterDatabase" localSheetId="1" hidden="1">Spatial!$A$1:$N$34</definedName>
    <definedName name="_xlnm._FilterDatabase" localSheetId="2" hidden="1">Temporal!$A$1:$N$35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4" l="1"/>
  <c r="C38" i="4"/>
  <c r="C37" i="4"/>
  <c r="C39" i="3"/>
  <c r="C38" i="3"/>
  <c r="C37" i="3"/>
  <c r="C39" i="2"/>
  <c r="C38" i="2"/>
  <c r="C37" i="2"/>
  <c r="C37" i="1"/>
  <c r="C38" i="1"/>
  <c r="C39" i="1"/>
  <c r="J35" i="2"/>
  <c r="J36" i="3"/>
  <c r="J35" i="3"/>
  <c r="J34" i="2"/>
  <c r="J34" i="1"/>
  <c r="J32" i="4"/>
  <c r="J31" i="4"/>
  <c r="N34" i="3"/>
  <c r="M34" i="3"/>
  <c r="L34" i="3"/>
  <c r="J34" i="3"/>
  <c r="N33" i="2"/>
  <c r="M33" i="2"/>
  <c r="L33" i="2"/>
  <c r="J33" i="2"/>
  <c r="J33" i="4"/>
  <c r="N31" i="4"/>
  <c r="M31" i="4"/>
  <c r="L31" i="4"/>
  <c r="N32" i="1"/>
  <c r="M32" i="1"/>
  <c r="L32" i="1"/>
  <c r="J33" i="1"/>
  <c r="J32" i="1"/>
</calcChain>
</file>

<file path=xl/sharedStrings.xml><?xml version="1.0" encoding="utf-8"?>
<sst xmlns="http://schemas.openxmlformats.org/spreadsheetml/2006/main" count="251" uniqueCount="57">
  <si>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</si>
  <si>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</si>
  <si>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</si>
  <si>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</si>
  <si>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</si>
  <si>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</si>
  <si>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</si>
  <si>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</si>
  <si>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</si>
  <si>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</si>
  <si>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</si>
  <si>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</si>
  <si>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</si>
  <si>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</si>
  <si>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</si>
  <si>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</si>
  <si>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Coal</t>
  </si>
  <si>
    <t>Combined Cycle Gas Turbine</t>
  </si>
  <si>
    <t>Embedded Solar</t>
  </si>
  <si>
    <t>Embedded Wind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</si>
  <si>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</si>
  <si>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</si>
  <si>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</si>
  <si>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</si>
  <si>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</si>
  <si>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</si>
  <si>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</si>
  <si>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</si>
  <si>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</si>
  <si>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</si>
  <si>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</si>
  <si>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Small Hydro</t>
  </si>
  <si>
    <t>Solar PV</t>
  </si>
  <si>
    <t>Tidal Stream</t>
  </si>
  <si>
    <t>Waste to Energy</t>
  </si>
  <si>
    <t>Wave Power</t>
  </si>
  <si>
    <t>Link</t>
  </si>
  <si>
    <t>AC</t>
  </si>
  <si>
    <t>DC</t>
  </si>
  <si>
    <t>Virtual Link</t>
  </si>
  <si>
    <t>Load</t>
  </si>
  <si>
    <t>Data Centre</t>
  </si>
  <si>
    <t>Electricity</t>
  </si>
  <si>
    <t>European Exports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</si>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</sst>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0" xfId="0" applyBorder="1"/>
    <xf numFmtId="11" fontId="0" fillId="0" borderId="0" xfId="0" applyNumberFormat="1" applyBorder="1"/>
    <xf numFmtId="11" fontId="0" fillId="0" borderId="6" xfId="0" applyNumberFormat="1" applyBorder="1"/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39"/>
  <sheetViews>
    <sheetView topLeftCell="A7" workbookViewId="0">
      <selection activeCell="F34" sqref="F34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4">
        <v>357.1</v>
      </c>
      <c r="D2" s="4">
        <v>357.1</v>
      </c>
      <c r="E2" s="3">
        <v>93401.98</v>
      </c>
      <c r="F2" s="3">
        <v>0</v>
      </c>
      <c r="G2" s="3">
        <v>93401.98</v>
      </c>
      <c r="H2" s="3">
        <v>0</v>
      </c>
      <c r="I2" s="3">
        <v>2.9776509999999999E-2</v>
      </c>
      <c r="J2" s="3">
        <v>3043364</v>
      </c>
      <c r="K2" s="4">
        <v>0</v>
      </c>
      <c r="L2" s="3">
        <v>7191953</v>
      </c>
      <c r="M2" s="3">
        <v>8279732</v>
      </c>
      <c r="N2" s="4">
        <v>88.646254999999996</v>
      </c>
    </row>
    <row r="3" spans="1:14" x14ac:dyDescent="0.2">
      <c r="A3" s="6"/>
      <c r="B3" s="1" t="s">
        <v>14</v>
      </c>
      <c r="C3" s="4">
        <v>338.4</v>
      </c>
      <c r="D3" s="4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198702000</v>
      </c>
      <c r="N3" s="4">
        <v>66.846639999999994</v>
      </c>
    </row>
    <row r="4" spans="1:14" x14ac:dyDescent="0.2">
      <c r="A4" s="6"/>
      <c r="B4" s="1" t="s">
        <v>15</v>
      </c>
      <c r="C4" s="4">
        <v>4225.1899999999996</v>
      </c>
      <c r="D4" s="4">
        <v>4225.1899999999996</v>
      </c>
      <c r="E4" s="3">
        <v>1988802</v>
      </c>
      <c r="F4" s="3">
        <v>0</v>
      </c>
      <c r="G4" s="3">
        <v>1988802</v>
      </c>
      <c r="H4" s="3">
        <v>0</v>
      </c>
      <c r="I4" s="3">
        <v>5.3586189999999999E-2</v>
      </c>
      <c r="J4" s="3">
        <v>35125270</v>
      </c>
      <c r="K4" s="4">
        <v>0</v>
      </c>
      <c r="L4" s="3">
        <v>139216100</v>
      </c>
      <c r="M4" s="3">
        <v>160132500</v>
      </c>
      <c r="N4" s="4">
        <v>80.517067999999995</v>
      </c>
    </row>
    <row r="5" spans="1:14" x14ac:dyDescent="0.2">
      <c r="A5" s="6"/>
      <c r="B5" s="1" t="s">
        <v>16</v>
      </c>
      <c r="C5" s="4">
        <v>5341</v>
      </c>
      <c r="D5" s="4">
        <v>5341</v>
      </c>
      <c r="E5" s="3">
        <v>244825.5</v>
      </c>
      <c r="F5" s="3">
        <v>0</v>
      </c>
      <c r="G5" s="3">
        <v>244825.5</v>
      </c>
      <c r="H5" s="3">
        <v>0</v>
      </c>
      <c r="I5" s="3">
        <v>5.2184520000000002E-3</v>
      </c>
      <c r="J5" s="3">
        <v>46670520</v>
      </c>
      <c r="K5" s="4">
        <v>0</v>
      </c>
      <c r="L5" s="3">
        <v>20750430</v>
      </c>
      <c r="M5" s="3">
        <v>20750430</v>
      </c>
      <c r="N5" s="4">
        <v>84.756005000000002</v>
      </c>
    </row>
    <row r="6" spans="1:14" ht="30" x14ac:dyDescent="0.2">
      <c r="A6" s="6"/>
      <c r="B6" s="1" t="s">
        <v>17</v>
      </c>
      <c r="C6" s="4">
        <v>29673</v>
      </c>
      <c r="D6" s="4">
        <v>29673</v>
      </c>
      <c r="E6" s="3">
        <v>172952900</v>
      </c>
      <c r="F6" s="3">
        <v>0</v>
      </c>
      <c r="G6" s="3">
        <v>172952900</v>
      </c>
      <c r="H6" s="3">
        <v>0</v>
      </c>
      <c r="I6" s="3">
        <v>0.66355059999999999</v>
      </c>
      <c r="J6" s="3">
        <v>87694740</v>
      </c>
      <c r="K6" s="4">
        <v>0</v>
      </c>
      <c r="L6" s="3">
        <v>11409360000</v>
      </c>
      <c r="M6" s="3">
        <v>11615160000</v>
      </c>
      <c r="N6" s="4">
        <v>67.157955999999999</v>
      </c>
    </row>
    <row r="7" spans="1:14" x14ac:dyDescent="0.2">
      <c r="A7" s="6"/>
      <c r="B7" s="1" t="s">
        <v>18</v>
      </c>
      <c r="C7" s="4">
        <v>4217.5522199999996</v>
      </c>
      <c r="D7" s="4">
        <v>4217.5522199999996</v>
      </c>
      <c r="E7" s="3">
        <v>4330703</v>
      </c>
      <c r="F7" s="3">
        <v>0</v>
      </c>
      <c r="G7" s="3">
        <v>4330703</v>
      </c>
      <c r="H7" s="3">
        <v>0</v>
      </c>
      <c r="I7" s="3">
        <v>0.1168976</v>
      </c>
      <c r="J7" s="3">
        <v>0</v>
      </c>
      <c r="K7" s="4">
        <v>0</v>
      </c>
      <c r="L7" s="3">
        <v>0</v>
      </c>
      <c r="M7" s="3">
        <v>287430700</v>
      </c>
      <c r="N7" s="4">
        <v>66.370445000000004</v>
      </c>
    </row>
    <row r="8" spans="1:14" x14ac:dyDescent="0.2">
      <c r="A8" s="6"/>
      <c r="B8" s="1" t="s">
        <v>19</v>
      </c>
      <c r="C8" s="4">
        <v>5605</v>
      </c>
      <c r="D8" s="4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1210767000</v>
      </c>
      <c r="N8" s="4">
        <v>66.493814999999998</v>
      </c>
    </row>
    <row r="9" spans="1:14" x14ac:dyDescent="0.2">
      <c r="A9" s="6"/>
      <c r="B9" s="1" t="s">
        <v>20</v>
      </c>
      <c r="C9" s="4">
        <v>4513</v>
      </c>
      <c r="D9" s="4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4">
        <v>750.5</v>
      </c>
      <c r="D10" s="4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440626800</v>
      </c>
      <c r="N10" s="4">
        <v>66.838676000000007</v>
      </c>
    </row>
    <row r="11" spans="1:14" x14ac:dyDescent="0.2">
      <c r="A11" s="6"/>
      <c r="B11" s="1" t="s">
        <v>22</v>
      </c>
      <c r="C11" s="4">
        <v>406.5</v>
      </c>
      <c r="D11" s="4">
        <v>406.5</v>
      </c>
      <c r="E11" s="3">
        <v>3357441</v>
      </c>
      <c r="F11" s="3">
        <v>0</v>
      </c>
      <c r="G11" s="3">
        <v>3357441</v>
      </c>
      <c r="H11" s="3">
        <v>0</v>
      </c>
      <c r="I11" s="3">
        <v>0.94027640000000001</v>
      </c>
      <c r="J11" s="3">
        <v>0</v>
      </c>
      <c r="K11" s="4">
        <v>0</v>
      </c>
      <c r="L11" s="3">
        <v>0</v>
      </c>
      <c r="M11" s="3">
        <v>225898900</v>
      </c>
      <c r="N11" s="4">
        <v>67.283066000000005</v>
      </c>
    </row>
    <row r="12" spans="1:14" x14ac:dyDescent="0.2">
      <c r="A12" s="6"/>
      <c r="B12" s="1" t="s">
        <v>23</v>
      </c>
      <c r="C12" s="4">
        <v>58007.4</v>
      </c>
      <c r="D12" s="4">
        <v>58007.4</v>
      </c>
      <c r="E12" s="3">
        <v>222.45519999999999</v>
      </c>
      <c r="F12" s="3">
        <v>0</v>
      </c>
      <c r="G12" s="3">
        <v>222.45519999999999</v>
      </c>
      <c r="H12" s="3">
        <v>0</v>
      </c>
      <c r="I12" s="3">
        <v>4.3666840000000002E-7</v>
      </c>
      <c r="J12" s="3">
        <v>275586200</v>
      </c>
      <c r="K12" s="4">
        <v>0</v>
      </c>
      <c r="L12" s="3">
        <v>1334731</v>
      </c>
      <c r="M12" s="3">
        <v>1334731</v>
      </c>
      <c r="N12" s="4">
        <v>5998.825503</v>
      </c>
    </row>
    <row r="13" spans="1:14" x14ac:dyDescent="0.2">
      <c r="A13" s="6"/>
      <c r="B13" s="1" t="s">
        <v>25</v>
      </c>
      <c r="C13" s="4">
        <v>7833</v>
      </c>
      <c r="D13" s="4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3179982000</v>
      </c>
      <c r="N13" s="4">
        <v>67.078378000000001</v>
      </c>
    </row>
    <row r="14" spans="1:14" x14ac:dyDescent="0.2">
      <c r="A14" s="6"/>
      <c r="B14" s="1" t="s">
        <v>26</v>
      </c>
      <c r="C14" s="4">
        <v>9713.5</v>
      </c>
      <c r="D14" s="4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1940446000</v>
      </c>
      <c r="N14" s="4">
        <v>66.309236999999996</v>
      </c>
    </row>
    <row r="15" spans="1:14" x14ac:dyDescent="0.2">
      <c r="A15" s="6"/>
      <c r="B15" s="1" t="s">
        <v>27</v>
      </c>
      <c r="C15" s="4">
        <v>772</v>
      </c>
      <c r="D15" s="4">
        <v>772</v>
      </c>
      <c r="E15" s="3">
        <v>138</v>
      </c>
      <c r="F15" s="3">
        <v>0</v>
      </c>
      <c r="G15" s="3">
        <v>138</v>
      </c>
      <c r="H15" s="3">
        <v>0</v>
      </c>
      <c r="I15" s="3">
        <v>2.0349739999999999E-5</v>
      </c>
      <c r="J15" s="3">
        <v>6781110</v>
      </c>
      <c r="K15" s="4">
        <v>0</v>
      </c>
      <c r="L15" s="3">
        <v>13225.64</v>
      </c>
      <c r="M15" s="3">
        <v>828000</v>
      </c>
      <c r="N15" s="4">
        <v>6000.1464040000001</v>
      </c>
    </row>
    <row r="16" spans="1:14" x14ac:dyDescent="0.2">
      <c r="A16" s="6"/>
      <c r="B16" s="1" t="s">
        <v>28</v>
      </c>
      <c r="C16" s="4">
        <v>12267.15</v>
      </c>
      <c r="D16" s="4">
        <v>12267.15</v>
      </c>
      <c r="E16" s="3">
        <v>34082220</v>
      </c>
      <c r="F16" s="3">
        <v>0</v>
      </c>
      <c r="G16" s="3">
        <v>34082220</v>
      </c>
      <c r="H16" s="3">
        <v>0</v>
      </c>
      <c r="I16" s="3">
        <v>0.31629469999999998</v>
      </c>
      <c r="J16" s="3">
        <v>0</v>
      </c>
      <c r="K16" s="4">
        <v>0</v>
      </c>
      <c r="L16" s="3">
        <v>0</v>
      </c>
      <c r="M16" s="3">
        <v>2260343000</v>
      </c>
      <c r="N16" s="4">
        <v>66.320299000000006</v>
      </c>
    </row>
    <row r="17" spans="1:14" ht="30" customHeight="1" x14ac:dyDescent="0.2">
      <c r="A17" s="6"/>
      <c r="B17" s="1" t="s">
        <v>29</v>
      </c>
      <c r="C17" s="4">
        <v>1302.3699999999999</v>
      </c>
      <c r="D17" s="4">
        <v>1302.3699999999999</v>
      </c>
      <c r="E17" s="3">
        <v>6613455</v>
      </c>
      <c r="F17" s="3">
        <v>0</v>
      </c>
      <c r="G17" s="3">
        <v>6613455</v>
      </c>
      <c r="H17" s="3">
        <v>0</v>
      </c>
      <c r="I17" s="3">
        <v>0.57809829999999995</v>
      </c>
      <c r="J17" s="3">
        <v>4826563</v>
      </c>
      <c r="K17" s="4">
        <v>0</v>
      </c>
      <c r="L17" s="3">
        <v>436276400</v>
      </c>
      <c r="M17" s="3">
        <v>445003000</v>
      </c>
      <c r="N17" s="4">
        <v>67.287525000000002</v>
      </c>
    </row>
    <row r="18" spans="1:14" x14ac:dyDescent="0.2">
      <c r="A18" s="6"/>
      <c r="B18" s="1" t="s">
        <v>30</v>
      </c>
      <c r="C18" s="4">
        <v>50.2</v>
      </c>
      <c r="D18" s="4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29460900</v>
      </c>
      <c r="N18" s="4">
        <v>66.811307999999997</v>
      </c>
    </row>
    <row r="19" spans="1:14" x14ac:dyDescent="0.2">
      <c r="A19" s="6"/>
      <c r="B19" s="1" t="s">
        <v>31</v>
      </c>
      <c r="C19" s="4">
        <v>146</v>
      </c>
      <c r="D19" s="4">
        <v>146</v>
      </c>
      <c r="E19" s="3">
        <v>576862</v>
      </c>
      <c r="F19" s="3">
        <v>0</v>
      </c>
      <c r="G19" s="3">
        <v>576862</v>
      </c>
      <c r="H19" s="3">
        <v>0</v>
      </c>
      <c r="I19" s="3">
        <v>0.44980759999999997</v>
      </c>
      <c r="J19" s="3">
        <v>0</v>
      </c>
      <c r="K19" s="4">
        <v>0</v>
      </c>
      <c r="L19" s="3">
        <v>0</v>
      </c>
      <c r="M19" s="3">
        <v>39055560</v>
      </c>
      <c r="N19" s="4">
        <v>67.703462999999999</v>
      </c>
    </row>
    <row r="20" spans="1:14" x14ac:dyDescent="0.2">
      <c r="A20" s="6"/>
      <c r="B20" s="1" t="s">
        <v>32</v>
      </c>
      <c r="C20" s="4">
        <v>8333.7900000000009</v>
      </c>
      <c r="D20" s="4">
        <v>8333.7900000000009</v>
      </c>
      <c r="E20" s="3">
        <v>8152039</v>
      </c>
      <c r="F20" s="3">
        <v>0</v>
      </c>
      <c r="G20" s="3">
        <v>8152039</v>
      </c>
      <c r="H20" s="3">
        <v>0</v>
      </c>
      <c r="I20" s="3">
        <v>0.1113606</v>
      </c>
      <c r="J20" s="3">
        <v>0</v>
      </c>
      <c r="K20" s="4">
        <v>0</v>
      </c>
      <c r="L20" s="3">
        <v>0</v>
      </c>
      <c r="M20" s="3">
        <v>542106600</v>
      </c>
      <c r="N20" s="4">
        <v>66.499505999999997</v>
      </c>
    </row>
    <row r="21" spans="1:14" x14ac:dyDescent="0.2">
      <c r="A21" s="6"/>
      <c r="B21" s="1" t="s">
        <v>33</v>
      </c>
      <c r="C21" s="4">
        <v>10.5</v>
      </c>
      <c r="D21" s="4">
        <v>10.5</v>
      </c>
      <c r="E21" s="3">
        <v>19959.61</v>
      </c>
      <c r="F21" s="3">
        <v>0</v>
      </c>
      <c r="G21" s="3">
        <v>19959.61</v>
      </c>
      <c r="H21" s="3">
        <v>0</v>
      </c>
      <c r="I21" s="3">
        <v>0.21640670000000001</v>
      </c>
      <c r="J21" s="3">
        <v>0</v>
      </c>
      <c r="K21" s="4">
        <v>0</v>
      </c>
      <c r="L21" s="3">
        <v>0</v>
      </c>
      <c r="M21" s="3">
        <v>1343610</v>
      </c>
      <c r="N21" s="4">
        <v>67.316428000000002</v>
      </c>
    </row>
    <row r="22" spans="1:14" x14ac:dyDescent="0.2">
      <c r="A22" s="6"/>
      <c r="B22" s="1" t="s">
        <v>34</v>
      </c>
      <c r="C22" s="4">
        <v>2022.6</v>
      </c>
      <c r="D22" s="4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1186872000</v>
      </c>
      <c r="N22" s="4">
        <v>66.803835000000007</v>
      </c>
    </row>
    <row r="23" spans="1:14" x14ac:dyDescent="0.2">
      <c r="A23" s="7"/>
      <c r="B23" s="1" t="s">
        <v>35</v>
      </c>
      <c r="C23" s="4">
        <v>24</v>
      </c>
      <c r="D23" s="4">
        <v>24</v>
      </c>
      <c r="E23" s="3">
        <v>122740.7</v>
      </c>
      <c r="F23" s="3">
        <v>0</v>
      </c>
      <c r="G23" s="3">
        <v>122740.7</v>
      </c>
      <c r="H23" s="3">
        <v>0</v>
      </c>
      <c r="I23" s="3">
        <v>0.58221710000000004</v>
      </c>
      <c r="J23" s="3">
        <v>0</v>
      </c>
      <c r="K23" s="4">
        <v>0</v>
      </c>
      <c r="L23" s="3">
        <v>0</v>
      </c>
      <c r="M23" s="3">
        <v>8173836</v>
      </c>
      <c r="N23" s="4">
        <v>66.594357000000002</v>
      </c>
    </row>
    <row r="24" spans="1:14" x14ac:dyDescent="0.2">
      <c r="A24" s="5" t="s">
        <v>36</v>
      </c>
      <c r="B24" s="1" t="s">
        <v>37</v>
      </c>
      <c r="C24" s="4">
        <v>171000</v>
      </c>
      <c r="D24" s="4">
        <v>171000</v>
      </c>
      <c r="E24" s="3">
        <v>225072600</v>
      </c>
      <c r="F24" s="3">
        <v>772257200</v>
      </c>
      <c r="G24" s="3">
        <v>-547184600</v>
      </c>
      <c r="H24" s="3">
        <v>547184600</v>
      </c>
      <c r="I24" s="3">
        <v>0.66397289999999998</v>
      </c>
      <c r="J24" s="3">
        <v>954879400</v>
      </c>
      <c r="K24" s="4">
        <v>0</v>
      </c>
      <c r="L24" s="3">
        <v>0</v>
      </c>
      <c r="M24" s="3">
        <v>-36625360000</v>
      </c>
      <c r="N24" s="4">
        <v>-36.723419999999997</v>
      </c>
    </row>
    <row r="25" spans="1:14" x14ac:dyDescent="0.2">
      <c r="A25" s="7"/>
      <c r="B25" s="1" t="s">
        <v>38</v>
      </c>
      <c r="C25" s="4">
        <v>31513</v>
      </c>
      <c r="D25" s="4">
        <v>31513</v>
      </c>
      <c r="E25" s="3">
        <v>68721580</v>
      </c>
      <c r="F25" s="3">
        <v>44180560</v>
      </c>
      <c r="G25" s="3">
        <v>24541020</v>
      </c>
      <c r="H25" s="3">
        <v>-24541020</v>
      </c>
      <c r="I25" s="3">
        <v>0.40786850000000002</v>
      </c>
      <c r="J25" s="3">
        <v>301351200</v>
      </c>
      <c r="K25" s="4">
        <v>0</v>
      </c>
      <c r="L25" s="3">
        <v>0</v>
      </c>
      <c r="M25" s="3">
        <v>1589841000</v>
      </c>
      <c r="N25" s="4">
        <v>14.081579</v>
      </c>
    </row>
    <row r="26" spans="1:14" x14ac:dyDescent="0.2">
      <c r="A26" s="5" t="s">
        <v>40</v>
      </c>
      <c r="B26" s="1" t="s">
        <v>41</v>
      </c>
      <c r="C26" s="4">
        <v>0</v>
      </c>
      <c r="D26" s="4">
        <v>0</v>
      </c>
      <c r="E26" s="3">
        <v>0</v>
      </c>
      <c r="F26" s="3">
        <v>98130220</v>
      </c>
      <c r="G26" s="3">
        <v>-98130220</v>
      </c>
      <c r="H26" s="3">
        <v>0</v>
      </c>
      <c r="I26" s="4" t="s">
        <v>24</v>
      </c>
      <c r="J26" s="3">
        <v>0</v>
      </c>
      <c r="K26" s="4">
        <v>0</v>
      </c>
      <c r="L26" s="3">
        <v>0</v>
      </c>
      <c r="M26" s="3">
        <v>-6572709000</v>
      </c>
      <c r="N26" s="4">
        <v>-66.979456999999996</v>
      </c>
    </row>
    <row r="27" spans="1:14" x14ac:dyDescent="0.2">
      <c r="A27" s="6"/>
      <c r="B27" s="1" t="s">
        <v>42</v>
      </c>
      <c r="C27" s="4">
        <v>0</v>
      </c>
      <c r="D27" s="4">
        <v>0</v>
      </c>
      <c r="E27" s="3">
        <v>0</v>
      </c>
      <c r="F27" s="3">
        <v>275586500</v>
      </c>
      <c r="G27" s="3">
        <v>-275586500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-18598400000</v>
      </c>
      <c r="N27" s="4">
        <v>-67.486642000000003</v>
      </c>
    </row>
    <row r="28" spans="1:14" x14ac:dyDescent="0.2">
      <c r="A28" s="7"/>
      <c r="B28" s="1" t="s">
        <v>43</v>
      </c>
      <c r="C28" s="4">
        <v>0</v>
      </c>
      <c r="D28" s="4">
        <v>0</v>
      </c>
      <c r="E28" s="3">
        <v>0</v>
      </c>
      <c r="F28" s="3">
        <v>3385030</v>
      </c>
      <c r="G28" s="3">
        <v>-3385030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-24477550</v>
      </c>
      <c r="N28" s="4">
        <v>-7.2311170000000002</v>
      </c>
    </row>
    <row r="29" spans="1:14" ht="16" customHeight="1" x14ac:dyDescent="0.2">
      <c r="A29" s="5" t="s">
        <v>44</v>
      </c>
      <c r="B29" s="1" t="s">
        <v>45</v>
      </c>
      <c r="C29" s="4">
        <v>2070.67</v>
      </c>
      <c r="D29" s="4">
        <v>2070.67</v>
      </c>
      <c r="E29" s="3">
        <v>142802.6</v>
      </c>
      <c r="F29" s="3">
        <v>156985.4</v>
      </c>
      <c r="G29" s="3">
        <v>-14182.83</v>
      </c>
      <c r="H29" s="3">
        <v>0</v>
      </c>
      <c r="I29" s="3">
        <v>1.648204E-2</v>
      </c>
      <c r="J29" s="3">
        <v>18202950</v>
      </c>
      <c r="K29" s="4">
        <v>0</v>
      </c>
      <c r="L29" s="3">
        <v>0</v>
      </c>
      <c r="M29" s="3">
        <v>3625297</v>
      </c>
      <c r="N29" s="4">
        <v>12.092867999999999</v>
      </c>
    </row>
    <row r="30" spans="1:14" ht="30" x14ac:dyDescent="0.2">
      <c r="A30" s="7"/>
      <c r="B30" s="1" t="s">
        <v>46</v>
      </c>
      <c r="C30" s="4">
        <v>2828</v>
      </c>
      <c r="D30" s="4">
        <v>2828</v>
      </c>
      <c r="E30" s="3">
        <v>293765.7</v>
      </c>
      <c r="F30" s="3">
        <v>358276.7</v>
      </c>
      <c r="G30" s="3">
        <v>-64511</v>
      </c>
      <c r="H30" s="3">
        <v>0</v>
      </c>
      <c r="I30" s="3">
        <v>2.6248480000000001E-2</v>
      </c>
      <c r="J30" s="3">
        <v>24905660</v>
      </c>
      <c r="K30" s="4">
        <v>0</v>
      </c>
      <c r="L30" s="3">
        <v>0</v>
      </c>
      <c r="M30" s="3">
        <v>5582306</v>
      </c>
      <c r="N30" s="4">
        <v>8.5612619999999993</v>
      </c>
    </row>
    <row r="31" spans="1:14" x14ac:dyDescent="0.2">
      <c r="I31" s="14" t="s">
        <v>49</v>
      </c>
      <c r="J31" s="12">
        <f>SUM(J2:J30)</f>
        <v>1776716097</v>
      </c>
      <c r="K31" s="8" t="s">
        <v>52</v>
      </c>
      <c r="L31" s="2">
        <f>SUM(L1:L30)</f>
        <v>14465709419.639999</v>
      </c>
      <c r="M31" s="2">
        <f>SUM(M1:M30)</f>
        <v>-35824312748</v>
      </c>
      <c r="N31" s="2">
        <f>SUM(N1:N30)</f>
        <v>13205.970127000002</v>
      </c>
    </row>
    <row r="32" spans="1:14" x14ac:dyDescent="0.2">
      <c r="I32" s="13" t="s">
        <v>50</v>
      </c>
      <c r="J32" s="11">
        <f>SUM(J14,J16)</f>
        <v>0</v>
      </c>
    </row>
    <row r="33" spans="1:10" x14ac:dyDescent="0.2">
      <c r="I33" s="13" t="s">
        <v>51</v>
      </c>
      <c r="J33" s="11">
        <f>SUM(J20)</f>
        <v>0</v>
      </c>
    </row>
    <row r="36" spans="1:10" x14ac:dyDescent="0.2">
      <c r="A36" t="s">
        <v>53</v>
      </c>
    </row>
    <row r="37" spans="1:10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30364.640000000003</v>
      </c>
    </row>
    <row r="38" spans="1:10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0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3" xr:uid="{F4972E32-7E17-D640-8808-61170EE7E9D2}"/>
  <mergeCells count="4">
    <mergeCell ref="A2:A23"/>
    <mergeCell ref="A24:A25"/>
    <mergeCell ref="A26:A28"/>
    <mergeCell ref="A29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39"/>
  <sheetViews>
    <sheetView topLeftCell="A10" workbookViewId="0">
      <selection sqref="A1:N31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93401.98</v>
      </c>
      <c r="F2" s="3">
        <v>0</v>
      </c>
      <c r="G2" s="3">
        <v>93401.98</v>
      </c>
      <c r="H2" s="3">
        <v>0</v>
      </c>
      <c r="I2" s="3">
        <v>2.9776509999999999E-2</v>
      </c>
      <c r="J2" s="3">
        <v>3043364</v>
      </c>
      <c r="K2" s="4">
        <v>0</v>
      </c>
      <c r="L2" s="3">
        <v>7191953</v>
      </c>
      <c r="M2" s="3">
        <v>7827334</v>
      </c>
      <c r="N2" s="4">
        <v>83.802693000000005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3">
        <v>1</v>
      </c>
      <c r="J3" s="3">
        <v>0</v>
      </c>
      <c r="K3" s="4">
        <v>0</v>
      </c>
      <c r="L3" s="3">
        <v>187267900</v>
      </c>
      <c r="M3" s="3">
        <v>198357900</v>
      </c>
      <c r="N3" s="4">
        <v>66.730862999999999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1988802</v>
      </c>
      <c r="F4" s="3">
        <v>0</v>
      </c>
      <c r="G4" s="3">
        <v>1988802</v>
      </c>
      <c r="H4" s="3">
        <v>0</v>
      </c>
      <c r="I4" s="3">
        <v>5.3586189999999999E-2</v>
      </c>
      <c r="J4" s="3">
        <v>35125270</v>
      </c>
      <c r="K4" s="4">
        <v>0</v>
      </c>
      <c r="L4" s="3">
        <v>139216100</v>
      </c>
      <c r="M4" s="3">
        <v>155351400</v>
      </c>
      <c r="N4" s="4">
        <v>78.113089000000002</v>
      </c>
    </row>
    <row r="5" spans="1:14" x14ac:dyDescent="0.2">
      <c r="A5" s="6"/>
      <c r="B5" s="1" t="s">
        <v>16</v>
      </c>
      <c r="C5" s="3">
        <v>5341</v>
      </c>
      <c r="D5" s="3">
        <v>5341</v>
      </c>
      <c r="E5" s="3">
        <v>245139.8</v>
      </c>
      <c r="F5" s="3">
        <v>0</v>
      </c>
      <c r="G5" s="3">
        <v>245139.8</v>
      </c>
      <c r="H5" s="3">
        <v>0</v>
      </c>
      <c r="I5" s="3">
        <v>5.2251529999999997E-3</v>
      </c>
      <c r="J5" s="3">
        <v>46670200</v>
      </c>
      <c r="K5" s="4">
        <v>0</v>
      </c>
      <c r="L5" s="3">
        <v>20777070</v>
      </c>
      <c r="M5" s="3">
        <v>20777070</v>
      </c>
      <c r="N5" s="4">
        <v>84.756000999999998</v>
      </c>
    </row>
    <row r="6" spans="1:14" ht="30" x14ac:dyDescent="0.2">
      <c r="A6" s="6"/>
      <c r="B6" s="1" t="s">
        <v>17</v>
      </c>
      <c r="C6" s="3">
        <v>29673</v>
      </c>
      <c r="D6" s="3">
        <v>29673</v>
      </c>
      <c r="E6" s="3">
        <v>172633900</v>
      </c>
      <c r="F6" s="3">
        <v>0</v>
      </c>
      <c r="G6" s="3">
        <v>172633900</v>
      </c>
      <c r="H6" s="3">
        <v>0</v>
      </c>
      <c r="I6" s="3">
        <v>0.66232670000000005</v>
      </c>
      <c r="J6" s="3">
        <v>88013760</v>
      </c>
      <c r="K6" s="4">
        <v>0</v>
      </c>
      <c r="L6" s="3">
        <v>11388310000</v>
      </c>
      <c r="M6" s="3">
        <v>11587150000</v>
      </c>
      <c r="N6" s="4">
        <v>67.119793000000001</v>
      </c>
    </row>
    <row r="7" spans="1:14" x14ac:dyDescent="0.2">
      <c r="A7" s="6"/>
      <c r="B7" s="1" t="s">
        <v>18</v>
      </c>
      <c r="C7" s="3">
        <v>4217.5519999999997</v>
      </c>
      <c r="D7" s="3">
        <v>4217.5519999999997</v>
      </c>
      <c r="E7" s="3">
        <v>4330703</v>
      </c>
      <c r="F7" s="3">
        <v>0</v>
      </c>
      <c r="G7" s="3">
        <v>4330703</v>
      </c>
      <c r="H7" s="3">
        <v>0</v>
      </c>
      <c r="I7" s="3">
        <v>0.1168976</v>
      </c>
      <c r="J7" s="3">
        <v>0</v>
      </c>
      <c r="K7" s="4">
        <v>0</v>
      </c>
      <c r="L7" s="3">
        <v>0</v>
      </c>
      <c r="M7" s="3">
        <v>287430700</v>
      </c>
      <c r="N7" s="4">
        <v>66.370445000000004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3">
        <v>0.36983779999999999</v>
      </c>
      <c r="J8" s="3">
        <v>0</v>
      </c>
      <c r="K8" s="4">
        <v>0</v>
      </c>
      <c r="L8" s="3">
        <v>0</v>
      </c>
      <c r="M8" s="3">
        <v>1207801000</v>
      </c>
      <c r="N8" s="4">
        <v>66.330943000000005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3">
        <v>0.55478939999999999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3">
        <v>1</v>
      </c>
      <c r="J10" s="3">
        <v>0</v>
      </c>
      <c r="K10" s="4">
        <v>0</v>
      </c>
      <c r="L10" s="3">
        <v>276880500</v>
      </c>
      <c r="M10" s="3">
        <v>439916000</v>
      </c>
      <c r="N10" s="4">
        <v>66.730862999999999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3357441</v>
      </c>
      <c r="F11" s="3">
        <v>0</v>
      </c>
      <c r="G11" s="3">
        <v>3357441</v>
      </c>
      <c r="H11" s="3">
        <v>0</v>
      </c>
      <c r="I11" s="3">
        <v>0.94027640000000001</v>
      </c>
      <c r="J11" s="3">
        <v>0</v>
      </c>
      <c r="K11" s="4">
        <v>0</v>
      </c>
      <c r="L11" s="3">
        <v>0</v>
      </c>
      <c r="M11" s="3">
        <v>223882200</v>
      </c>
      <c r="N11" s="4">
        <v>66.682387000000006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3">
        <v>0.68900380000000006</v>
      </c>
      <c r="J13" s="3">
        <v>0</v>
      </c>
      <c r="K13" s="4">
        <v>0</v>
      </c>
      <c r="L13" s="3">
        <v>474069600</v>
      </c>
      <c r="M13" s="3">
        <v>3167790000</v>
      </c>
      <c r="N13" s="4">
        <v>66.821209999999994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3">
        <v>0.34297260000000002</v>
      </c>
      <c r="J14" s="3">
        <v>0</v>
      </c>
      <c r="K14" s="4">
        <v>0</v>
      </c>
      <c r="L14" s="3">
        <v>0</v>
      </c>
      <c r="M14" s="3">
        <v>1940404000</v>
      </c>
      <c r="N14" s="4">
        <v>66.307812999999996</v>
      </c>
    </row>
    <row r="15" spans="1:14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12267.15</v>
      </c>
      <c r="D16" s="3">
        <v>12267.15</v>
      </c>
      <c r="E16" s="3">
        <v>34082220</v>
      </c>
      <c r="F16" s="3">
        <v>0</v>
      </c>
      <c r="G16" s="3">
        <v>34082220</v>
      </c>
      <c r="H16" s="3">
        <v>0</v>
      </c>
      <c r="I16" s="3">
        <v>0.31629469999999998</v>
      </c>
      <c r="J16" s="3">
        <v>0</v>
      </c>
      <c r="K16" s="4">
        <v>0</v>
      </c>
      <c r="L16" s="3">
        <v>0</v>
      </c>
      <c r="M16" s="3">
        <v>2260042000</v>
      </c>
      <c r="N16" s="4">
        <v>66.311464000000001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6932533</v>
      </c>
      <c r="F17" s="3">
        <v>0</v>
      </c>
      <c r="G17" s="3">
        <v>6932533</v>
      </c>
      <c r="H17" s="3">
        <v>0</v>
      </c>
      <c r="I17" s="3">
        <v>0.60598969999999996</v>
      </c>
      <c r="J17" s="3">
        <v>4507485</v>
      </c>
      <c r="K17" s="4">
        <v>0</v>
      </c>
      <c r="L17" s="3">
        <v>457325300</v>
      </c>
      <c r="M17" s="3">
        <v>466052500</v>
      </c>
      <c r="N17" s="4">
        <v>67.226871000000003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3">
        <v>1</v>
      </c>
      <c r="J18" s="3">
        <v>0</v>
      </c>
      <c r="K18" s="4">
        <v>0</v>
      </c>
      <c r="L18" s="3">
        <v>21606880</v>
      </c>
      <c r="M18" s="3">
        <v>29425430</v>
      </c>
      <c r="N18" s="4">
        <v>66.730862999999999</v>
      </c>
    </row>
    <row r="19" spans="1:14" x14ac:dyDescent="0.2">
      <c r="A19" s="6"/>
      <c r="B19" s="1" t="s">
        <v>31</v>
      </c>
      <c r="C19" s="3">
        <v>146</v>
      </c>
      <c r="D19" s="3">
        <v>146</v>
      </c>
      <c r="E19" s="3">
        <v>576862</v>
      </c>
      <c r="F19" s="3">
        <v>0</v>
      </c>
      <c r="G19" s="3">
        <v>576862</v>
      </c>
      <c r="H19" s="3">
        <v>0</v>
      </c>
      <c r="I19" s="3">
        <v>0.44980759999999997</v>
      </c>
      <c r="J19" s="3">
        <v>0</v>
      </c>
      <c r="K19" s="4">
        <v>0</v>
      </c>
      <c r="L19" s="3">
        <v>0</v>
      </c>
      <c r="M19" s="3">
        <v>38496280</v>
      </c>
      <c r="N19" s="4">
        <v>66.733947999999998</v>
      </c>
    </row>
    <row r="20" spans="1:14" x14ac:dyDescent="0.2">
      <c r="A20" s="6"/>
      <c r="B20" s="1" t="s">
        <v>32</v>
      </c>
      <c r="C20" s="3">
        <v>8333.7900000000009</v>
      </c>
      <c r="D20" s="3">
        <v>8333.7900000000009</v>
      </c>
      <c r="E20" s="3">
        <v>8152039</v>
      </c>
      <c r="F20" s="3">
        <v>0</v>
      </c>
      <c r="G20" s="3">
        <v>8152039</v>
      </c>
      <c r="H20" s="3">
        <v>0</v>
      </c>
      <c r="I20" s="3">
        <v>0.1113606</v>
      </c>
      <c r="J20" s="3">
        <v>0</v>
      </c>
      <c r="K20" s="4">
        <v>0</v>
      </c>
      <c r="L20" s="3">
        <v>0</v>
      </c>
      <c r="M20" s="3">
        <v>542106800</v>
      </c>
      <c r="N20" s="4">
        <v>66.499533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19959.61</v>
      </c>
      <c r="F21" s="3">
        <v>0</v>
      </c>
      <c r="G21" s="3">
        <v>19959.61</v>
      </c>
      <c r="H21" s="3">
        <v>0</v>
      </c>
      <c r="I21" s="3">
        <v>0.21640670000000001</v>
      </c>
      <c r="J21" s="3">
        <v>0</v>
      </c>
      <c r="K21" s="4">
        <v>0</v>
      </c>
      <c r="L21" s="3">
        <v>0</v>
      </c>
      <c r="M21" s="3">
        <v>1337418</v>
      </c>
      <c r="N21" s="4">
        <v>67.006191999999999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3">
        <v>1</v>
      </c>
      <c r="J22" s="3">
        <v>0</v>
      </c>
      <c r="K22" s="4">
        <v>0</v>
      </c>
      <c r="L22" s="3">
        <v>896853800</v>
      </c>
      <c r="M22" s="3">
        <v>1185575000</v>
      </c>
      <c r="N22" s="4">
        <v>66.730862999999999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122740.7</v>
      </c>
      <c r="F23" s="3">
        <v>0</v>
      </c>
      <c r="G23" s="3">
        <v>122740.7</v>
      </c>
      <c r="H23" s="3">
        <v>0</v>
      </c>
      <c r="I23" s="3">
        <v>0.58221710000000004</v>
      </c>
      <c r="J23" s="3">
        <v>0</v>
      </c>
      <c r="K23" s="4">
        <v>0</v>
      </c>
      <c r="L23" s="3">
        <v>0</v>
      </c>
      <c r="M23" s="3">
        <v>8170859</v>
      </c>
      <c r="N23" s="4">
        <v>66.570099999999996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278137300</v>
      </c>
      <c r="F24" s="3">
        <v>644475200</v>
      </c>
      <c r="G24" s="3">
        <v>-366337900</v>
      </c>
      <c r="H24" s="3">
        <v>366337900</v>
      </c>
      <c r="I24" s="3">
        <v>0.6142299</v>
      </c>
      <c r="J24" s="3">
        <v>1135726000</v>
      </c>
      <c r="K24" s="4">
        <v>0</v>
      </c>
      <c r="L24" s="3">
        <v>0</v>
      </c>
      <c r="M24" s="3">
        <v>-24422590000</v>
      </c>
      <c r="N24" s="4">
        <v>-26.471117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54541410</v>
      </c>
      <c r="F25" s="3">
        <v>83884530</v>
      </c>
      <c r="G25" s="3">
        <v>-29343130</v>
      </c>
      <c r="H25" s="3">
        <v>29343130</v>
      </c>
      <c r="I25" s="3">
        <v>0.5000753</v>
      </c>
      <c r="J25" s="3">
        <v>247467100</v>
      </c>
      <c r="K25" s="4">
        <v>0</v>
      </c>
      <c r="L25" s="3">
        <v>0</v>
      </c>
      <c r="M25" s="3">
        <v>-2003362000</v>
      </c>
      <c r="N25" s="4">
        <v>-14.472448</v>
      </c>
    </row>
    <row r="26" spans="1:14" x14ac:dyDescent="0.2">
      <c r="A26" s="7"/>
      <c r="B26" s="1" t="s">
        <v>39</v>
      </c>
      <c r="C26" s="3">
        <v>342000000</v>
      </c>
      <c r="D26" s="3">
        <v>342000000</v>
      </c>
      <c r="E26" s="3">
        <v>0</v>
      </c>
      <c r="F26" s="3">
        <v>406.58600000000001</v>
      </c>
      <c r="G26" s="3">
        <v>-406.58600000000001</v>
      </c>
      <c r="H26" s="3">
        <v>406.58600000000001</v>
      </c>
      <c r="I26" s="3">
        <v>1.3535090000000001E-10</v>
      </c>
      <c r="J26" s="3">
        <v>3004128000000</v>
      </c>
      <c r="K26" s="4">
        <v>0</v>
      </c>
      <c r="L26" s="3">
        <v>4.0699999999999998E-3</v>
      </c>
      <c r="M26" s="3">
        <v>-34456.69</v>
      </c>
      <c r="N26" s="4">
        <v>-84.741197</v>
      </c>
    </row>
    <row r="27" spans="1:14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-6550091000</v>
      </c>
      <c r="N27" s="4">
        <v>-66.748970999999997</v>
      </c>
    </row>
    <row r="28" spans="1:14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-18461280000</v>
      </c>
      <c r="N28" s="4">
        <v>-66.989078000000006</v>
      </c>
    </row>
    <row r="29" spans="1:14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142802.5</v>
      </c>
      <c r="F30" s="3">
        <v>156985.4</v>
      </c>
      <c r="G30" s="3">
        <v>-14182.87</v>
      </c>
      <c r="H30" s="3">
        <v>0</v>
      </c>
      <c r="I30" s="3">
        <v>1.648204E-2</v>
      </c>
      <c r="J30" s="3">
        <v>18202950</v>
      </c>
      <c r="K30" s="4">
        <v>0</v>
      </c>
      <c r="L30" s="3">
        <v>0</v>
      </c>
      <c r="M30" s="3">
        <v>1378746</v>
      </c>
      <c r="N30" s="4">
        <v>4.5990719999999996</v>
      </c>
    </row>
    <row r="31" spans="1:14" ht="30" x14ac:dyDescent="0.2">
      <c r="A31" s="7"/>
      <c r="B31" s="1" t="s">
        <v>46</v>
      </c>
      <c r="C31" s="3">
        <v>2828</v>
      </c>
      <c r="D31" s="3">
        <v>2828</v>
      </c>
      <c r="E31" s="3">
        <v>293811.8</v>
      </c>
      <c r="F31" s="3">
        <v>358335.6</v>
      </c>
      <c r="G31" s="3">
        <v>-64523.79</v>
      </c>
      <c r="H31" s="3">
        <v>0</v>
      </c>
      <c r="I31" s="3">
        <v>2.6252709999999999E-2</v>
      </c>
      <c r="J31" s="3">
        <v>24905680</v>
      </c>
      <c r="K31" s="4">
        <v>0</v>
      </c>
      <c r="L31" s="3">
        <v>0</v>
      </c>
      <c r="M31" s="3">
        <v>1205904</v>
      </c>
      <c r="N31" s="4">
        <v>1.8491280000000001</v>
      </c>
    </row>
    <row r="32" spans="1:14" x14ac:dyDescent="0.2">
      <c r="H32" s="9"/>
      <c r="I32" s="14" t="s">
        <v>49</v>
      </c>
      <c r="J32" s="12">
        <f>SUM(J1:J31)</f>
        <v>3006031678677</v>
      </c>
      <c r="K32" s="8" t="s">
        <v>52</v>
      </c>
      <c r="L32" s="2">
        <f>SUM(L2:L31)</f>
        <v>14464387003.00407</v>
      </c>
      <c r="M32" s="2">
        <f>SUM(M2:M31)</f>
        <v>-27096468565.690002</v>
      </c>
      <c r="N32" s="2">
        <f>SUM(N2:N31)</f>
        <v>1080.4190909999998</v>
      </c>
    </row>
    <row r="33" spans="1:10" x14ac:dyDescent="0.2">
      <c r="H33" s="10"/>
      <c r="I33" s="13" t="s">
        <v>50</v>
      </c>
      <c r="J33" s="11">
        <f>SUM(J14,J16)</f>
        <v>0</v>
      </c>
    </row>
    <row r="34" spans="1:10" x14ac:dyDescent="0.2">
      <c r="H34" s="10"/>
      <c r="I34" s="13" t="s">
        <v>51</v>
      </c>
      <c r="J34" s="11">
        <f>SUM(J20)</f>
        <v>0</v>
      </c>
    </row>
    <row r="36" spans="1:10" x14ac:dyDescent="0.2">
      <c r="A36" t="s">
        <v>53</v>
      </c>
    </row>
    <row r="37" spans="1:10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30364.640000000003</v>
      </c>
    </row>
    <row r="38" spans="1:10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0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4" xr:uid="{274D0A62-B14B-AA4E-B6C1-C6D101FC58CC}"/>
  <mergeCells count="4">
    <mergeCell ref="A2:A23"/>
    <mergeCell ref="A24:A26"/>
    <mergeCell ref="A27:A29"/>
    <mergeCell ref="A30:A3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39"/>
  <sheetViews>
    <sheetView workbookViewId="0">
      <selection activeCell="J43" sqref="J43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70652.06</v>
      </c>
      <c r="F2" s="3">
        <v>0</v>
      </c>
      <c r="G2" s="3">
        <v>70652.06</v>
      </c>
      <c r="H2" s="3">
        <v>0</v>
      </c>
      <c r="I2" s="4">
        <v>2.2523999999999999E-2</v>
      </c>
      <c r="J2" s="3">
        <v>3066114</v>
      </c>
      <c r="K2" s="4">
        <v>0</v>
      </c>
      <c r="L2" s="3">
        <v>5440209</v>
      </c>
      <c r="M2" s="3">
        <v>5924703</v>
      </c>
      <c r="N2" s="4">
        <v>83.857438999999999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2972506</v>
      </c>
      <c r="F3" s="3">
        <v>0</v>
      </c>
      <c r="G3" s="3">
        <v>2972506</v>
      </c>
      <c r="H3" s="3">
        <v>0</v>
      </c>
      <c r="I3" s="4">
        <v>1</v>
      </c>
      <c r="J3" s="3">
        <v>0</v>
      </c>
      <c r="K3" s="4">
        <v>0</v>
      </c>
      <c r="L3" s="3">
        <v>187267900</v>
      </c>
      <c r="M3" s="3">
        <v>197892200</v>
      </c>
      <c r="N3" s="4">
        <v>66.574200000000005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1682944</v>
      </c>
      <c r="F4" s="3">
        <v>0</v>
      </c>
      <c r="G4" s="3">
        <v>1682944</v>
      </c>
      <c r="H4" s="3">
        <v>0</v>
      </c>
      <c r="I4" s="4">
        <v>4.5345000000000003E-2</v>
      </c>
      <c r="J4" s="3">
        <v>35431120</v>
      </c>
      <c r="K4" s="4">
        <v>0</v>
      </c>
      <c r="L4" s="3">
        <v>117806100</v>
      </c>
      <c r="M4" s="3">
        <v>130064700</v>
      </c>
      <c r="N4" s="4">
        <v>77.284013999999999</v>
      </c>
    </row>
    <row r="5" spans="1:14" x14ac:dyDescent="0.2">
      <c r="A5" s="6"/>
      <c r="B5" s="1" t="s">
        <v>16</v>
      </c>
      <c r="C5" s="3">
        <v>5341</v>
      </c>
      <c r="D5" s="3">
        <v>5341</v>
      </c>
      <c r="E5" s="3">
        <v>149322.1</v>
      </c>
      <c r="F5" s="3">
        <v>0</v>
      </c>
      <c r="G5" s="3">
        <v>149322.1</v>
      </c>
      <c r="H5" s="3">
        <v>0</v>
      </c>
      <c r="I5" s="4">
        <v>3.1830000000000001E-3</v>
      </c>
      <c r="J5" s="3">
        <v>46766020</v>
      </c>
      <c r="K5" s="4">
        <v>0</v>
      </c>
      <c r="L5" s="3">
        <v>12655940</v>
      </c>
      <c r="M5" s="3">
        <v>12655940</v>
      </c>
      <c r="N5" s="4">
        <v>84.755994000000001</v>
      </c>
    </row>
    <row r="6" spans="1:14" ht="30" x14ac:dyDescent="0.2">
      <c r="A6" s="6"/>
      <c r="B6" s="1" t="s">
        <v>17</v>
      </c>
      <c r="C6" s="3">
        <v>29673</v>
      </c>
      <c r="D6" s="3">
        <v>29673</v>
      </c>
      <c r="E6" s="3">
        <v>173031200</v>
      </c>
      <c r="F6" s="3">
        <v>0</v>
      </c>
      <c r="G6" s="3">
        <v>173031200</v>
      </c>
      <c r="H6" s="3">
        <v>0</v>
      </c>
      <c r="I6" s="4">
        <v>0.66385099999999997</v>
      </c>
      <c r="J6" s="3">
        <v>87616430</v>
      </c>
      <c r="K6" s="4">
        <v>0</v>
      </c>
      <c r="L6" s="3">
        <v>11414520000</v>
      </c>
      <c r="M6" s="3">
        <v>11572530000</v>
      </c>
      <c r="N6" s="4">
        <v>66.881151000000003</v>
      </c>
    </row>
    <row r="7" spans="1:14" x14ac:dyDescent="0.2">
      <c r="A7" s="6"/>
      <c r="B7" s="1" t="s">
        <v>18</v>
      </c>
      <c r="C7" s="3">
        <v>4217.5519999999997</v>
      </c>
      <c r="D7" s="3">
        <v>4217.5519999999997</v>
      </c>
      <c r="E7" s="3">
        <v>4330703</v>
      </c>
      <c r="F7" s="3">
        <v>0</v>
      </c>
      <c r="G7" s="3">
        <v>4330703</v>
      </c>
      <c r="H7" s="3">
        <v>0</v>
      </c>
      <c r="I7" s="4">
        <v>0.116898</v>
      </c>
      <c r="J7" s="3">
        <v>0</v>
      </c>
      <c r="K7" s="4">
        <v>0</v>
      </c>
      <c r="L7" s="3">
        <v>0</v>
      </c>
      <c r="M7" s="3">
        <v>286970300</v>
      </c>
      <c r="N7" s="4">
        <v>66.264137000000005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1206152000</v>
      </c>
      <c r="N8" s="4">
        <v>66.240395000000007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4">
        <v>27.048884999999999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6592392</v>
      </c>
      <c r="F10" s="3">
        <v>0</v>
      </c>
      <c r="G10" s="3">
        <v>6592392</v>
      </c>
      <c r="H10" s="3">
        <v>0</v>
      </c>
      <c r="I10" s="4">
        <v>1</v>
      </c>
      <c r="J10" s="3">
        <v>0</v>
      </c>
      <c r="K10" s="4">
        <v>0</v>
      </c>
      <c r="L10" s="3">
        <v>276880500</v>
      </c>
      <c r="M10" s="3">
        <v>438883200</v>
      </c>
      <c r="N10" s="4">
        <v>66.574200000000005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3357441</v>
      </c>
      <c r="F11" s="3">
        <v>0</v>
      </c>
      <c r="G11" s="3">
        <v>3357441</v>
      </c>
      <c r="H11" s="3">
        <v>0</v>
      </c>
      <c r="I11" s="4">
        <v>0.940276</v>
      </c>
      <c r="J11" s="3">
        <v>0</v>
      </c>
      <c r="K11" s="4">
        <v>0</v>
      </c>
      <c r="L11" s="3">
        <v>0</v>
      </c>
      <c r="M11" s="3">
        <v>223382100</v>
      </c>
      <c r="N11" s="4">
        <v>66.533445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x14ac:dyDescent="0.2">
      <c r="A13" s="6"/>
      <c r="B13" s="1" t="s">
        <v>25</v>
      </c>
      <c r="C13" s="3">
        <v>7833</v>
      </c>
      <c r="D13" s="3">
        <v>7833</v>
      </c>
      <c r="E13" s="3">
        <v>47406960</v>
      </c>
      <c r="F13" s="3">
        <v>0</v>
      </c>
      <c r="G13" s="3">
        <v>47406960</v>
      </c>
      <c r="H13" s="3">
        <v>0</v>
      </c>
      <c r="I13" s="4">
        <v>0.68900399999999995</v>
      </c>
      <c r="J13" s="3">
        <v>0</v>
      </c>
      <c r="K13" s="4">
        <v>0</v>
      </c>
      <c r="L13" s="3">
        <v>474069600</v>
      </c>
      <c r="M13" s="3">
        <v>3159816000</v>
      </c>
      <c r="N13" s="4">
        <v>66.653007000000002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1937623000</v>
      </c>
      <c r="N14" s="4">
        <v>66.212778</v>
      </c>
    </row>
    <row r="15" spans="1:14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12267.15</v>
      </c>
      <c r="D16" s="3">
        <v>12267.15</v>
      </c>
      <c r="E16" s="3">
        <v>34082220</v>
      </c>
      <c r="F16" s="3">
        <v>0</v>
      </c>
      <c r="G16" s="3">
        <v>34082220</v>
      </c>
      <c r="H16" s="3">
        <v>0</v>
      </c>
      <c r="I16" s="4">
        <v>0.31629499999999999</v>
      </c>
      <c r="J16" s="3">
        <v>0</v>
      </c>
      <c r="K16" s="4">
        <v>0</v>
      </c>
      <c r="L16" s="3">
        <v>0</v>
      </c>
      <c r="M16" s="3">
        <v>2256898000</v>
      </c>
      <c r="N16" s="4">
        <v>66.219218999999995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6928060</v>
      </c>
      <c r="F17" s="3">
        <v>0</v>
      </c>
      <c r="G17" s="3">
        <v>6928060</v>
      </c>
      <c r="H17" s="3">
        <v>0</v>
      </c>
      <c r="I17" s="4">
        <v>0.605599</v>
      </c>
      <c r="J17" s="3">
        <v>4511958</v>
      </c>
      <c r="K17" s="4">
        <v>0</v>
      </c>
      <c r="L17" s="3">
        <v>457030300</v>
      </c>
      <c r="M17" s="3">
        <v>463965100</v>
      </c>
      <c r="N17" s="4">
        <v>66.968985000000004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440956.8</v>
      </c>
      <c r="F18" s="3">
        <v>0</v>
      </c>
      <c r="G18" s="3">
        <v>440956.8</v>
      </c>
      <c r="H18" s="3">
        <v>0</v>
      </c>
      <c r="I18" s="4">
        <v>1</v>
      </c>
      <c r="J18" s="3">
        <v>0</v>
      </c>
      <c r="K18" s="4">
        <v>0</v>
      </c>
      <c r="L18" s="3">
        <v>21606880</v>
      </c>
      <c r="M18" s="3">
        <v>29356350</v>
      </c>
      <c r="N18" s="4">
        <v>66.574198999999993</v>
      </c>
    </row>
    <row r="19" spans="1:14" x14ac:dyDescent="0.2">
      <c r="A19" s="6"/>
      <c r="B19" s="1" t="s">
        <v>31</v>
      </c>
      <c r="C19" s="3">
        <v>146</v>
      </c>
      <c r="D19" s="3">
        <v>146</v>
      </c>
      <c r="E19" s="3">
        <v>576862</v>
      </c>
      <c r="F19" s="3">
        <v>0</v>
      </c>
      <c r="G19" s="3">
        <v>576862</v>
      </c>
      <c r="H19" s="3">
        <v>0</v>
      </c>
      <c r="I19" s="4">
        <v>0.44980799999999999</v>
      </c>
      <c r="J19" s="3">
        <v>0</v>
      </c>
      <c r="K19" s="4">
        <v>0</v>
      </c>
      <c r="L19" s="3">
        <v>0</v>
      </c>
      <c r="M19" s="3">
        <v>38408400</v>
      </c>
      <c r="N19" s="4">
        <v>66.581609999999998</v>
      </c>
    </row>
    <row r="20" spans="1:14" x14ac:dyDescent="0.2">
      <c r="A20" s="6"/>
      <c r="B20" s="1" t="s">
        <v>32</v>
      </c>
      <c r="C20" s="3">
        <v>8333.7900000000009</v>
      </c>
      <c r="D20" s="3">
        <v>8333.7900000000009</v>
      </c>
      <c r="E20" s="3">
        <v>8152039</v>
      </c>
      <c r="F20" s="3">
        <v>0</v>
      </c>
      <c r="G20" s="3">
        <v>8152039</v>
      </c>
      <c r="H20" s="3">
        <v>0</v>
      </c>
      <c r="I20" s="4">
        <v>0.111361</v>
      </c>
      <c r="J20" s="3">
        <v>0</v>
      </c>
      <c r="K20" s="4">
        <v>0</v>
      </c>
      <c r="L20" s="3">
        <v>0</v>
      </c>
      <c r="M20" s="3">
        <v>541016300</v>
      </c>
      <c r="N20" s="4">
        <v>66.365759999999995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19959.61</v>
      </c>
      <c r="F21" s="3">
        <v>0</v>
      </c>
      <c r="G21" s="3">
        <v>19959.61</v>
      </c>
      <c r="H21" s="3">
        <v>0</v>
      </c>
      <c r="I21" s="4">
        <v>0.21640699999999999</v>
      </c>
      <c r="J21" s="3">
        <v>0</v>
      </c>
      <c r="K21" s="4">
        <v>0</v>
      </c>
      <c r="L21" s="3">
        <v>0</v>
      </c>
      <c r="M21" s="3">
        <v>1333102</v>
      </c>
      <c r="N21" s="4">
        <v>66.789968000000002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17766520</v>
      </c>
      <c r="F22" s="3">
        <v>0</v>
      </c>
      <c r="G22" s="3">
        <v>17766520</v>
      </c>
      <c r="H22" s="3">
        <v>0</v>
      </c>
      <c r="I22" s="4">
        <v>1</v>
      </c>
      <c r="J22" s="3">
        <v>0</v>
      </c>
      <c r="K22" s="4">
        <v>0</v>
      </c>
      <c r="L22" s="3">
        <v>896853800</v>
      </c>
      <c r="M22" s="3">
        <v>1182792000</v>
      </c>
      <c r="N22" s="4">
        <v>66.574197999999996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122740.7</v>
      </c>
      <c r="F23" s="3">
        <v>0</v>
      </c>
      <c r="G23" s="3">
        <v>122740.7</v>
      </c>
      <c r="H23" s="3">
        <v>0</v>
      </c>
      <c r="I23" s="4">
        <v>0.58221699999999998</v>
      </c>
      <c r="J23" s="3">
        <v>0</v>
      </c>
      <c r="K23" s="4">
        <v>0</v>
      </c>
      <c r="L23" s="3">
        <v>0</v>
      </c>
      <c r="M23" s="3">
        <v>8154824</v>
      </c>
      <c r="N23" s="4">
        <v>66.439458999999999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268843200</v>
      </c>
      <c r="F24" s="3">
        <v>666467200</v>
      </c>
      <c r="G24" s="3">
        <v>-397624000</v>
      </c>
      <c r="H24" s="3">
        <v>397624000</v>
      </c>
      <c r="I24" s="4">
        <v>0.62268299999999999</v>
      </c>
      <c r="J24" s="3">
        <v>1104440000</v>
      </c>
      <c r="K24" s="4">
        <v>0</v>
      </c>
      <c r="L24" s="3">
        <v>0</v>
      </c>
      <c r="M24" s="3">
        <v>-26475670000</v>
      </c>
      <c r="N24" s="4">
        <v>-28.306830999999999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62981800</v>
      </c>
      <c r="F25" s="3">
        <v>65418580</v>
      </c>
      <c r="G25" s="3">
        <v>-2436775</v>
      </c>
      <c r="H25" s="3">
        <v>2436775</v>
      </c>
      <c r="I25" s="4">
        <v>0.46385700000000002</v>
      </c>
      <c r="J25" s="3">
        <v>274373400</v>
      </c>
      <c r="K25" s="4">
        <v>0</v>
      </c>
      <c r="L25" s="3">
        <v>0</v>
      </c>
      <c r="M25" s="3">
        <v>-202676800</v>
      </c>
      <c r="N25" s="4">
        <v>-1.5784750000000001</v>
      </c>
    </row>
    <row r="26" spans="1:14" x14ac:dyDescent="0.2">
      <c r="A26" s="7"/>
      <c r="B26" s="1" t="s">
        <v>47</v>
      </c>
      <c r="C26" s="3">
        <v>38000000</v>
      </c>
      <c r="D26" s="3">
        <v>38000000</v>
      </c>
      <c r="E26" s="3">
        <v>0</v>
      </c>
      <c r="F26" s="3">
        <v>1191200</v>
      </c>
      <c r="G26" s="3">
        <v>-1191200</v>
      </c>
      <c r="H26" s="3">
        <v>0</v>
      </c>
      <c r="I26" s="4">
        <v>3.9999999999999998E-6</v>
      </c>
      <c r="J26" s="3">
        <v>333790800000</v>
      </c>
      <c r="K26" s="4">
        <v>0</v>
      </c>
      <c r="L26" s="3">
        <v>11.912000000000001</v>
      </c>
      <c r="M26" s="3">
        <v>-81801360</v>
      </c>
      <c r="N26" s="4">
        <v>-68.671394000000006</v>
      </c>
    </row>
    <row r="27" spans="1:14" x14ac:dyDescent="0.2">
      <c r="A27" s="5" t="s">
        <v>40</v>
      </c>
      <c r="B27" s="1" t="s">
        <v>41</v>
      </c>
      <c r="C27" s="3">
        <v>0</v>
      </c>
      <c r="D27" s="3">
        <v>0</v>
      </c>
      <c r="E27" s="3">
        <v>0</v>
      </c>
      <c r="F27" s="3">
        <v>98130220</v>
      </c>
      <c r="G27" s="3">
        <v>-98130220</v>
      </c>
      <c r="H27" s="3">
        <v>0</v>
      </c>
      <c r="I27" s="4" t="s">
        <v>24</v>
      </c>
      <c r="J27" s="3">
        <v>0</v>
      </c>
      <c r="K27" s="4">
        <v>0</v>
      </c>
      <c r="L27" s="3">
        <v>0</v>
      </c>
      <c r="M27" s="3">
        <v>-6534329000</v>
      </c>
      <c r="N27" s="4">
        <v>-66.588345000000004</v>
      </c>
    </row>
    <row r="28" spans="1:14" x14ac:dyDescent="0.2">
      <c r="A28" s="6"/>
      <c r="B28" s="1" t="s">
        <v>42</v>
      </c>
      <c r="C28" s="3">
        <v>0</v>
      </c>
      <c r="D28" s="3">
        <v>0</v>
      </c>
      <c r="E28" s="3">
        <v>0</v>
      </c>
      <c r="F28" s="3">
        <v>275586500</v>
      </c>
      <c r="G28" s="3">
        <v>-275586500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-18404350000</v>
      </c>
      <c r="N28" s="4">
        <v>-66.782500999999996</v>
      </c>
    </row>
    <row r="29" spans="1:14" x14ac:dyDescent="0.2">
      <c r="A29" s="7"/>
      <c r="B29" s="1" t="s">
        <v>43</v>
      </c>
      <c r="C29" s="3">
        <v>0</v>
      </c>
      <c r="D29" s="3">
        <v>0</v>
      </c>
      <c r="E29" s="3">
        <v>0</v>
      </c>
      <c r="F29" s="3">
        <v>3385030</v>
      </c>
      <c r="G29" s="3">
        <v>-3385030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-24477550</v>
      </c>
      <c r="N29" s="4">
        <v>-7.2311170000000002</v>
      </c>
    </row>
    <row r="30" spans="1:14" x14ac:dyDescent="0.2">
      <c r="A30" s="5" t="s">
        <v>44</v>
      </c>
      <c r="B30" s="1" t="s">
        <v>45</v>
      </c>
      <c r="C30" s="3">
        <v>2070.67</v>
      </c>
      <c r="D30" s="3">
        <v>2070.67</v>
      </c>
      <c r="E30" s="3">
        <v>115808.8</v>
      </c>
      <c r="F30" s="3">
        <v>126974.9</v>
      </c>
      <c r="G30" s="3">
        <v>-11166.05</v>
      </c>
      <c r="H30" s="3">
        <v>0</v>
      </c>
      <c r="I30" s="4">
        <v>1.3348E-2</v>
      </c>
      <c r="J30" s="3">
        <v>18199930</v>
      </c>
      <c r="K30" s="4">
        <v>0</v>
      </c>
      <c r="L30" s="3">
        <v>0</v>
      </c>
      <c r="M30" s="3">
        <v>997064</v>
      </c>
      <c r="N30" s="4">
        <v>4.1067989999999996</v>
      </c>
    </row>
    <row r="31" spans="1:14" ht="30" x14ac:dyDescent="0.2">
      <c r="A31" s="7"/>
      <c r="B31" s="1" t="s">
        <v>46</v>
      </c>
      <c r="C31" s="3">
        <v>2828</v>
      </c>
      <c r="D31" s="3">
        <v>2828</v>
      </c>
      <c r="E31" s="3">
        <v>190785.4</v>
      </c>
      <c r="F31" s="3">
        <v>226756.5</v>
      </c>
      <c r="G31" s="3">
        <v>-35971.120000000003</v>
      </c>
      <c r="H31" s="3">
        <v>0</v>
      </c>
      <c r="I31" s="4">
        <v>1.6808E-2</v>
      </c>
      <c r="J31" s="3">
        <v>24877120</v>
      </c>
      <c r="K31" s="4">
        <v>0</v>
      </c>
      <c r="L31" s="3">
        <v>0</v>
      </c>
      <c r="M31" s="3">
        <v>1184702</v>
      </c>
      <c r="N31" s="4">
        <v>2.837326</v>
      </c>
    </row>
    <row r="32" spans="1:14" x14ac:dyDescent="0.2">
      <c r="A32" s="1" t="s">
        <v>48</v>
      </c>
      <c r="B32" s="1" t="s">
        <v>47</v>
      </c>
      <c r="C32" s="3">
        <v>19000000</v>
      </c>
      <c r="D32" s="3">
        <v>19000000</v>
      </c>
      <c r="E32" s="3">
        <v>595600</v>
      </c>
      <c r="F32" s="3">
        <v>595600</v>
      </c>
      <c r="G32" s="3">
        <v>0</v>
      </c>
      <c r="H32" s="3">
        <v>0</v>
      </c>
      <c r="I32" s="4">
        <v>0.99948000000000004</v>
      </c>
      <c r="J32" s="3">
        <v>0</v>
      </c>
      <c r="K32" s="4">
        <v>0</v>
      </c>
      <c r="L32" s="3">
        <v>0</v>
      </c>
      <c r="M32" s="3">
        <v>0</v>
      </c>
      <c r="N32" s="4" t="s">
        <v>24</v>
      </c>
    </row>
    <row r="33" spans="1:14" x14ac:dyDescent="0.2">
      <c r="I33" s="14" t="s">
        <v>49</v>
      </c>
      <c r="J33" s="12">
        <f>SUM(J2:J32)</f>
        <v>335690098960</v>
      </c>
      <c r="K33" s="8" t="s">
        <v>52</v>
      </c>
      <c r="L33" s="2">
        <f>SUM(L3:L32)</f>
        <v>14453578931.912001</v>
      </c>
      <c r="M33" s="2">
        <f>SUM(M3:M32)</f>
        <v>-27438341528</v>
      </c>
      <c r="N33" s="2">
        <f>SUM(N3:N32)</f>
        <v>1021.3210659999999</v>
      </c>
    </row>
    <row r="34" spans="1:14" x14ac:dyDescent="0.2">
      <c r="I34" s="13" t="s">
        <v>50</v>
      </c>
      <c r="J34" s="11">
        <f>SUM(J14,J16)</f>
        <v>0</v>
      </c>
    </row>
    <row r="35" spans="1:14" x14ac:dyDescent="0.2">
      <c r="I35" s="13" t="s">
        <v>51</v>
      </c>
      <c r="J35" s="11">
        <f>SUM(J20)</f>
        <v>0</v>
      </c>
    </row>
    <row r="36" spans="1:14" x14ac:dyDescent="0.2">
      <c r="A36" t="s">
        <v>53</v>
      </c>
    </row>
    <row r="37" spans="1:14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30364.640000000003</v>
      </c>
    </row>
    <row r="38" spans="1:14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0</v>
      </c>
    </row>
    <row r="39" spans="1:14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5" xr:uid="{4D4BF803-EC4E-F842-B68E-528EC71F1DE9}"/>
  <mergeCells count="4">
    <mergeCell ref="A2:A23"/>
    <mergeCell ref="A24:A26"/>
    <mergeCell ref="A27:A29"/>
    <mergeCell ref="A3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39"/>
  <sheetViews>
    <sheetView tabSelected="1" topLeftCell="A9" workbookViewId="0">
      <selection sqref="A1:N33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5" t="s">
        <v>12</v>
      </c>
      <c r="B2" s="1" t="s">
        <v>13</v>
      </c>
      <c r="C2" s="3">
        <v>357.1</v>
      </c>
      <c r="D2" s="3">
        <v>357.1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3136766</v>
      </c>
      <c r="K2" s="4">
        <v>0</v>
      </c>
      <c r="L2" s="3">
        <v>0</v>
      </c>
      <c r="M2" s="3">
        <v>0</v>
      </c>
      <c r="N2" s="4" t="s">
        <v>24</v>
      </c>
    </row>
    <row r="3" spans="1:14" x14ac:dyDescent="0.2">
      <c r="A3" s="6"/>
      <c r="B3" s="1" t="s">
        <v>14</v>
      </c>
      <c r="C3" s="3">
        <v>338.4</v>
      </c>
      <c r="D3" s="3">
        <v>338.4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2972506</v>
      </c>
      <c r="K3" s="4">
        <v>0</v>
      </c>
      <c r="L3" s="3">
        <v>0</v>
      </c>
      <c r="M3" s="3">
        <v>0</v>
      </c>
      <c r="N3" s="4" t="s">
        <v>24</v>
      </c>
    </row>
    <row r="4" spans="1:14" x14ac:dyDescent="0.2">
      <c r="A4" s="6"/>
      <c r="B4" s="1" t="s">
        <v>15</v>
      </c>
      <c r="C4" s="3">
        <v>4225.1899999999996</v>
      </c>
      <c r="D4" s="3">
        <v>4225.1899999999996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37114070</v>
      </c>
      <c r="K4" s="4">
        <v>0</v>
      </c>
      <c r="L4" s="3">
        <v>0</v>
      </c>
      <c r="M4" s="3">
        <v>0</v>
      </c>
      <c r="N4" s="4" t="s">
        <v>24</v>
      </c>
    </row>
    <row r="5" spans="1:14" x14ac:dyDescent="0.2">
      <c r="A5" s="6"/>
      <c r="B5" s="1" t="s">
        <v>16</v>
      </c>
      <c r="C5" s="3">
        <v>5341</v>
      </c>
      <c r="D5" s="3">
        <v>5341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46915340</v>
      </c>
      <c r="K5" s="4">
        <v>0</v>
      </c>
      <c r="L5" s="3">
        <v>0</v>
      </c>
      <c r="M5" s="3">
        <v>0</v>
      </c>
      <c r="N5" s="4" t="s">
        <v>24</v>
      </c>
    </row>
    <row r="6" spans="1:14" ht="30" x14ac:dyDescent="0.2">
      <c r="A6" s="6"/>
      <c r="B6" s="1" t="s">
        <v>17</v>
      </c>
      <c r="C6" s="3">
        <v>29673</v>
      </c>
      <c r="D6" s="3">
        <v>29673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260647600</v>
      </c>
      <c r="K6" s="4">
        <v>0</v>
      </c>
      <c r="L6" s="3">
        <v>0</v>
      </c>
      <c r="M6" s="3">
        <v>0</v>
      </c>
      <c r="N6" s="4" t="s">
        <v>24</v>
      </c>
    </row>
    <row r="7" spans="1:14" x14ac:dyDescent="0.2">
      <c r="A7" s="6"/>
      <c r="B7" s="1" t="s">
        <v>18</v>
      </c>
      <c r="C7" s="3">
        <v>4217.5519999999997</v>
      </c>
      <c r="D7" s="3">
        <v>4217.5519999999997</v>
      </c>
      <c r="E7" s="3">
        <v>4330703</v>
      </c>
      <c r="F7" s="3">
        <v>0</v>
      </c>
      <c r="G7" s="3">
        <v>4330703</v>
      </c>
      <c r="H7" s="3">
        <v>0</v>
      </c>
      <c r="I7" s="4">
        <v>0.116898</v>
      </c>
      <c r="J7" s="3">
        <v>0</v>
      </c>
      <c r="K7" s="4">
        <v>0</v>
      </c>
      <c r="L7" s="3">
        <v>0</v>
      </c>
      <c r="M7" s="3">
        <v>21.652989999999999</v>
      </c>
      <c r="N7" s="3">
        <v>5.009921E-6</v>
      </c>
    </row>
    <row r="8" spans="1:14" x14ac:dyDescent="0.2">
      <c r="A8" s="6"/>
      <c r="B8" s="1" t="s">
        <v>19</v>
      </c>
      <c r="C8" s="3">
        <v>5605</v>
      </c>
      <c r="D8" s="3">
        <v>5605</v>
      </c>
      <c r="E8" s="3">
        <v>18208710</v>
      </c>
      <c r="F8" s="3">
        <v>0</v>
      </c>
      <c r="G8" s="3">
        <v>18208710</v>
      </c>
      <c r="H8" s="3">
        <v>0</v>
      </c>
      <c r="I8" s="4">
        <v>0.369838</v>
      </c>
      <c r="J8" s="3">
        <v>0</v>
      </c>
      <c r="K8" s="4">
        <v>0</v>
      </c>
      <c r="L8" s="3">
        <v>0</v>
      </c>
      <c r="M8" s="3">
        <v>91.040809999999993</v>
      </c>
      <c r="N8" s="3">
        <v>4.99773E-6</v>
      </c>
    </row>
    <row r="9" spans="1:14" x14ac:dyDescent="0.2">
      <c r="A9" s="6"/>
      <c r="B9" s="1" t="s">
        <v>20</v>
      </c>
      <c r="C9" s="3">
        <v>4513</v>
      </c>
      <c r="D9" s="3">
        <v>4513</v>
      </c>
      <c r="E9" s="3">
        <v>21993070</v>
      </c>
      <c r="F9" s="3">
        <v>0</v>
      </c>
      <c r="G9" s="3">
        <v>21993070</v>
      </c>
      <c r="H9" s="3">
        <v>0</v>
      </c>
      <c r="I9" s="4">
        <v>0.55478899999999998</v>
      </c>
      <c r="J9" s="3">
        <v>17649120</v>
      </c>
      <c r="K9" s="4">
        <v>0</v>
      </c>
      <c r="L9" s="3">
        <v>594887900</v>
      </c>
      <c r="M9" s="3">
        <v>594887900</v>
      </c>
      <c r="N9" s="3">
        <v>27.04888</v>
      </c>
    </row>
    <row r="10" spans="1:14" x14ac:dyDescent="0.2">
      <c r="A10" s="6"/>
      <c r="B10" s="1" t="s">
        <v>21</v>
      </c>
      <c r="C10" s="3">
        <v>750.5</v>
      </c>
      <c r="D10" s="3">
        <v>750.5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6592392</v>
      </c>
      <c r="K10" s="4">
        <v>0</v>
      </c>
      <c r="L10" s="3">
        <v>0</v>
      </c>
      <c r="M10" s="3">
        <v>0</v>
      </c>
      <c r="N10" s="4" t="s">
        <v>24</v>
      </c>
    </row>
    <row r="11" spans="1:14" x14ac:dyDescent="0.2">
      <c r="A11" s="6"/>
      <c r="B11" s="1" t="s">
        <v>22</v>
      </c>
      <c r="C11" s="3">
        <v>406.5</v>
      </c>
      <c r="D11" s="3">
        <v>406.5</v>
      </c>
      <c r="E11" s="3">
        <v>3357441</v>
      </c>
      <c r="F11" s="3">
        <v>0</v>
      </c>
      <c r="G11" s="3">
        <v>3357441</v>
      </c>
      <c r="H11" s="3">
        <v>0</v>
      </c>
      <c r="I11" s="4">
        <v>0.940276</v>
      </c>
      <c r="J11" s="3">
        <v>0</v>
      </c>
      <c r="K11" s="4">
        <v>0</v>
      </c>
      <c r="L11" s="3">
        <v>0</v>
      </c>
      <c r="M11" s="3">
        <v>16.787759999999999</v>
      </c>
      <c r="N11" s="3">
        <v>4.9970910000000004E-6</v>
      </c>
    </row>
    <row r="12" spans="1:14" x14ac:dyDescent="0.2">
      <c r="A12" s="6"/>
      <c r="B12" s="1" t="s">
        <v>23</v>
      </c>
      <c r="C12" s="3">
        <v>58007.4</v>
      </c>
      <c r="D12" s="3">
        <v>58007.4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275586500</v>
      </c>
      <c r="K12" s="4">
        <v>0</v>
      </c>
      <c r="L12" s="3">
        <v>0</v>
      </c>
      <c r="M12" s="3">
        <v>0</v>
      </c>
      <c r="N12" s="4" t="s">
        <v>24</v>
      </c>
    </row>
    <row r="13" spans="1:14" x14ac:dyDescent="0.2">
      <c r="A13" s="6"/>
      <c r="B13" s="1" t="s">
        <v>25</v>
      </c>
      <c r="C13" s="3">
        <v>7833</v>
      </c>
      <c r="D13" s="3">
        <v>7833</v>
      </c>
      <c r="E13" s="3">
        <v>0</v>
      </c>
      <c r="F13" s="3">
        <v>0</v>
      </c>
      <c r="G13" s="3">
        <v>0</v>
      </c>
      <c r="H13" s="3">
        <v>0</v>
      </c>
      <c r="I13" s="4">
        <v>0</v>
      </c>
      <c r="J13" s="3">
        <v>47406960</v>
      </c>
      <c r="K13" s="4">
        <v>0</v>
      </c>
      <c r="L13" s="3">
        <v>0</v>
      </c>
      <c r="M13" s="3">
        <v>0</v>
      </c>
      <c r="N13" s="4" t="s">
        <v>24</v>
      </c>
    </row>
    <row r="14" spans="1:14" x14ac:dyDescent="0.2">
      <c r="A14" s="6"/>
      <c r="B14" s="1" t="s">
        <v>26</v>
      </c>
      <c r="C14" s="3">
        <v>9713.5</v>
      </c>
      <c r="D14" s="3">
        <v>9713.5</v>
      </c>
      <c r="E14" s="3">
        <v>29263580</v>
      </c>
      <c r="F14" s="3">
        <v>0</v>
      </c>
      <c r="G14" s="3">
        <v>29263580</v>
      </c>
      <c r="H14" s="3">
        <v>0</v>
      </c>
      <c r="I14" s="4">
        <v>0.34297299999999997</v>
      </c>
      <c r="J14" s="3">
        <v>0</v>
      </c>
      <c r="K14" s="4">
        <v>0</v>
      </c>
      <c r="L14" s="3">
        <v>0</v>
      </c>
      <c r="M14" s="3">
        <v>146.29859999999999</v>
      </c>
      <c r="N14" s="3">
        <v>5.0008039999999997E-6</v>
      </c>
    </row>
    <row r="15" spans="1:14" x14ac:dyDescent="0.2">
      <c r="A15" s="6"/>
      <c r="B15" s="1" t="s">
        <v>27</v>
      </c>
      <c r="C15" s="3">
        <v>772</v>
      </c>
      <c r="D15" s="3">
        <v>772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3">
        <v>6781248</v>
      </c>
      <c r="K15" s="4">
        <v>0</v>
      </c>
      <c r="L15" s="3">
        <v>0</v>
      </c>
      <c r="M15" s="3">
        <v>0</v>
      </c>
      <c r="N15" s="4" t="s">
        <v>24</v>
      </c>
    </row>
    <row r="16" spans="1:14" x14ac:dyDescent="0.2">
      <c r="A16" s="6"/>
      <c r="B16" s="1" t="s">
        <v>28</v>
      </c>
      <c r="C16" s="3">
        <v>12267.15</v>
      </c>
      <c r="D16" s="3">
        <v>12267.15</v>
      </c>
      <c r="E16" s="3">
        <v>34082220</v>
      </c>
      <c r="F16" s="3">
        <v>0</v>
      </c>
      <c r="G16" s="3">
        <v>34082220</v>
      </c>
      <c r="H16" s="3">
        <v>0</v>
      </c>
      <c r="I16" s="4">
        <v>0.31629499999999999</v>
      </c>
      <c r="J16" s="3">
        <v>0</v>
      </c>
      <c r="K16" s="4">
        <v>0</v>
      </c>
      <c r="L16" s="3">
        <v>0</v>
      </c>
      <c r="M16" s="3">
        <v>170.4067</v>
      </c>
      <c r="N16" s="3">
        <v>4.9999549999999998E-6</v>
      </c>
    </row>
    <row r="17" spans="1:14" ht="30" x14ac:dyDescent="0.2">
      <c r="A17" s="6"/>
      <c r="B17" s="1" t="s">
        <v>29</v>
      </c>
      <c r="C17" s="3">
        <v>1302.3699999999999</v>
      </c>
      <c r="D17" s="3">
        <v>1302.3699999999999</v>
      </c>
      <c r="E17" s="3">
        <v>0</v>
      </c>
      <c r="F17" s="3">
        <v>0</v>
      </c>
      <c r="G17" s="3">
        <v>0</v>
      </c>
      <c r="H17" s="3">
        <v>0</v>
      </c>
      <c r="I17" s="4">
        <v>0</v>
      </c>
      <c r="J17" s="3">
        <v>11440020</v>
      </c>
      <c r="K17" s="4">
        <v>0</v>
      </c>
      <c r="L17" s="3">
        <v>0</v>
      </c>
      <c r="M17" s="3">
        <v>0</v>
      </c>
      <c r="N17" s="4" t="s">
        <v>24</v>
      </c>
    </row>
    <row r="18" spans="1:14" x14ac:dyDescent="0.2">
      <c r="A18" s="6"/>
      <c r="B18" s="1" t="s">
        <v>30</v>
      </c>
      <c r="C18" s="3">
        <v>50.2</v>
      </c>
      <c r="D18" s="3">
        <v>50.2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440956.8</v>
      </c>
      <c r="K18" s="4">
        <v>0</v>
      </c>
      <c r="L18" s="3">
        <v>0</v>
      </c>
      <c r="M18" s="3">
        <v>0</v>
      </c>
      <c r="N18" s="4" t="s">
        <v>24</v>
      </c>
    </row>
    <row r="19" spans="1:14" x14ac:dyDescent="0.2">
      <c r="A19" s="6"/>
      <c r="B19" s="1" t="s">
        <v>31</v>
      </c>
      <c r="C19" s="3">
        <v>146</v>
      </c>
      <c r="D19" s="3">
        <v>146</v>
      </c>
      <c r="E19" s="3">
        <v>576862</v>
      </c>
      <c r="F19" s="3">
        <v>0</v>
      </c>
      <c r="G19" s="3">
        <v>576862</v>
      </c>
      <c r="H19" s="3">
        <v>0</v>
      </c>
      <c r="I19" s="4">
        <v>0.44980799999999999</v>
      </c>
      <c r="J19" s="3">
        <v>0</v>
      </c>
      <c r="K19" s="4">
        <v>0</v>
      </c>
      <c r="L19" s="3">
        <v>0</v>
      </c>
      <c r="M19" s="3">
        <v>2.8843299999999998</v>
      </c>
      <c r="N19" s="3">
        <v>5.0249790000000002E-6</v>
      </c>
    </row>
    <row r="20" spans="1:14" x14ac:dyDescent="0.2">
      <c r="A20" s="6"/>
      <c r="B20" s="1" t="s">
        <v>32</v>
      </c>
      <c r="C20" s="3">
        <v>8333.7900000000009</v>
      </c>
      <c r="D20" s="3">
        <v>8333.7900000000009</v>
      </c>
      <c r="E20" s="3">
        <v>8152039</v>
      </c>
      <c r="F20" s="3">
        <v>0</v>
      </c>
      <c r="G20" s="3">
        <v>8152039</v>
      </c>
      <c r="H20" s="3">
        <v>0</v>
      </c>
      <c r="I20" s="4">
        <v>0.111361</v>
      </c>
      <c r="J20" s="3">
        <v>0</v>
      </c>
      <c r="K20" s="4">
        <v>0</v>
      </c>
      <c r="L20" s="3">
        <v>0</v>
      </c>
      <c r="M20" s="3">
        <v>40.760300000000001</v>
      </c>
      <c r="N20" s="3">
        <v>4.999701E-6</v>
      </c>
    </row>
    <row r="21" spans="1:14" x14ac:dyDescent="0.2">
      <c r="A21" s="6"/>
      <c r="B21" s="1" t="s">
        <v>33</v>
      </c>
      <c r="C21" s="3">
        <v>10.5</v>
      </c>
      <c r="D21" s="3">
        <v>10.5</v>
      </c>
      <c r="E21" s="3">
        <v>19959.61</v>
      </c>
      <c r="F21" s="3">
        <v>0</v>
      </c>
      <c r="G21" s="3">
        <v>19959.61</v>
      </c>
      <c r="H21" s="3">
        <v>0</v>
      </c>
      <c r="I21" s="4">
        <v>0.21640699999999999</v>
      </c>
      <c r="J21" s="3">
        <v>0</v>
      </c>
      <c r="K21" s="4">
        <v>0</v>
      </c>
      <c r="L21" s="3">
        <v>0</v>
      </c>
      <c r="M21" s="3">
        <v>9.98E-2</v>
      </c>
      <c r="N21" s="3">
        <v>4.4008850000000003E-6</v>
      </c>
    </row>
    <row r="22" spans="1:14" x14ac:dyDescent="0.2">
      <c r="A22" s="6"/>
      <c r="B22" s="1" t="s">
        <v>34</v>
      </c>
      <c r="C22" s="3">
        <v>2022.6</v>
      </c>
      <c r="D22" s="3">
        <v>2022.6</v>
      </c>
      <c r="E22" s="3">
        <v>0</v>
      </c>
      <c r="F22" s="3">
        <v>0</v>
      </c>
      <c r="G22" s="3">
        <v>0</v>
      </c>
      <c r="H22" s="3">
        <v>0</v>
      </c>
      <c r="I22" s="4">
        <v>0</v>
      </c>
      <c r="J22" s="3">
        <v>17766520</v>
      </c>
      <c r="K22" s="4">
        <v>0</v>
      </c>
      <c r="L22" s="3">
        <v>0</v>
      </c>
      <c r="M22" s="3">
        <v>0</v>
      </c>
      <c r="N22" s="4" t="s">
        <v>24</v>
      </c>
    </row>
    <row r="23" spans="1:14" x14ac:dyDescent="0.2">
      <c r="A23" s="7"/>
      <c r="B23" s="1" t="s">
        <v>35</v>
      </c>
      <c r="C23" s="3">
        <v>24</v>
      </c>
      <c r="D23" s="3">
        <v>24</v>
      </c>
      <c r="E23" s="3">
        <v>122740.7</v>
      </c>
      <c r="F23" s="3">
        <v>0</v>
      </c>
      <c r="G23" s="3">
        <v>122740.7</v>
      </c>
      <c r="H23" s="3">
        <v>0</v>
      </c>
      <c r="I23" s="4">
        <v>0.58221699999999998</v>
      </c>
      <c r="J23" s="3">
        <v>0</v>
      </c>
      <c r="K23" s="4">
        <v>0</v>
      </c>
      <c r="L23" s="3">
        <v>0</v>
      </c>
      <c r="M23" s="3">
        <v>0.61373999999999995</v>
      </c>
      <c r="N23" s="3">
        <v>5.0095860000000003E-6</v>
      </c>
    </row>
    <row r="24" spans="1:14" x14ac:dyDescent="0.2">
      <c r="A24" s="5" t="s">
        <v>36</v>
      </c>
      <c r="B24" s="1" t="s">
        <v>37</v>
      </c>
      <c r="C24" s="3">
        <v>171000</v>
      </c>
      <c r="D24" s="3">
        <v>171000</v>
      </c>
      <c r="E24" s="3">
        <v>502983500</v>
      </c>
      <c r="F24" s="3">
        <v>542201600</v>
      </c>
      <c r="G24" s="3">
        <v>-39218060</v>
      </c>
      <c r="H24" s="3">
        <v>39218060</v>
      </c>
      <c r="I24" s="4">
        <v>0.69583300000000003</v>
      </c>
      <c r="J24" s="3">
        <v>1462846000</v>
      </c>
      <c r="K24" s="4">
        <v>0</v>
      </c>
      <c r="L24" s="3">
        <v>0</v>
      </c>
      <c r="M24" s="3">
        <v>-196.07130000000001</v>
      </c>
      <c r="N24" s="3">
        <v>-1.875829E-7</v>
      </c>
    </row>
    <row r="25" spans="1:14" x14ac:dyDescent="0.2">
      <c r="A25" s="6"/>
      <c r="B25" s="1" t="s">
        <v>38</v>
      </c>
      <c r="C25" s="3">
        <v>31513</v>
      </c>
      <c r="D25" s="3">
        <v>31513</v>
      </c>
      <c r="E25" s="3">
        <v>147445100</v>
      </c>
      <c r="F25" s="3">
        <v>21654840</v>
      </c>
      <c r="G25" s="3">
        <v>125790300</v>
      </c>
      <c r="H25" s="3">
        <v>-125790300</v>
      </c>
      <c r="I25" s="4">
        <v>0.61088799999999999</v>
      </c>
      <c r="J25" s="3">
        <v>402600400</v>
      </c>
      <c r="K25" s="4">
        <v>0</v>
      </c>
      <c r="L25" s="3">
        <v>0</v>
      </c>
      <c r="M25" s="3">
        <v>628.86400000000003</v>
      </c>
      <c r="N25" s="3">
        <v>3.7187859999999999E-6</v>
      </c>
    </row>
    <row r="26" spans="1:14" x14ac:dyDescent="0.2">
      <c r="A26" s="6"/>
      <c r="B26" s="1" t="s">
        <v>47</v>
      </c>
      <c r="C26" s="3">
        <v>38000000</v>
      </c>
      <c r="D26" s="3">
        <v>38000000</v>
      </c>
      <c r="E26" s="3">
        <v>0</v>
      </c>
      <c r="F26" s="3">
        <v>0</v>
      </c>
      <c r="G26" s="3">
        <v>0</v>
      </c>
      <c r="H26" s="3">
        <v>0</v>
      </c>
      <c r="I26" s="4">
        <v>0</v>
      </c>
      <c r="J26" s="3">
        <v>333792000000</v>
      </c>
      <c r="K26" s="4">
        <v>0</v>
      </c>
      <c r="L26" s="3">
        <v>0</v>
      </c>
      <c r="M26" s="3">
        <v>0</v>
      </c>
      <c r="N26" s="4" t="s">
        <v>24</v>
      </c>
    </row>
    <row r="27" spans="1:14" x14ac:dyDescent="0.2">
      <c r="A27" s="7"/>
      <c r="B27" s="1" t="s">
        <v>39</v>
      </c>
      <c r="C27" s="3">
        <v>342000000</v>
      </c>
      <c r="D27" s="3">
        <v>342000000</v>
      </c>
      <c r="E27" s="3">
        <v>0</v>
      </c>
      <c r="F27" s="3">
        <v>128996000</v>
      </c>
      <c r="G27" s="3">
        <v>-128996000</v>
      </c>
      <c r="H27" s="3">
        <v>128996000</v>
      </c>
      <c r="I27" s="4">
        <v>4.3000000000000002E-5</v>
      </c>
      <c r="J27" s="3">
        <v>3003999000000</v>
      </c>
      <c r="K27" s="4">
        <v>0</v>
      </c>
      <c r="L27" s="3">
        <v>1289.96</v>
      </c>
      <c r="M27" s="3">
        <v>-644.97950000000003</v>
      </c>
      <c r="N27" s="3">
        <v>-5.0002239999999998E-6</v>
      </c>
    </row>
    <row r="28" spans="1:14" x14ac:dyDescent="0.2">
      <c r="A28" s="5" t="s">
        <v>40</v>
      </c>
      <c r="B28" s="1" t="s">
        <v>41</v>
      </c>
      <c r="C28" s="3">
        <v>0</v>
      </c>
      <c r="D28" s="3">
        <v>0</v>
      </c>
      <c r="E28" s="3">
        <v>0</v>
      </c>
      <c r="F28" s="3">
        <v>98130220</v>
      </c>
      <c r="G28" s="3">
        <v>-98130220</v>
      </c>
      <c r="H28" s="3">
        <v>0</v>
      </c>
      <c r="I28" s="4" t="s">
        <v>24</v>
      </c>
      <c r="J28" s="3">
        <v>0</v>
      </c>
      <c r="K28" s="4">
        <v>0</v>
      </c>
      <c r="L28" s="3">
        <v>0</v>
      </c>
      <c r="M28" s="3">
        <v>-490.6345</v>
      </c>
      <c r="N28" s="3">
        <v>-5.0002360000000001E-6</v>
      </c>
    </row>
    <row r="29" spans="1:14" x14ac:dyDescent="0.2">
      <c r="A29" s="6"/>
      <c r="B29" s="1" t="s">
        <v>42</v>
      </c>
      <c r="C29" s="3">
        <v>0</v>
      </c>
      <c r="D29" s="3">
        <v>0</v>
      </c>
      <c r="E29" s="3">
        <v>0</v>
      </c>
      <c r="F29" s="3">
        <v>275586500</v>
      </c>
      <c r="G29" s="3">
        <v>-275586500</v>
      </c>
      <c r="H29" s="3">
        <v>0</v>
      </c>
      <c r="I29" s="4" t="s">
        <v>24</v>
      </c>
      <c r="J29" s="3">
        <v>0</v>
      </c>
      <c r="K29" s="4">
        <v>0</v>
      </c>
      <c r="L29" s="3">
        <v>0</v>
      </c>
      <c r="M29" s="3">
        <v>-1377.903</v>
      </c>
      <c r="N29" s="3">
        <v>-5.0000499999999997E-6</v>
      </c>
    </row>
    <row r="30" spans="1:14" x14ac:dyDescent="0.2">
      <c r="A30" s="7"/>
      <c r="B30" s="1" t="s">
        <v>43</v>
      </c>
      <c r="C30" s="3">
        <v>0</v>
      </c>
      <c r="D30" s="3">
        <v>0</v>
      </c>
      <c r="E30" s="3">
        <v>0</v>
      </c>
      <c r="F30" s="3">
        <v>3385030</v>
      </c>
      <c r="G30" s="3">
        <v>-3385030</v>
      </c>
      <c r="H30" s="3">
        <v>0</v>
      </c>
      <c r="I30" s="4" t="s">
        <v>24</v>
      </c>
      <c r="J30" s="3">
        <v>0</v>
      </c>
      <c r="K30" s="4">
        <v>0</v>
      </c>
      <c r="L30" s="3">
        <v>0</v>
      </c>
      <c r="M30" s="3">
        <v>-24477550</v>
      </c>
      <c r="N30" s="3">
        <v>-7.2311170000000002</v>
      </c>
    </row>
    <row r="31" spans="1:14" x14ac:dyDescent="0.2">
      <c r="A31" s="5" t="s">
        <v>44</v>
      </c>
      <c r="B31" s="1" t="s">
        <v>45</v>
      </c>
      <c r="C31" s="3">
        <v>2070.67</v>
      </c>
      <c r="D31" s="3">
        <v>2070.67</v>
      </c>
      <c r="E31" s="3">
        <v>1339653</v>
      </c>
      <c r="F31" s="3">
        <v>2349377</v>
      </c>
      <c r="G31" s="3">
        <v>-1009724</v>
      </c>
      <c r="H31" s="3">
        <v>0</v>
      </c>
      <c r="I31" s="4">
        <v>0.202819</v>
      </c>
      <c r="J31" s="3">
        <v>19198490</v>
      </c>
      <c r="K31" s="4">
        <v>0</v>
      </c>
      <c r="L31" s="3">
        <v>0</v>
      </c>
      <c r="M31" s="3">
        <v>-5.0481800000000003</v>
      </c>
      <c r="N31" s="3">
        <v>-1.357235E-6</v>
      </c>
    </row>
    <row r="32" spans="1:14" ht="30" x14ac:dyDescent="0.2">
      <c r="A32" s="7"/>
      <c r="B32" s="1" t="s">
        <v>46</v>
      </c>
      <c r="C32" s="3">
        <v>2828</v>
      </c>
      <c r="D32" s="3">
        <v>2828</v>
      </c>
      <c r="E32" s="3">
        <v>15841.76</v>
      </c>
      <c r="F32" s="3">
        <v>3828</v>
      </c>
      <c r="G32" s="3">
        <v>12013.76</v>
      </c>
      <c r="H32" s="3">
        <v>0</v>
      </c>
      <c r="I32" s="4">
        <v>7.9199999999999995E-4</v>
      </c>
      <c r="J32" s="3">
        <v>24829140</v>
      </c>
      <c r="K32" s="4">
        <v>0</v>
      </c>
      <c r="L32" s="3">
        <v>0</v>
      </c>
      <c r="M32" s="3">
        <v>6.0409999999999998E-2</v>
      </c>
      <c r="N32" s="3">
        <v>4.4657409999999999E-6</v>
      </c>
    </row>
    <row r="33" spans="1:14" x14ac:dyDescent="0.2">
      <c r="A33" s="1" t="s">
        <v>48</v>
      </c>
      <c r="B33" s="1" t="s">
        <v>47</v>
      </c>
      <c r="C33" s="3">
        <v>19000000</v>
      </c>
      <c r="D33" s="3">
        <v>19000000</v>
      </c>
      <c r="E33" s="3">
        <v>0</v>
      </c>
      <c r="F33" s="3">
        <v>0</v>
      </c>
      <c r="G33" s="3">
        <v>0</v>
      </c>
      <c r="H33" s="3">
        <v>0</v>
      </c>
      <c r="I33" s="4">
        <v>1</v>
      </c>
      <c r="J33" s="3">
        <v>0</v>
      </c>
      <c r="K33" s="4">
        <v>0</v>
      </c>
      <c r="L33" s="3">
        <v>0</v>
      </c>
      <c r="M33" s="3">
        <v>0</v>
      </c>
      <c r="N33" s="4" t="s">
        <v>24</v>
      </c>
    </row>
    <row r="34" spans="1:14" x14ac:dyDescent="0.2">
      <c r="I34" s="14" t="s">
        <v>49</v>
      </c>
      <c r="J34" s="12">
        <f>SUM(J3:J33)</f>
        <v>3340431787262.7998</v>
      </c>
      <c r="K34" s="8" t="s">
        <v>52</v>
      </c>
      <c r="L34" s="2">
        <f>SUM(L4:L33)</f>
        <v>594889189.96000004</v>
      </c>
      <c r="M34" s="2">
        <f>SUM(M4:M33)</f>
        <v>570408754.83295989</v>
      </c>
      <c r="N34" s="2">
        <f>SUM(N4:N33)</f>
        <v>19.817799079851103</v>
      </c>
    </row>
    <row r="35" spans="1:14" x14ac:dyDescent="0.2">
      <c r="I35" s="13" t="s">
        <v>50</v>
      </c>
      <c r="J35" s="11">
        <f>SUM(J16,J14)</f>
        <v>0</v>
      </c>
    </row>
    <row r="36" spans="1:14" x14ac:dyDescent="0.2">
      <c r="A36" t="s">
        <v>53</v>
      </c>
      <c r="I36" s="13" t="s">
        <v>51</v>
      </c>
      <c r="J36" s="11">
        <f>SUM(J20)</f>
        <v>0</v>
      </c>
    </row>
    <row r="37" spans="1:14" x14ac:dyDescent="0.2">
      <c r="A37" t="s">
        <v>56</v>
      </c>
      <c r="C37" s="2">
        <f>SUMIFS($D$2:$D$32,$B$2:$B$32, "Solar PV")+SUMIFS($D$2:$D$32,$B$2:$B$32, "Offshore Wind")+SUMIFS($D$2:$D$32,$B$2:$B$32, "Onshore Wind")+SUMIFS($D$2:$D$32,$B$2:$B$32, "Sewage Gas")</f>
        <v>30364.640000000003</v>
      </c>
    </row>
    <row r="38" spans="1:14" x14ac:dyDescent="0.2">
      <c r="A38" t="s">
        <v>54</v>
      </c>
      <c r="C38" s="2">
        <f>SUMIFS($J$2:$J$32,$B$2:$B$32, "Solar PV")+SUMIFS($J$2:$J$32,$B$2:$B$32, "Offshore Wind")+SUMIFS($J$2:$J$32,$B$2:$B$32, "Onshore Wind")+SUMIFS($J$2:$J$32,$B$2:$B$32, "Sewage Gas")</f>
        <v>440956.8</v>
      </c>
    </row>
    <row r="39" spans="1:14" x14ac:dyDescent="0.2">
      <c r="A39" t="s">
        <v>55</v>
      </c>
      <c r="C39" s="2">
        <f>SUMIFS($J$2:$J$32,$B$2:$B$32, "Offshore Wind")+SUMIFS($J$2:$J$32,$B$2:$B$32, "Onshore Wind")</f>
        <v>0</v>
      </c>
    </row>
  </sheetData>
  <autoFilter ref="A1:N39" xr:uid="{9B4D27E0-A6E7-0A4E-A9C8-EA69BF34BB6E}"/>
  <mergeCells count="4">
    <mergeCell ref="A2:A23"/>
    <mergeCell ref="A24:A27"/>
    <mergeCell ref="A28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Spatial</vt:lpstr>
      <vt:lpstr>Temporal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2026-08-15T06:26:24Z</dcterms:modified>
</cp:coreProperties>
</file>